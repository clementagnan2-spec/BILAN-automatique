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 DE RESULTAT (SIG)</t>
        </is>
      </c>
    </row>
    <row r="2">
      <c r="A2" t="inlineStr">
        <is>
          <t>1</t>
        </is>
      </c>
    </row>
    <row r="3">
      <c r="A3" t="inlineStr">
        <is>
          <t>Edition du : 01/01/2024 au 31/12/2024                                                            Avec brouillard                    Hors simulation</t>
        </is>
      </c>
    </row>
    <row r="5">
      <c r="A5" t="inlineStr">
        <is>
          <t>RUBRIQUE</t>
        </is>
      </c>
      <c r="B5" t="inlineStr">
        <is>
          <t>N</t>
        </is>
      </c>
    </row>
    <row r="6">
      <c r="A6" t="inlineStr">
        <is>
          <t>+Vente de marchandises (A)</t>
        </is>
      </c>
      <c r="B6">
        <f>[011.EtLoc]=-CtaCptSolde("70*","701*")</f>
        <v/>
      </c>
    </row>
    <row r="7">
      <c r="A7" t="inlineStr">
        <is>
          <t>-Cout d'achat des marchandises vendues  (E)</t>
        </is>
      </c>
      <c r="B7">
        <f>[021.EtLoc]=CtaCptSolde("601*")</f>
        <v/>
      </c>
    </row>
    <row r="8">
      <c r="A8" t="inlineStr">
        <is>
          <t>MARGE COMMERCIALE</t>
        </is>
      </c>
      <c r="B8">
        <f>[031.EtLoc]=[011.EtLoc]-[021.EtLoc]</f>
        <v/>
      </c>
    </row>
    <row r="10">
      <c r="A10" t="inlineStr">
        <is>
          <t>+VENTE DE PRODUITS FABRIQUES (B)</t>
        </is>
      </c>
      <c r="B10">
        <f>[041.EtLoc]=-CtaCptSolde("702*","704*")</f>
        <v/>
      </c>
    </row>
    <row r="11">
      <c r="A11" t="inlineStr">
        <is>
          <t>+TRAVAUX, SERVICES VENDUS (C)</t>
        </is>
      </c>
      <c r="B11">
        <f>[051.EtLoc]=-CtaCptSolde("705*","706*")</f>
        <v/>
      </c>
    </row>
    <row r="12">
      <c r="A12" t="inlineStr">
        <is>
          <t>+PRODUITS ACCESOIRS (D)</t>
        </is>
      </c>
      <c r="B12">
        <f>[061.EtLoc]=-CtaCptSolde("707*")</f>
        <v/>
      </c>
    </row>
    <row r="13">
      <c r="A13" t="inlineStr">
        <is>
          <t>CHIFFRE D'AFFAIRES (A+B+C+D)</t>
        </is>
      </c>
      <c r="B13">
        <f>[071.EtLoc]=[041.EtLoc]+[051.EtLoc]+[061.EtLoc]+[011.EtLoc]</f>
        <v/>
      </c>
    </row>
    <row r="14">
      <c r="A14" t="inlineStr">
        <is>
          <t>CA TTC</t>
        </is>
      </c>
    </row>
    <row r="15">
      <c r="A15" t="inlineStr">
        <is>
          <t xml:space="preserve">+PRODUCTION STOCKEE </t>
        </is>
      </c>
      <c r="B15">
        <f>[062.EtLoc]=-CtaCptSolde("713*")</f>
        <v/>
      </c>
    </row>
    <row r="16">
      <c r="A16" t="inlineStr">
        <is>
          <t>+PRODUCTION IMMOBILISEE</t>
        </is>
      </c>
      <c r="B16">
        <f>[052.EtLoc]=-CtaCptSolde("72*","73*")</f>
        <v/>
      </c>
    </row>
    <row r="17">
      <c r="A17" t="inlineStr">
        <is>
          <t>+SUBVENTION D'EXPLOITATION</t>
        </is>
      </c>
      <c r="B17">
        <f>[072.EtLoc]=-CtaCptSolde("71*")</f>
        <v/>
      </c>
    </row>
    <row r="18">
      <c r="A18" t="inlineStr">
        <is>
          <t>+AUTRES PRODUITS</t>
        </is>
      </c>
      <c r="B18">
        <f>[082.EtLoc]=-CtaCptSolde("74*","76*")</f>
        <v/>
      </c>
    </row>
    <row r="19">
      <c r="A19" t="inlineStr">
        <is>
          <t>+TRANSFERT DE CHARGES D'EXPLOITATION</t>
        </is>
      </c>
      <c r="B19">
        <f>[092.EtLoc]=-CtaCptSolde("781*")</f>
        <v/>
      </c>
    </row>
    <row r="20">
      <c r="A20" t="inlineStr">
        <is>
          <t>-ACHATS DE MATIERES PREMIERES</t>
        </is>
      </c>
      <c r="B20">
        <f>[101.EtLoc]=-CtaCptSolde("601*","602*")</f>
        <v/>
      </c>
    </row>
    <row r="21">
      <c r="A21" t="inlineStr">
        <is>
          <t>-VARIATION DE STOCKS DE MATIERES PREMIERES</t>
        </is>
      </c>
      <c r="B21">
        <f>[102.EtLoc]=-CtaCptSolde("6032*")</f>
        <v/>
      </c>
    </row>
    <row r="22">
      <c r="A22" t="inlineStr">
        <is>
          <t>-AUTRES ACHATS</t>
        </is>
      </c>
      <c r="B22">
        <f>[201.EtLoc]=-CtaCptSolde("604*","609*")</f>
        <v/>
      </c>
    </row>
    <row r="23">
      <c r="A23" t="inlineStr">
        <is>
          <t>-VARIATION DE STOCKS AUTRES APPRO</t>
        </is>
      </c>
      <c r="B23">
        <f>[202.EtLoc]=-CtaCptSolde("6033*","6038*")</f>
        <v/>
      </c>
    </row>
    <row r="24">
      <c r="A24" t="inlineStr">
        <is>
          <t>-TRANSPORT</t>
        </is>
      </c>
      <c r="B24">
        <f>[301.EtLoc]=-CtaCptSolde("61*")</f>
        <v/>
      </c>
    </row>
    <row r="25">
      <c r="A25" t="inlineStr">
        <is>
          <t>-SERVICES EXTERIEURS</t>
        </is>
      </c>
      <c r="B25">
        <f>[302.EtLoc]=-CtaCptSolde("62*","63*")</f>
        <v/>
      </c>
    </row>
    <row r="26">
      <c r="A26" t="inlineStr">
        <is>
          <t>-IMPOTS ET TAXES</t>
        </is>
      </c>
      <c r="B26">
        <f>[031.EtLoc]=-CtaCptSolde("64*")</f>
        <v/>
      </c>
    </row>
    <row r="27">
      <c r="A27" t="inlineStr">
        <is>
          <t>-AUTRES CHARGES</t>
        </is>
      </c>
      <c r="B27">
        <f>[032.EtLoc]=-CtaCptSolde("65*")</f>
        <v/>
      </c>
    </row>
    <row r="28">
      <c r="A28" t="inlineStr">
        <is>
          <t>VALEUR AJOUTEE (CA+E)</t>
        </is>
      </c>
      <c r="B28">
        <f>[091.EtLoc]=[071.EtLoc]+[062.EtLoc]+[052.EtLoc]+[072.EtLoc]+[082.EtLoc]+[092.EtLoc]+[101.EtLoc]+[102.EtLoc]+[201.EtLoc]+[202.EtLoc]+[301.EtLoc]+[302.EtLoc]+[031.EtLoc]+[032.EtLoc]</f>
        <v/>
      </c>
    </row>
    <row r="30">
      <c r="A30" t="inlineStr">
        <is>
          <t xml:space="preserve">-Charges de personnel </t>
        </is>
      </c>
      <c r="B30">
        <f>[121.EtLoc]=CtaCptSolde("66*")</f>
        <v/>
      </c>
    </row>
    <row r="31">
      <c r="A31" t="inlineStr">
        <is>
          <t>EXEDENT BRUT D'EXPLOITATION</t>
        </is>
      </c>
      <c r="B31">
        <f>[131.EtLoc]=[091.EtLoc]-([121.EtLoc])</f>
        <v/>
      </c>
    </row>
    <row r="33">
      <c r="A33" t="inlineStr">
        <is>
          <t>+Reprise sur amortissements, provisions et dépréciations</t>
        </is>
      </c>
      <c r="B33">
        <f>[141.EtLoc]=-CtaCptSolde("78*")</f>
        <v/>
      </c>
    </row>
    <row r="34">
      <c r="A34" t="inlineStr">
        <is>
          <t>-Dotations aux amortissements, provisions et dépréciations</t>
        </is>
      </c>
      <c r="B34">
        <f>[171.EtLoc]=CtaCptSolde("68*")</f>
        <v/>
      </c>
    </row>
    <row r="35">
      <c r="A35" t="inlineStr">
        <is>
          <t>RESULTAT D'EXPLOITATION</t>
        </is>
      </c>
      <c r="B35">
        <f>[191.EtLoc]=[131.EtLoc]+[141.EtLoc]+[151.EtLoc]+[161.EtLoc]-([171.EtLoc]+[181.EtLoc])</f>
        <v/>
      </c>
    </row>
    <row r="37">
      <c r="A37" t="inlineStr">
        <is>
          <t xml:space="preserve">+Produits financiers </t>
        </is>
      </c>
      <c r="B37">
        <f>[211.EtLoc]=-CtaCptSolde("77*")</f>
        <v/>
      </c>
    </row>
    <row r="38">
      <c r="A38" t="inlineStr">
        <is>
          <t xml:space="preserve">+Reprise de provisions et dépreciations financières </t>
        </is>
      </c>
      <c r="B38">
        <f>[212.EtLoc]=-CtaCptSolde("797*")</f>
        <v/>
      </c>
    </row>
    <row r="39">
      <c r="A39" t="inlineStr">
        <is>
          <t>+Transferts de charges financières</t>
        </is>
      </c>
      <c r="B39">
        <f>[221.EtLoc]=-CtaCptSolde("787*")</f>
        <v/>
      </c>
    </row>
    <row r="40">
      <c r="A40" t="inlineStr">
        <is>
          <t xml:space="preserve">-Frais financiers et charges assimilées </t>
        </is>
      </c>
      <c r="B40">
        <f>[231.EtLoc]=CtaCptSolde("67*")</f>
        <v/>
      </c>
    </row>
    <row r="41">
      <c r="A41" t="inlineStr">
        <is>
          <t>-Dotations aux provisions et aux dépréciations financières</t>
        </is>
      </c>
      <c r="B41">
        <f>[232.EtLoc]=CtaCptSolde("687*")</f>
        <v/>
      </c>
    </row>
    <row r="42">
      <c r="A42" t="inlineStr">
        <is>
          <t>RESULTAT FINANCIER (avant impôt)</t>
        </is>
      </c>
      <c r="B42">
        <f>[241.EtLoc]=[211.EtLoc]+[212.EtLoc]+[221.EtLoc]-[231.EtLoc]-[232.EtLoc]</f>
        <v/>
      </c>
    </row>
    <row r="43">
      <c r="A43" t="inlineStr">
        <is>
          <t>RESULTAT DES ACTIVITES ORDINAIRES</t>
        </is>
      </c>
      <c r="B43">
        <f>[242.EtLoc]=[191.EtLoc]+[241.EtLoc]</f>
        <v/>
      </c>
    </row>
    <row r="44">
      <c r="A44" t="inlineStr">
        <is>
          <t>+Produits des cessions d'immobilisations</t>
        </is>
      </c>
      <c r="B44">
        <f>[271.EtLoc]=-CtaCptSolde("84*")</f>
        <v/>
      </c>
    </row>
    <row r="45">
      <c r="A45" t="inlineStr">
        <is>
          <t>+Autres produits HAO</t>
        </is>
      </c>
      <c r="B45">
        <f>[251.EtLoc]=-CtaCptSolde("82*")</f>
        <v/>
      </c>
    </row>
    <row r="46">
      <c r="A46" t="inlineStr">
        <is>
          <t>-Valeur comptable des cessions d'immobilisations</t>
        </is>
      </c>
      <c r="B46">
        <f>[261.EtLoc]=CtaCptSolde("81*")+CtaCptSolde("83*")</f>
        <v/>
      </c>
    </row>
    <row r="47">
      <c r="A47" t="inlineStr">
        <is>
          <t>-Autres charges HAO</t>
        </is>
      </c>
      <c r="B47">
        <f>[262.EtLoc]=CtaCptSolde("85*")</f>
        <v/>
      </c>
    </row>
    <row r="48">
      <c r="A48" t="inlineStr">
        <is>
          <t>RESULTAT HORS ACTIVITES ORDINANIRES</t>
        </is>
      </c>
      <c r="B48">
        <f>[272.EtLoc]=[271.EtLoc]+[251.EtLoc]+[261.EtLoc]+[262.EtLoc]</f>
        <v/>
      </c>
    </row>
    <row r="50">
      <c r="A50" t="inlineStr">
        <is>
          <t xml:space="preserve">-Participation des salariés </t>
        </is>
      </c>
      <c r="B50">
        <f>[281.EtLoc]=CtaCptSolde("87*")</f>
        <v/>
      </c>
    </row>
    <row r="51">
      <c r="A51" t="inlineStr">
        <is>
          <t xml:space="preserve">-Impôts sur les bénéfices </t>
        </is>
      </c>
      <c r="B51">
        <f>[291.EtLoc]=CtaCptSolde("89*")</f>
        <v/>
      </c>
    </row>
    <row r="52">
      <c r="A52" t="inlineStr">
        <is>
          <t>RESULTAT NET COMPTABLE</t>
        </is>
      </c>
      <c r="B52">
        <f>[332.EtLoc]=[191.EtLoc]+[241.EtLoc]+[272.EtLoc]-[281.EtLoc]-[291.EtLoc]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2026-08-08T20:25:02Z</dcterms:created>
  <dcterms:modified xmlns:dcterms="http://purl.org/dc/terms/" xmlns:xsi="http://www.w3.org/2001/XMLSchema-instance" xsi:type="dcterms:W3CDTF">2026-08-08T20:25:02Z</dcterms:modified>
</cp:coreProperties>
</file>