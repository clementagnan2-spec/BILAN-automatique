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FINANCIERE (-FR-BFR-TN)</t>
        </is>
      </c>
    </row>
    <row r="2">
      <c r="A2" t="inlineStr">
        <is>
          <t>1</t>
        </is>
      </c>
    </row>
    <row r="3">
      <c r="A3" t="inlineStr">
        <is>
          <t>Edition du : 01/01/2024 au 31/12/2024                                                            Avec brouillard                    Hors simulation</t>
        </is>
      </c>
    </row>
    <row r="6">
      <c r="A6" t="inlineStr">
        <is>
          <t>RUBRIQUE</t>
        </is>
      </c>
      <c r="B6" t="inlineStr">
        <is>
          <t>N</t>
        </is>
      </c>
      <c r="C6" t="inlineStr">
        <is>
          <t>N-1</t>
        </is>
      </c>
      <c r="D6" t="inlineStr">
        <is>
          <t>%</t>
        </is>
      </c>
    </row>
    <row r="7">
      <c r="A7" t="inlineStr">
        <is>
          <t>RESULTAT NET COMPTABLE</t>
        </is>
      </c>
      <c r="B7" t="e">
        <v>#NAME?</v>
      </c>
    </row>
    <row r="9">
      <c r="A9" t="inlineStr">
        <is>
          <t>DETERMINATION DE LA CAPACITE D'AUTOFINANCEMENT</t>
        </is>
      </c>
    </row>
    <row r="10">
      <c r="A10" t="inlineStr">
        <is>
          <t>EBE</t>
        </is>
      </c>
      <c r="B10">
        <f>[011.EtLoc]=-CtaCptSolde("701*")+CtaCptSolde("601*")-CtaCptSolde("702*","704*")-CtaCptSolde("705*","706*")-CtaCptSolde("707")-CtaCptSolde("713*")-CtaCptSolde("72*","73*")-CtaCptSolde("71*")-CtaCptSolde("74*","76*")-CtaCptSolde("781*")-CtaCptSolde("601*","602*")-CtaCptSolde("6032*")-CtaCptSolde("604*","609*")-CtaCptSolde("6033*","6038*")-CtaCptSolde("61*")-CtaCptSolde("62*","63*")-CtaCptSolde("64*")-CtaCptSolde("65*")-CtaCptSolde("66*")</f>
        <v/>
      </c>
    </row>
    <row r="11">
      <c r="A11" t="inlineStr">
        <is>
          <t>- VALEURS COMPTABLE DE CESSION COURANTES D'IMM 654</t>
        </is>
      </c>
      <c r="B11">
        <f>[331.EtLoc]=-CtaCptSolde("654*")</f>
        <v/>
      </c>
    </row>
    <row r="12">
      <c r="A12" t="inlineStr">
        <is>
          <t>+PRODUITS DE CESSION COURANTES D'IMM 754</t>
        </is>
      </c>
      <c r="B12">
        <f>[311.EtLoc]=CtaCptSolde("754*")</f>
        <v/>
      </c>
    </row>
    <row r="13">
      <c r="A13" t="inlineStr">
        <is>
          <t>+TRANSFERT DE CHARGES D'EXPLOITATION</t>
        </is>
      </c>
      <c r="B13">
        <f>[311.EtLoc]=CtaCptSolde("781*")</f>
        <v/>
      </c>
    </row>
    <row r="14">
      <c r="A14" t="inlineStr">
        <is>
          <t>CAPACITE D'AUTOFINANCEMENT D'EXPLOITATION</t>
        </is>
      </c>
      <c r="B14">
        <f>[312.EtLoc]=[311.EtLoc]+[331.EtLoc]+[011.EtLoc]</f>
        <v/>
      </c>
    </row>
    <row r="15">
      <c r="A15" t="inlineStr">
        <is>
          <t>+REVENUS FINANCIERS</t>
        </is>
      </c>
      <c r="B15">
        <f>[101.EtLoc]=-CtaCptSolde("77*")</f>
        <v/>
      </c>
    </row>
    <row r="16">
      <c r="A16" t="inlineStr">
        <is>
          <t>+GAINS DE CHANGE</t>
        </is>
      </c>
    </row>
    <row r="17">
      <c r="A17" t="inlineStr">
        <is>
          <t>+TRANSFERTS DE CHARGES FINANCIERES</t>
        </is>
      </c>
      <c r="B17">
        <f>[291.EtLoc]=CtaCptSolde("787*")</f>
        <v/>
      </c>
    </row>
    <row r="18">
      <c r="A18" t="inlineStr">
        <is>
          <t>+PRODUITS HAO</t>
        </is>
      </c>
      <c r="B18">
        <f>[291.EtLoc]=CtaCptSolde("84*")</f>
        <v/>
      </c>
    </row>
    <row r="19">
      <c r="A19" t="inlineStr">
        <is>
          <t>-FRAIS FINANCIERS</t>
        </is>
      </c>
      <c r="B19">
        <f>[301.EtLoc]=-CtaCptSolde("67*")</f>
        <v/>
      </c>
    </row>
    <row r="20">
      <c r="A20" t="inlineStr">
        <is>
          <t>-PERTES DE CHANGE</t>
        </is>
      </c>
    </row>
    <row r="21">
      <c r="A21" t="inlineStr">
        <is>
          <t>-PARTICIPATION</t>
        </is>
      </c>
      <c r="B21">
        <f>[281.EtLoc]=-CtaCptSolde("87*")</f>
        <v/>
      </c>
    </row>
    <row r="22">
      <c r="A22" t="inlineStr">
        <is>
          <t>-IMPOTS SUR LES RESULTATS</t>
        </is>
      </c>
      <c r="B22">
        <f>[291.EtLoc]=-CtaCptSolde("89*")</f>
        <v/>
      </c>
    </row>
    <row r="23">
      <c r="A23" t="inlineStr">
        <is>
          <t>CAPACITE D'AUTOFINANCEMENT GLOBAL (CAFG)</t>
        </is>
      </c>
      <c r="B23">
        <f>[332.EtLoc]=[312.EtLoc]+[101.EtLoc]+[301.EtLoc]</f>
        <v/>
      </c>
    </row>
    <row r="24">
      <c r="A24" t="inlineStr">
        <is>
          <t>-DISTRIBUTION DE DIVIDENDES OPEEREES DURANT L'EXERCICE</t>
        </is>
      </c>
      <c r="B24">
        <f>[291.EtLoc]=CtaCptSolde("465*")</f>
        <v/>
      </c>
    </row>
    <row r="25">
      <c r="A25" t="inlineStr">
        <is>
          <t>AUTOFINANCEMENT</t>
        </is>
      </c>
      <c r="B25">
        <f>[302.EtLoc]=[332.EtLoc]</f>
        <v/>
      </c>
    </row>
    <row r="26">
      <c r="A26" t="inlineStr">
        <is>
          <t>RENTABILITE ECONOMIQUE=RESULTAT EXP/CAP PROPRES+DETTES FI</t>
        </is>
      </c>
      <c r="B26">
        <f>(-CtaCptSolde("701*")+CtaCptSolde("601*")-CtaCptSolde("702*","704*")-CtaCptSolde("705*","706*")-CtaCptSolde("707")-CtaCptSolde("713*")-CtaCptSolde("72*","73*")-CtaCptSolde("71*")-CtaCptSolde("74*","76*")-CtaCptSolde("781*")-CtaCptSolde("601*","602*")-CtaCptSolde("6030*","6032*")-CtaCptSolde("604*","609*")-CtaCptSolde("6033*","6038*")-CtaCptSolde("61*")-CtaCptSolde("62*","63*")-CtaCptSolde("64*")-CtaCptSolde("65*")-CtaCptSolde("66*")+CtaCptSolde("78*")-CtaCptSolde("68*"))*Ratio(1/10,kNum1,"%",1)/(-CtaCptSolde("1*","15*")-CtaCptSolde("16*"))</f>
        <v/>
      </c>
    </row>
    <row r="27">
      <c r="A27" t="inlineStr">
        <is>
          <t>RENTABILITE FINANCIERE= RESULT NET/CAP PROPRES</t>
        </is>
      </c>
      <c r="B27">
        <f>(CtaCptSolde("7*")+CtaCptSolde("6*"))*100/CtaCptSolde("1*","15*")</f>
        <v/>
      </c>
    </row>
    <row r="28">
      <c r="A28" t="inlineStr">
        <is>
          <t>ANALYSE DE LA SITUATION FINANCIERE</t>
        </is>
      </c>
    </row>
    <row r="29">
      <c r="A29" t="inlineStr">
        <is>
          <t>CAPITAUX PROPRES ET RESSOURCES ASSIMILEES</t>
        </is>
      </c>
      <c r="B29">
        <f>[291.EtLoc]=-CtaCptSolde("1*","15*")-CtaCptSolde("7*")-CtaCptSolde("6*")</f>
        <v/>
      </c>
    </row>
    <row r="30">
      <c r="A30" t="inlineStr">
        <is>
          <t>+DETTES FINANCIERES</t>
        </is>
      </c>
      <c r="B30">
        <f>[291.EtLoc]=-CtaCptSolde("16*")</f>
        <v/>
      </c>
    </row>
    <row r="31">
      <c r="A31">
        <f>RESSOUCES STABLES</f>
        <v/>
      </c>
      <c r="B31">
        <f>[291.EtLoc]=-CtaCptSolde("1*")-CtaCptSolde("7*")-CtaCptSolde("6*")</f>
        <v/>
      </c>
    </row>
    <row r="32">
      <c r="A32" t="inlineStr">
        <is>
          <t>-ACTIFS IMMOBILISES</t>
        </is>
      </c>
      <c r="B32">
        <f>[291.EtLoc]=-CtaCptSolde("2*")</f>
        <v/>
      </c>
    </row>
    <row r="33">
      <c r="A33">
        <f>FONDS DE ROULEMENT -1</f>
        <v/>
      </c>
      <c r="B33">
        <f>[291.EtLoc]=-CtaCptSolde("1*")-CtaCptSolde("2*")-CtaCptSolde("7*")-CtaCptSolde("6*")</f>
        <v/>
      </c>
    </row>
    <row r="34">
      <c r="A34" t="inlineStr">
        <is>
          <t>+ACTIF CIRCULANT D'EXP</t>
        </is>
      </c>
      <c r="B34">
        <f>CtaCptSoldeDébit("3*","46*")</f>
        <v/>
      </c>
    </row>
    <row r="35">
      <c r="A35" t="inlineStr">
        <is>
          <t>-PASSIF CIRCULANT D'EXP</t>
        </is>
      </c>
      <c r="B35">
        <f>CtaCptSoldeCrédit("3*","46*")</f>
        <v/>
      </c>
    </row>
    <row r="36">
      <c r="A36">
        <f>BESOIN DE FINANCEMENT D'EXPLOITATION-2</f>
        <v/>
      </c>
      <c r="B36">
        <f>[291.EtLoc]=CtaCptSoldeDébit("3*","46*")-CtaCptSoldeCrédit("3*","46*")</f>
        <v/>
      </c>
    </row>
    <row r="37">
      <c r="A37" t="inlineStr">
        <is>
          <t>+ACTIF CIRCULANT HAO</t>
        </is>
      </c>
      <c r="B37">
        <f>CtaCptSoldeDébit("47*","49*")</f>
        <v/>
      </c>
    </row>
    <row r="38">
      <c r="A38" t="inlineStr">
        <is>
          <t>-PASSIF CIRCULANT HAO</t>
        </is>
      </c>
      <c r="B38">
        <f>CtaCptSoldeCrédit("47*","49*")</f>
        <v/>
      </c>
    </row>
    <row r="39">
      <c r="A39">
        <f>BESOIN DE FINANCEMENT HAO-3 </f>
        <v/>
      </c>
      <c r="B39">
        <f>[291.EtLoc]=CtaCptSoldeDébit("47*","49*")-CtaCptSoldeCrédit("47*","49*")</f>
        <v/>
      </c>
    </row>
    <row r="40">
      <c r="A40" t="inlineStr">
        <is>
          <t>BESOIN DE FINANCEMENT GLOBAL -4 =2+3</t>
        </is>
      </c>
      <c r="B40">
        <f>[291.EtLoc]=CtaCptSoldeDébit("3*","46*")-CtaCptSoldeCrédit("3*","46*")+CtaCptSoldeDébit("47*","49*")-CtaCptSoldeCrédit("47*","49*")</f>
        <v/>
      </c>
    </row>
    <row r="42">
      <c r="A42" t="inlineStr">
        <is>
          <t>TRESORERIE NETTE -5 =1-4</t>
        </is>
      </c>
      <c r="B42">
        <f>-CtaCptSolde("7*")-CtaCptSolde("6*")-CtaCptSolde("1*")-CtaCptSolde("2*")-(CtaCptSoldeDébit("3*","46*")-CtaCptSoldeCrédit("3*","46*")+CtaCptSoldeDébit("47*","49*")-CtaCptSoldeCrédit("47*","49*"))</f>
        <v/>
      </c>
    </row>
    <row r="43">
      <c r="A43" t="inlineStr">
        <is>
          <t>CONTROL TRESORERIE NETTE</t>
        </is>
      </c>
    </row>
    <row r="44">
      <c r="A44" t="inlineStr">
        <is>
          <t>+FLUX DE LA TRESORERIE DES ACTIVITES OPERATIONNELLES</t>
        </is>
      </c>
      <c r="B44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</f>
        <v/>
      </c>
    </row>
    <row r="45">
      <c r="A45" t="inlineStr">
        <is>
          <t>-FLUX DE LA TRESORERIE DES ACTIVITES D'INVESTISSEMENT</t>
        </is>
      </c>
      <c r="B45">
        <f>-CtaCptSolde("21*")+CtaCptSoldeNm1("21*")-CtaCptSolde("22*","25*")+CtaCptSoldeNm1("22*","25*")-CtaCptSolde("26*","27*")+CtaCptSoldeNm1("26*","27*")</f>
        <v/>
      </c>
    </row>
    <row r="46">
      <c r="A46" t="inlineStr">
        <is>
          <t>+FLUX DE LA TRESORERIE DES ACTIVITES DE FINANCEMENT</t>
        </is>
      </c>
      <c r="B46">
        <f>-CtaCptSolde("10*")+CtaCptSoldeNm1("10*")-CtaCptSolde("14*")+CtaCptSoldeNm1("14*")-CtaCptSolde("16*")+CtaCptSoldeNm1("16*")</f>
        <v/>
      </c>
    </row>
    <row r="47">
      <c r="A47" t="inlineStr">
        <is>
          <t>VARIATION DE LA TRESORERIE NETTE DE LA PERIODE</t>
        </is>
      </c>
      <c r="B47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-CtaCptSolde("21*")+CtaCptSoldeNm1("21*")-CtaCptSolde("22*","25*")+CtaCptSoldeNm1("22*","25*")-CtaCptSolde("26*","27*")+CtaCptSoldeNm1("26*","27*")-CtaCptSolde("10*")+CtaCptSoldeNm1("10*")-CtaCptSolde("14*")+CtaCptSoldeNm1("14*")-CtaCptSolde("16*")+CtaCptSoldeNm1("16*")</f>
        <v/>
      </c>
    </row>
    <row r="48">
      <c r="A48" t="inlineStr">
        <is>
          <t>ENDETTEMENT FINANCIER BRUT (DETTES FIN +TRESORERIE PASSIF)</t>
        </is>
      </c>
      <c r="B48">
        <f>CtaCptSoldeCrédit("16*","17*")-CtaCptSoldeDébit("16*","17*")+CtaCptSoldeCrédit("50*","59*")</f>
        <v/>
      </c>
    </row>
    <row r="49">
      <c r="A49" t="inlineStr">
        <is>
          <t>-TRESORERIE ACTIF</t>
        </is>
      </c>
      <c r="B49">
        <f>-CtaCptSoldeDébit("50*","57*")</f>
        <v/>
      </c>
    </row>
    <row r="50">
      <c r="A50">
        <f> ENDETTEMENT FINANCIER NET</f>
        <v/>
      </c>
      <c r="B50">
        <f>CtaCptSoldeCrédit("16*","17*")-CtaCptSoldeDébit("16*","17*")+CtaCptSoldeCrédit("50*","59*")-CtaCptSoldeDébit("50*","57*")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2026-08-08T20:25:02Z</dcterms:created>
  <dcterms:modified xmlns:dcterms="http://purl.org/dc/terms/" xmlns:xsi="http://www.w3.org/2001/XMLSchema-instance" xsi:type="dcterms:W3CDTF">2026-08-08T20:25:02Z</dcterms:modified>
</cp:coreProperties>
</file>