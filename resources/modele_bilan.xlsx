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uil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BILAN SYNTHETIQUE</t>
        </is>
      </c>
    </row>
    <row r="2">
      <c r="A2" t="inlineStr">
        <is>
          <t>1</t>
        </is>
      </c>
    </row>
    <row r="3">
      <c r="A3" t="inlineStr">
        <is>
          <t xml:space="preserve">Edition du : 01/01/2024 au 31/12/2024                                                            </t>
        </is>
      </c>
    </row>
    <row r="5">
      <c r="C5" t="inlineStr">
        <is>
          <t>Exercice N</t>
        </is>
      </c>
      <c r="E5" t="inlineStr">
        <is>
          <t>N-1</t>
        </is>
      </c>
    </row>
    <row r="6">
      <c r="A6" t="inlineStr">
        <is>
          <t>ACTIF</t>
        </is>
      </c>
      <c r="B6" t="inlineStr">
        <is>
          <t>Brut</t>
        </is>
      </c>
      <c r="C6" t="inlineStr">
        <is>
          <t>Amortissements</t>
        </is>
      </c>
      <c r="D6" t="inlineStr">
        <is>
          <t>Net</t>
        </is>
      </c>
      <c r="E6" t="inlineStr">
        <is>
          <t>Net</t>
        </is>
      </c>
      <c r="F6" t="inlineStr">
        <is>
          <t>PASSIF</t>
        </is>
      </c>
      <c r="G6" t="inlineStr">
        <is>
          <t>Exercice N</t>
        </is>
      </c>
      <c r="H6" t="inlineStr">
        <is>
          <t>Exercice</t>
        </is>
      </c>
    </row>
    <row r="7">
      <c r="C7" t="inlineStr">
        <is>
          <t>et provisions</t>
        </is>
      </c>
      <c r="G7" t="inlineStr">
        <is>
          <t>net</t>
        </is>
      </c>
      <c r="H7" t="inlineStr">
        <is>
          <t>N-1 net</t>
        </is>
      </c>
    </row>
    <row r="8">
      <c r="A8" t="inlineStr">
        <is>
          <t>Charges immo</t>
        </is>
      </c>
      <c r="B8">
        <f>CtaCptSolde("201*","209*")</f>
        <v/>
      </c>
      <c r="C8">
        <f>-CtaCptSolde("280*")-CtaCptSolde("290*")</f>
        <v/>
      </c>
      <c r="D8">
        <f>CtaCptSolde("201*","209*")-(-CtaCptSolde("280*")-CtaCptSolde("290*"))</f>
        <v/>
      </c>
      <c r="E8">
        <f>CtaCptSoldeNm1("201*","209*")-(-CtaCptSoldeNm1("280*")-CtaCptSoldeNm1("290*"))</f>
        <v/>
      </c>
    </row>
    <row r="9">
      <c r="A9" t="inlineStr">
        <is>
          <t>RED+Brevets, Logiciels licence :211</t>
        </is>
      </c>
      <c r="B9">
        <f>CtaCptSolde("21*")</f>
        <v/>
      </c>
      <c r="C9">
        <f>-CtaCptSolde("281*")-CtaCptSolde("291*")</f>
        <v/>
      </c>
      <c r="D9">
        <f>CtaCptSolde("21*")-(-CtaCptSolde("281*")-CtaCptSolde("291*"))</f>
        <v/>
      </c>
      <c r="E9">
        <f>CtaCptSoldeNm1("21*")-(-CtaCptSoldeNm1("281*")-CtaCptSoldeNm1("291*"))</f>
        <v/>
      </c>
      <c r="F9" t="inlineStr">
        <is>
          <t>Capitaux propres</t>
        </is>
      </c>
    </row>
    <row r="10">
      <c r="A10" t="inlineStr">
        <is>
          <t>Terrains22</t>
        </is>
      </c>
      <c r="B10">
        <f>CtaCptSolde("22*")</f>
        <v/>
      </c>
      <c r="C10">
        <f>-CtaCptSolde("282*")-CtaCptSolde("292*")</f>
        <v/>
      </c>
      <c r="D10">
        <f>CtaCptSolde("22*")-(-CtaCptSolde("282*")-CtaCptSolde("292*"))</f>
        <v/>
      </c>
      <c r="E10">
        <f>CtaCptSoldeNm1("22*")-(-CtaCptSoldeNm1("282*")-CtaCptSoldeNm1("292*"))</f>
        <v/>
      </c>
      <c r="F10" t="inlineStr">
        <is>
          <t xml:space="preserve">     Capital *10*</t>
        </is>
      </c>
      <c r="G10">
        <f>[R120.EtLoc]=-CtaCptSolde("10*")</f>
        <v/>
      </c>
      <c r="H10">
        <f>-CtaCptSoldeNm1("10*")</f>
        <v/>
      </c>
    </row>
    <row r="11">
      <c r="A11" t="inlineStr">
        <is>
          <t>Batiments231-234</t>
        </is>
      </c>
      <c r="B11">
        <f>CtaCptSolde("231*","233*")</f>
        <v/>
      </c>
      <c r="C11">
        <f>-CtaCptSolde("2831*","2833*")-CtaCptSolde("2931*","2933*")</f>
        <v/>
      </c>
      <c r="D11">
        <f>CtaCptSolde("231*","233*")-(-CtaCptSolde("2831*","2833*")-CtaCptSolde("2931*","2933*"))</f>
        <v/>
      </c>
      <c r="E11">
        <f>CtaCptSoldeNm1("231*","233*")-(-CtaCptSoldeNm1("2831*","2833*")-CtaCptSoldeNm1("2931*","2933*"))</f>
        <v/>
      </c>
      <c r="F11" t="inlineStr">
        <is>
          <t xml:space="preserve">     Réserves *11*</t>
        </is>
      </c>
      <c r="G11">
        <f>[R130.EtLoc]=-CtaCptSolde("11*")</f>
        <v/>
      </c>
      <c r="H11">
        <f>-CtaCptSoldeNm1("11*")</f>
        <v/>
      </c>
    </row>
    <row r="12">
      <c r="A12" t="inlineStr">
        <is>
          <t>Installations et agencements234-239</t>
        </is>
      </c>
      <c r="B12">
        <f>CtaCptSolde("234*","239*")</f>
        <v/>
      </c>
      <c r="C12">
        <f>-CtaCptSolde("2834*","2839*")-CtaCptSolde("2934*","2939*")</f>
        <v/>
      </c>
      <c r="D12">
        <f>CtaCptSolde("234*","239*")-(-CtaCptSolde("2834*","2839*")-CtaCptSolde("2934*","2939*"))</f>
        <v/>
      </c>
      <c r="E12">
        <f>CtaCptSoldeNm1("234*","239*")-(-CtaCptSoldeNm1("2834*","2839*")-CtaCptSoldeNm1("2934*","2939*"))</f>
        <v/>
      </c>
      <c r="F12" t="inlineStr">
        <is>
          <t>Report à nouveau *12*</t>
        </is>
      </c>
      <c r="G12">
        <f>[R140.EtLoc]=-CtaCptSolde("12*")</f>
        <v/>
      </c>
      <c r="H12">
        <f>-CtaCptSoldeNm1("12*")</f>
        <v/>
      </c>
    </row>
    <row r="13">
      <c r="A13" t="inlineStr">
        <is>
          <t>Materiels244</t>
        </is>
      </c>
      <c r="B13">
        <f>CtaCptSolde("240*","244*")</f>
        <v/>
      </c>
      <c r="C13">
        <f>-CtaCptSolde("2840*","2844*")-CtaCptSolde("2940*","2944*")</f>
        <v/>
      </c>
      <c r="D13">
        <f>CtaCptSolde("240*","244*")-(-CtaCptSolde("2840*","2844*")-CtaCptSolde("2940*","2944*"))</f>
        <v/>
      </c>
      <c r="E13">
        <f>CtaCptSoldeNm1("240*","244*")-(-CtaCptSoldeNm1("2840*","2844*")-CtaCptSoldeNm1("2940*","2944*"))</f>
        <v/>
      </c>
      <c r="F13" t="inlineStr">
        <is>
          <t xml:space="preserve">     Réserve légale *11*</t>
        </is>
      </c>
    </row>
    <row r="14">
      <c r="A14" t="inlineStr">
        <is>
          <t>Materiels de transport245</t>
        </is>
      </c>
      <c r="B14">
        <f>CtaCptSolde("245*")</f>
        <v/>
      </c>
      <c r="C14">
        <f>-CtaCptSolde("2845*","2849*")-CtaCptSolde("2945*","2949*")</f>
        <v/>
      </c>
      <c r="D14">
        <f>CtaCptSolde("245*")-(-CtaCptSolde("2845*","2849*")-CtaCptSolde("2945*","2949*"))</f>
        <v/>
      </c>
      <c r="E14">
        <f>CtaCptSoldeNm1("245*")-(-CtaCptSoldeNm1("2845*","2849*")-CtaCptSoldeNm1("2945*","2949*"))</f>
        <v/>
      </c>
      <c r="F14" t="inlineStr">
        <is>
          <t xml:space="preserve">     Résultat (bénéfice ou perte)*13*</t>
        </is>
      </c>
      <c r="G14">
        <f>[R150.EtLoc]=-CtaCptSolde("7*")-CtaCptSolde("6*")</f>
        <v/>
      </c>
      <c r="H14">
        <f>-CtaCptSoldeNm1("7*")-CtaCptSoldeNm1("6*")</f>
        <v/>
      </c>
    </row>
    <row r="15">
      <c r="A15" t="inlineStr">
        <is>
          <t>Avances et accomptes verses sur immo25</t>
        </is>
      </c>
      <c r="B15">
        <f>CtaCptSolde("25*")</f>
        <v/>
      </c>
      <c r="C15">
        <f>-CtaCptSolde("2850*","2859*")-CtaCptSolde("2950*","2959*")</f>
        <v/>
      </c>
      <c r="D15">
        <f>CtaCptSolde("25*")-(-CtaCptSolde("2850*","2859*")-CtaCptSolde("2950*","2959*"))</f>
        <v/>
      </c>
      <c r="E15">
        <f>CtaCptSoldeNm1("25*")-(-CtaCptSoldeNm1("2850*","2859*")-CtaCptSoldeNm1("2950*","2959*"))</f>
        <v/>
      </c>
      <c r="F15" t="inlineStr">
        <is>
          <t xml:space="preserve">     Résultats antérieurs *13-15*</t>
        </is>
      </c>
      <c r="G15">
        <f>[R152.EtLoc]=-CtaCptSolde("13*","15*")</f>
        <v/>
      </c>
      <c r="H15">
        <f>-CtaCptSoldeNm1("13*","15*")</f>
        <v/>
      </c>
    </row>
    <row r="16">
      <c r="A16" t="inlineStr">
        <is>
          <t>Immobilisations financiès26</t>
        </is>
      </c>
      <c r="B16">
        <f>CtaCptSolde("26*")+CtaCptSolde("27*")</f>
        <v/>
      </c>
      <c r="C16">
        <f>-CtaCptSolde("2860*","2869*")-CtaCptSolde("2960*","2969*")</f>
        <v/>
      </c>
      <c r="D16">
        <f>CtaCptSolde("26*")+CtaCptSolde("27*")-(-CtaCptSolde("2860*","2869*")-CtaCptSolde("2960*","2969*"))</f>
        <v/>
      </c>
      <c r="E16">
        <f>CtaCptSoldeNm1("26*")+CtaCptSoldeNm1("27*")-(-CtaCptSoldeNm1("2860*","2869*")-CtaCptSoldeNm1("2960*","2969*"))</f>
        <v/>
      </c>
      <c r="F16" t="inlineStr">
        <is>
          <t xml:space="preserve">      Emprunts bancaires (II) 16-17</t>
        </is>
      </c>
      <c r="G16">
        <f>[R153.EtLoc]=CtaCptSoldeCrédit("16*","17*")-CtaCptSoldeDébit("16*","17*")</f>
        <v/>
      </c>
      <c r="H16">
        <f>CtaCptSoldeCréditNm1("16*","17*")-CtaCptSoldeDébitNm1("16*","17*")</f>
        <v/>
      </c>
    </row>
    <row r="17">
      <c r="A17" t="inlineStr">
        <is>
          <t xml:space="preserve">         TOTAL I</t>
        </is>
      </c>
      <c r="B17">
        <f>CtaCptSolde("201*","27*")</f>
        <v/>
      </c>
      <c r="C17">
        <f>-CtaCptSolde("280*","2869*")-CtaCptSolde("290*","2969*")</f>
        <v/>
      </c>
      <c r="D17">
        <f>CtaCptSolde("20*","27*")-(-CtaCptSolde("280*","2869*")-CtaCptSolde("290*","2969*"))</f>
        <v/>
      </c>
      <c r="E17">
        <f>CtaCptSoldeNm1("20*","27*")-(-CtaCptSoldeNm1("280*","2869*")-CtaCptSoldeNm1("290*","2969*"))</f>
        <v/>
      </c>
      <c r="F17" t="inlineStr">
        <is>
          <t>Liaison interne *18*</t>
        </is>
      </c>
      <c r="G17">
        <f>[R170.EtLoc]=CtaCptSoldeCrédit("18*")-CtaCptSoldeDébit("18*")</f>
        <v/>
      </c>
      <c r="H17">
        <f>CtaCptSoldeCréditNm1("18*")-CtaCptSoldeDébitNm1("18*")</f>
        <v/>
      </c>
    </row>
    <row r="18">
      <c r="A18" t="inlineStr">
        <is>
          <t>Actif circulant :</t>
        </is>
      </c>
      <c r="F18" t="inlineStr">
        <is>
          <t>Prov fin + banq créditrices *19*</t>
        </is>
      </c>
      <c r="G18">
        <f>[R171.EtLoc]=CtaCptSolde("19*")</f>
        <v/>
      </c>
      <c r="H18">
        <f>CtaCptSoldeNm1("19*")</f>
        <v/>
      </c>
    </row>
    <row r="19">
      <c r="A19" t="inlineStr">
        <is>
          <t xml:space="preserve">     Marchandises *31*39*</t>
        </is>
      </c>
      <c r="B19">
        <f>CtaCptSoldeDébit("3*","39*")-CtaCptSoldeCrédit("3*","39*")</f>
        <v/>
      </c>
      <c r="D19">
        <f>CtaCptSoldeDébit("3*","39*")-CtaCptSoldeCrédit("3*","39*")</f>
        <v/>
      </c>
      <c r="E19">
        <f>CtaCptSoldeDébitNm1("3*","39*")-CtaCptSoldeCréditNm1("3*","39*")</f>
        <v/>
      </c>
    </row>
    <row r="20">
      <c r="A20" t="inlineStr">
        <is>
          <t>Stoks 31</t>
        </is>
      </c>
      <c r="B20">
        <f>CtaCptSoldeDébit("31*")</f>
        <v/>
      </c>
      <c r="D20">
        <f>CtaCptSoldeDébit("31*")</f>
        <v/>
      </c>
      <c r="E20">
        <f>CtaCptSoldeDébitNm1("31*")</f>
        <v/>
      </c>
    </row>
    <row r="21">
      <c r="A21" t="inlineStr">
        <is>
          <t>Stoks 32</t>
        </is>
      </c>
      <c r="B21">
        <f>CtaCptSoldeDébit("32*")</f>
        <v/>
      </c>
      <c r="D21">
        <f>CtaCptSoldeDébit("32*")</f>
        <v/>
      </c>
      <c r="E21">
        <f>CtaCptSoldeDébitNm1("32*")</f>
        <v/>
      </c>
      <c r="F21" t="inlineStr">
        <is>
          <t xml:space="preserve">   </t>
        </is>
      </c>
    </row>
    <row r="22">
      <c r="A22" t="inlineStr">
        <is>
          <t>Stoks 33</t>
        </is>
      </c>
      <c r="B22">
        <f>CtaCptSoldeDébit("33*")</f>
        <v/>
      </c>
      <c r="D22">
        <f>CtaCptSoldeDébit("33*")</f>
        <v/>
      </c>
      <c r="E22">
        <f>CtaCptSoldeDébitNm1("33*")</f>
        <v/>
      </c>
      <c r="F22" t="inlineStr">
        <is>
          <t xml:space="preserve">          TOTAL I</t>
        </is>
      </c>
      <c r="G22">
        <f>[R201.EtLoc]=[R120.EtLoc]+[R130.EtLoc]+[R140.EtLoc]+[R150.EtLoc]+[R152.EtLoc]+[R153.EtLoc]+[R170.EtLoc]+[R171.EtLoc]</f>
        <v/>
      </c>
      <c r="H22">
        <f>-CtaCptSoldeNm1("10*","19*")</f>
        <v/>
      </c>
    </row>
    <row r="23">
      <c r="A23" t="inlineStr">
        <is>
          <t>Stoks 36</t>
        </is>
      </c>
      <c r="B23">
        <f>CtaCptSoldeDébit("36*")</f>
        <v/>
      </c>
      <c r="D23">
        <f>CtaCptSoldeDébit("36*")</f>
        <v/>
      </c>
      <c r="E23">
        <f>CtaCptSoldeDébitNm1("36*")</f>
        <v/>
      </c>
    </row>
    <row r="24">
      <c r="A24" t="inlineStr">
        <is>
          <t>Stoks 38</t>
        </is>
      </c>
      <c r="B24">
        <f>CtaCptSoldeDébit("38*")</f>
        <v/>
      </c>
      <c r="D24">
        <f>CtaCptSoldeDébit("38*")</f>
        <v/>
      </c>
      <c r="E24">
        <f>CtaCptSoldeDébitNm1("38*")</f>
        <v/>
      </c>
    </row>
    <row r="26">
      <c r="A26" t="inlineStr">
        <is>
          <t xml:space="preserve">    Frs avaces versées *40*</t>
        </is>
      </c>
      <c r="B26">
        <f>CtaCptSoldeDébit("40*")</f>
        <v/>
      </c>
      <c r="D26">
        <f>CtaCptSoldeDébit("40*")</f>
        <v/>
      </c>
      <c r="E26">
        <f>CtaCptSoldeDébitNm1("40*")</f>
        <v/>
      </c>
      <c r="F26" t="inlineStr">
        <is>
          <t>Fournisseurs *40</t>
        </is>
      </c>
      <c r="G26">
        <f>CtaCptSoldeCrédit("40*")</f>
        <v/>
      </c>
      <c r="H26">
        <f>CtaCptSoldeCréditNm1("40*")</f>
        <v/>
      </c>
    </row>
    <row r="27">
      <c r="A27" t="inlineStr">
        <is>
          <t>Client débiteurs *411*</t>
        </is>
      </c>
      <c r="B27">
        <f>CtaCptSoldeDébit("41*")</f>
        <v/>
      </c>
      <c r="D27">
        <f>CtaCptSoldeDébit("41*")</f>
        <v/>
      </c>
      <c r="E27">
        <f>CtaCptSoldeDébitNm1("41*")</f>
        <v/>
      </c>
      <c r="F27" t="inlineStr">
        <is>
          <t>Clients créditeurs *411</t>
        </is>
      </c>
      <c r="G27">
        <f>CtaCptSoldeCrédit("41*")</f>
        <v/>
      </c>
      <c r="H27">
        <f>CtaCptSoldeCréditNm1("41*")</f>
        <v/>
      </c>
    </row>
    <row r="28">
      <c r="A28" t="inlineStr">
        <is>
          <t>Personel (Débiteurs *42*)</t>
        </is>
      </c>
      <c r="B28">
        <f>CtaCptSoldeDébit("42*")</f>
        <v/>
      </c>
      <c r="D28">
        <f>CtaCptSoldeDébit("42*")</f>
        <v/>
      </c>
      <c r="E28">
        <f>CtaCptSoldeDébitNm1("42*")</f>
        <v/>
      </c>
      <c r="F28" t="inlineStr">
        <is>
          <t>Personel (crédit42*)</t>
        </is>
      </c>
      <c r="G28">
        <f>CtaCptSoldeCrédit("42*")</f>
        <v/>
      </c>
      <c r="H28">
        <f>CtaCptSoldeCréditNm1("42*")</f>
        <v/>
      </c>
    </row>
    <row r="29">
      <c r="A29" t="inlineStr">
        <is>
          <t>CNSS débiteur "43*")</t>
        </is>
      </c>
      <c r="B29">
        <f>CtaCptSoldeDébit("43*")</f>
        <v/>
      </c>
      <c r="D29">
        <f>CtaCptSoldeDébit("43*")</f>
        <v/>
      </c>
      <c r="E29">
        <f>CtaCptSoldeDébitNm1("43*")</f>
        <v/>
      </c>
      <c r="F29" t="inlineStr">
        <is>
          <t>CNSS et Autres crédit("43*")</t>
        </is>
      </c>
      <c r="G29">
        <f>CtaCptSoldeCrédit("43*")</f>
        <v/>
      </c>
      <c r="H29">
        <f>CtaCptSoldeCréditNm1("43*")</f>
        <v/>
      </c>
    </row>
    <row r="30">
      <c r="A30" t="inlineStr">
        <is>
          <t>IUTS -TPA -TVA *44*45* débiteurs</t>
        </is>
      </c>
      <c r="B30">
        <f>CtaCptSoldeDébit("44*","45*")</f>
        <v/>
      </c>
      <c r="D30">
        <f>CtaCptSoldeDébit("44*","45*")</f>
        <v/>
      </c>
      <c r="E30">
        <f>CtaCptSoldeDébitNm1("44*","45*")</f>
        <v/>
      </c>
      <c r="F30" t="inlineStr">
        <is>
          <t>IUTS -TPA -TVA *44*45* Créditeur</t>
        </is>
      </c>
      <c r="G30">
        <f>CtaCptSoldeCrédit("44*","45*")</f>
        <v/>
      </c>
      <c r="H30">
        <f>CtaCptSoldeCréditNm1("44*","45*")</f>
        <v/>
      </c>
    </row>
    <row r="31">
      <c r="A31" t="inlineStr">
        <is>
          <t>Débiteurs divers *46*</t>
        </is>
      </c>
      <c r="B31">
        <f>CtaCptSoldeDébit("46*")</f>
        <v/>
      </c>
      <c r="D31">
        <f>CtaCptSoldeDébit("46*")</f>
        <v/>
      </c>
      <c r="E31">
        <f>CtaCptSoldeDébitNm1("46*")</f>
        <v/>
      </c>
      <c r="F31" t="inlineStr">
        <is>
          <t>Créditeurs divers  *46*</t>
        </is>
      </c>
      <c r="G31">
        <f>CtaCptSoldeCrédit("46*")</f>
        <v/>
      </c>
      <c r="H31">
        <f>CtaCptSoldeCréditNm1("46*")</f>
        <v/>
      </c>
    </row>
    <row r="32">
      <c r="A32" t="inlineStr">
        <is>
          <t>HAO -Débiteurs divers *47*49*</t>
        </is>
      </c>
      <c r="B32">
        <f>CtaCptSoldeDébit("47*","49*")</f>
        <v/>
      </c>
      <c r="D32">
        <f>CtaCptSoldeDébit("47*","49*")</f>
        <v/>
      </c>
      <c r="E32">
        <f>CtaCptSoldeDébitNm1("47*","49*")</f>
        <v/>
      </c>
      <c r="F32" t="inlineStr">
        <is>
          <t>HAO-Créditeurs divers  *47*49*</t>
        </is>
      </c>
      <c r="G32">
        <f>CtaCptSoldeCrédit("47*","49*")</f>
        <v/>
      </c>
      <c r="H32">
        <f>CtaCptSoldeCréditNm1("47*","49*")</f>
        <v/>
      </c>
    </row>
    <row r="33">
      <c r="A33" t="inlineStr">
        <is>
          <t>Banq débitrices(50 ,56)</t>
        </is>
      </c>
      <c r="B33">
        <f>CtaCptSoldeDébit("50*","56*")</f>
        <v/>
      </c>
      <c r="D33">
        <f>CtaCptSoldeDébit("50*","56*")</f>
        <v/>
      </c>
      <c r="E33">
        <f>CtaCptSoldeDébitNm1("50*","56*")</f>
        <v/>
      </c>
      <c r="F33" t="inlineStr">
        <is>
          <t xml:space="preserve"> banq créditrices *50-56*</t>
        </is>
      </c>
      <c r="G33">
        <f>CtaCptSoldeCrédit("50*","56*")</f>
        <v/>
      </c>
      <c r="H33">
        <f>CtaCptSoldeCréditNm1("50*","56*")</f>
        <v/>
      </c>
    </row>
    <row r="34">
      <c r="A34" t="inlineStr">
        <is>
          <t>Caisse  débitrice 57 ,59</t>
        </is>
      </c>
      <c r="B34">
        <f>CtaCptSoldeDébit("57*","59*")</f>
        <v/>
      </c>
      <c r="D34">
        <f>CtaCptSoldeDébit("57*","59*")</f>
        <v/>
      </c>
      <c r="E34">
        <f>CtaCptSoldeDébitNm1("57*","59*")</f>
        <v/>
      </c>
      <c r="F34" t="inlineStr">
        <is>
          <t xml:space="preserve"> caisse créditrices **57*59*</t>
        </is>
      </c>
      <c r="G34">
        <f>CtaCptSoldeCrédit("57*","59*")</f>
        <v/>
      </c>
      <c r="H34">
        <f>CtaCptSoldeCréditNm1("57*","59*")</f>
        <v/>
      </c>
    </row>
    <row r="35">
      <c r="A35" t="inlineStr">
        <is>
          <t>2 112 856 004</t>
        </is>
      </c>
    </row>
    <row r="36">
      <c r="A36" t="inlineStr">
        <is>
          <t xml:space="preserve">         TOTAL II</t>
        </is>
      </c>
      <c r="B36">
        <f>CtaCptSoldeDébit("4*","59*")</f>
        <v/>
      </c>
      <c r="D36">
        <f>CtaCptSoldeDébit("4*","59*")</f>
        <v/>
      </c>
      <c r="E36">
        <f>CtaCptSoldeDébitNm1("4*","59*")</f>
        <v/>
      </c>
      <c r="F36" t="inlineStr">
        <is>
          <t xml:space="preserve">          TOTAL II</t>
        </is>
      </c>
      <c r="G36">
        <f>CtaCptSoldeCrédit("4*","59*")</f>
        <v/>
      </c>
      <c r="H36">
        <f>CtaCptSoldeCréditNm1("4*","59*")</f>
        <v/>
      </c>
    </row>
    <row r="37">
      <c r="A37" t="inlineStr">
        <is>
          <t>TOTAL GENERAL (I+II+III)</t>
        </is>
      </c>
      <c r="B37">
        <f>CtaCptSoldeDébit("20*","59*")</f>
        <v/>
      </c>
      <c r="C37">
        <f>-CtaCptSolde("280*","2869*")-CtaCptSolde("290*","2969*")</f>
        <v/>
      </c>
      <c r="D37">
        <f>CtaCptSolde("20*","27*")-(-CtaCptSolde("280*","2869*")-CtaCptSolde("290*","2969*"))+CtaCptSoldeDébit("3*","39*")-CtaCptSoldeCrédit("3*","39*")+CtaCptSoldeDébit("4*","59*")</f>
        <v/>
      </c>
      <c r="E37">
        <f>CtaCptSoldeNm1("20*","27*")-(-CtaCptSoldeNm1("280*","2869*")-CtaCptSoldeNm1("290*","2969*"))+CtaCptSoldeDébitNm1("3*","39*")-CtaCptSoldeCréditNm1("3*","39*")+CtaCptSoldeDébitNm1("4*","59*")</f>
        <v/>
      </c>
      <c r="F37" t="inlineStr">
        <is>
          <t>TOTAL GENERAL (I+II+III+IV)</t>
        </is>
      </c>
      <c r="G37">
        <f>[R200.EtLoc]=[R201.EtLoc]+CtaCptSoldeCrédit("4*","59*")</f>
        <v/>
      </c>
      <c r="H37">
        <f>-CtaCptSoldeNm1("10*","19*")+CtaCptSoldeCréditNm1("4*","59*")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2026-08-08T19:55:19Z</dcterms:created>
  <dcterms:modified xmlns:dcterms="http://purl.org/dc/terms/" xmlns:xsi="http://www.w3.org/2001/XMLSchema-instance" xsi:type="dcterms:W3CDTF">2026-08-09T14:37:28Z</dcterms:modified>
</cp:coreProperties>
</file>