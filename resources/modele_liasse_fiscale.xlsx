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drawings/drawing1.xml" ContentType="application/vnd.openxmlformats-officedocument.drawing+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0730" windowHeight="11040" tabRatio="886" firstSheet="6" activeTab="10" autoFilterDateGrouping="1"/>
  </bookViews>
  <sheets>
    <sheet xmlns:r="http://schemas.openxmlformats.org/officeDocument/2006/relationships" name="Balance" sheetId="1" state="visible" r:id="rId1"/>
    <sheet xmlns:r="http://schemas.openxmlformats.org/officeDocument/2006/relationships" name="COUVERTURE" sheetId="2" state="visible" r:id="rId2"/>
    <sheet xmlns:r="http://schemas.openxmlformats.org/officeDocument/2006/relationships" name="GARDE" sheetId="3" state="visible" r:id="rId3"/>
    <sheet xmlns:r="http://schemas.openxmlformats.org/officeDocument/2006/relationships" name="RECEVABILITE" sheetId="4" state="visible" r:id="rId4"/>
    <sheet xmlns:r="http://schemas.openxmlformats.org/officeDocument/2006/relationships" name="NOTE36 (TABLE DES CODES)" sheetId="5" state="visible" r:id="rId5"/>
    <sheet xmlns:r="http://schemas.openxmlformats.org/officeDocument/2006/relationships" name="NOTE36 Suite (nomenclature)" sheetId="6" state="visible" r:id="rId6"/>
    <sheet xmlns:r="http://schemas.openxmlformats.org/officeDocument/2006/relationships" name="FICHE R1" sheetId="7" state="visible" r:id="rId7"/>
    <sheet xmlns:r="http://schemas.openxmlformats.org/officeDocument/2006/relationships" name="FICHE R2" sheetId="8" state="visible" r:id="rId8"/>
    <sheet xmlns:r="http://schemas.openxmlformats.org/officeDocument/2006/relationships" name="FICHE R3" sheetId="9" state="visible" r:id="rId9"/>
    <sheet xmlns:r="http://schemas.openxmlformats.org/officeDocument/2006/relationships" name="FICHE R4" sheetId="10" state="visible" r:id="rId10"/>
    <sheet xmlns:r="http://schemas.openxmlformats.org/officeDocument/2006/relationships" name="BILAN" sheetId="11" state="visible" r:id="rId11"/>
    <sheet xmlns:r="http://schemas.openxmlformats.org/officeDocument/2006/relationships" name="RESULTAT" sheetId="12" state="visible" r:id="rId12"/>
    <sheet xmlns:r="http://schemas.openxmlformats.org/officeDocument/2006/relationships" name="TFT" sheetId="13" state="visible" r:id="rId13"/>
    <sheet xmlns:r="http://schemas.openxmlformats.org/officeDocument/2006/relationships" name="TAB BORD" sheetId="14" state="hidden" r:id="rId14"/>
    <sheet xmlns:r="http://schemas.openxmlformats.org/officeDocument/2006/relationships" name="NOTE 1" sheetId="15" state="visible" r:id="rId15"/>
    <sheet xmlns:r="http://schemas.openxmlformats.org/officeDocument/2006/relationships" name="NOTE 2" sheetId="16" state="visible" r:id="rId16"/>
    <sheet xmlns:r="http://schemas.openxmlformats.org/officeDocument/2006/relationships" name="NOTE 3A" sheetId="17" state="visible" r:id="rId17"/>
    <sheet xmlns:r="http://schemas.openxmlformats.org/officeDocument/2006/relationships" name="NOTE 3B" sheetId="18" state="visible" r:id="rId18"/>
    <sheet xmlns:r="http://schemas.openxmlformats.org/officeDocument/2006/relationships" name="NOTE 3C" sheetId="19" state="visible" r:id="rId19"/>
    <sheet xmlns:r="http://schemas.openxmlformats.org/officeDocument/2006/relationships" name="NOTE 3C BIS" sheetId="20" state="visible" r:id="rId20"/>
    <sheet xmlns:r="http://schemas.openxmlformats.org/officeDocument/2006/relationships" name="NOTE 3D" sheetId="21" state="visible" r:id="rId21"/>
    <sheet xmlns:r="http://schemas.openxmlformats.org/officeDocument/2006/relationships" name="NOTE 3E" sheetId="22" state="visible" r:id="rId22"/>
    <sheet xmlns:r="http://schemas.openxmlformats.org/officeDocument/2006/relationships" name="NOTE 4" sheetId="23" state="visible" r:id="rId23"/>
    <sheet xmlns:r="http://schemas.openxmlformats.org/officeDocument/2006/relationships" name="NOTE 5" sheetId="24" state="visible" r:id="rId24"/>
    <sheet xmlns:r="http://schemas.openxmlformats.org/officeDocument/2006/relationships" name="NOTE 6" sheetId="25" state="visible" r:id="rId25"/>
    <sheet xmlns:r="http://schemas.openxmlformats.org/officeDocument/2006/relationships" name="NOTE 7" sheetId="26" state="visible" r:id="rId26"/>
    <sheet xmlns:r="http://schemas.openxmlformats.org/officeDocument/2006/relationships" name="NOTE 8" sheetId="27" state="visible" r:id="rId27"/>
    <sheet xmlns:r="http://schemas.openxmlformats.org/officeDocument/2006/relationships" name="NOTE 8A" sheetId="28" state="visible" r:id="rId28"/>
    <sheet xmlns:r="http://schemas.openxmlformats.org/officeDocument/2006/relationships" name="NOTE 8B" sheetId="29" state="visible" r:id="rId29"/>
    <sheet xmlns:r="http://schemas.openxmlformats.org/officeDocument/2006/relationships" name="NOTE 8C" sheetId="30" state="visible" r:id="rId30"/>
    <sheet xmlns:r="http://schemas.openxmlformats.org/officeDocument/2006/relationships" name="NOTE 9" sheetId="31" state="visible" r:id="rId31"/>
    <sheet xmlns:r="http://schemas.openxmlformats.org/officeDocument/2006/relationships" name="NOTE 10" sheetId="32" state="visible" r:id="rId32"/>
    <sheet xmlns:r="http://schemas.openxmlformats.org/officeDocument/2006/relationships" name="NOTE 11" sheetId="33" state="visible" r:id="rId33"/>
    <sheet xmlns:r="http://schemas.openxmlformats.org/officeDocument/2006/relationships" name="NOTE 12" sheetId="34" state="visible" r:id="rId34"/>
    <sheet xmlns:r="http://schemas.openxmlformats.org/officeDocument/2006/relationships" name="NOTE 13" sheetId="35" state="visible" r:id="rId35"/>
    <sheet xmlns:r="http://schemas.openxmlformats.org/officeDocument/2006/relationships" name="NOTE 14" sheetId="36" state="visible" r:id="rId36"/>
    <sheet xmlns:r="http://schemas.openxmlformats.org/officeDocument/2006/relationships" name="NOTE 15A" sheetId="37" state="visible" r:id="rId37"/>
    <sheet xmlns:r="http://schemas.openxmlformats.org/officeDocument/2006/relationships" name="NOTE 15B" sheetId="38" state="visible" r:id="rId38"/>
    <sheet xmlns:r="http://schemas.openxmlformats.org/officeDocument/2006/relationships" name="NOTE 16A" sheetId="39" state="visible" r:id="rId39"/>
    <sheet xmlns:r="http://schemas.openxmlformats.org/officeDocument/2006/relationships" name="NOTE 16B" sheetId="40" state="visible" r:id="rId40"/>
    <sheet xmlns:r="http://schemas.openxmlformats.org/officeDocument/2006/relationships" name="NOTE 16B BIS" sheetId="41" state="visible" r:id="rId41"/>
    <sheet xmlns:r="http://schemas.openxmlformats.org/officeDocument/2006/relationships" name="NOTE 16C" sheetId="42" state="visible" r:id="rId42"/>
    <sheet xmlns:r="http://schemas.openxmlformats.org/officeDocument/2006/relationships" name="NOTE 17" sheetId="43" state="visible" r:id="rId43"/>
    <sheet xmlns:r="http://schemas.openxmlformats.org/officeDocument/2006/relationships" name="NOTE 18" sheetId="44" state="visible" r:id="rId44"/>
    <sheet xmlns:r="http://schemas.openxmlformats.org/officeDocument/2006/relationships" name="NOTE 19" sheetId="45" state="visible" r:id="rId45"/>
    <sheet xmlns:r="http://schemas.openxmlformats.org/officeDocument/2006/relationships" name="NOTE 20" sheetId="46" state="visible" r:id="rId46"/>
    <sheet xmlns:r="http://schemas.openxmlformats.org/officeDocument/2006/relationships" name="NOTE 21" sheetId="47" state="visible" r:id="rId47"/>
    <sheet xmlns:r="http://schemas.openxmlformats.org/officeDocument/2006/relationships" name="NOTE 22" sheetId="48" state="visible" r:id="rId48"/>
    <sheet xmlns:r="http://schemas.openxmlformats.org/officeDocument/2006/relationships" name="NOTE 23" sheetId="49" state="visible" r:id="rId49"/>
    <sheet xmlns:r="http://schemas.openxmlformats.org/officeDocument/2006/relationships" name="NOTE 24" sheetId="50" state="visible" r:id="rId50"/>
    <sheet xmlns:r="http://schemas.openxmlformats.org/officeDocument/2006/relationships" name="NOTE 25" sheetId="51" state="visible" r:id="rId51"/>
    <sheet xmlns:r="http://schemas.openxmlformats.org/officeDocument/2006/relationships" name="NOTE 26" sheetId="52" state="visible" r:id="rId52"/>
    <sheet xmlns:r="http://schemas.openxmlformats.org/officeDocument/2006/relationships" name="NOTE 27A" sheetId="53" state="visible" r:id="rId53"/>
    <sheet xmlns:r="http://schemas.openxmlformats.org/officeDocument/2006/relationships" name="NOTE 27B" sheetId="54" state="visible" r:id="rId54"/>
    <sheet xmlns:r="http://schemas.openxmlformats.org/officeDocument/2006/relationships" name="NOTE 28" sheetId="55" state="visible" r:id="rId55"/>
    <sheet xmlns:r="http://schemas.openxmlformats.org/officeDocument/2006/relationships" name="NOTE 29" sheetId="56" state="visible" r:id="rId56"/>
    <sheet xmlns:r="http://schemas.openxmlformats.org/officeDocument/2006/relationships" name="NOTE 30" sheetId="57" state="visible" r:id="rId57"/>
    <sheet xmlns:r="http://schemas.openxmlformats.org/officeDocument/2006/relationships" name="NOTE 31" sheetId="58" state="visible" r:id="rId58"/>
    <sheet xmlns:r="http://schemas.openxmlformats.org/officeDocument/2006/relationships" name="NOTE 32" sheetId="59" state="visible" r:id="rId59"/>
    <sheet xmlns:r="http://schemas.openxmlformats.org/officeDocument/2006/relationships" name="NOTE 33" sheetId="60" state="visible" r:id="rId60"/>
    <sheet xmlns:r="http://schemas.openxmlformats.org/officeDocument/2006/relationships" name="NOTE 34" sheetId="61" state="visible" r:id="rId61"/>
    <sheet xmlns:r="http://schemas.openxmlformats.org/officeDocument/2006/relationships" name="NOTE 35" sheetId="62" state="visible" r:id="rId62"/>
    <sheet xmlns:r="http://schemas.openxmlformats.org/officeDocument/2006/relationships" name="NOTE 37" sheetId="63" state="visible" r:id="rId63"/>
    <sheet xmlns:r="http://schemas.openxmlformats.org/officeDocument/2006/relationships" name="NOTE 38" sheetId="64" state="visible" r:id="rId64"/>
    <sheet xmlns:r="http://schemas.openxmlformats.org/officeDocument/2006/relationships" name="PAGE GARDE COMMENTAIRES" sheetId="65" state="visible" r:id="rId65"/>
    <sheet xmlns:r="http://schemas.openxmlformats.org/officeDocument/2006/relationships" name="NOTE 39 COMMENTAIRES" sheetId="66" state="visible" r:id="rId66"/>
    <sheet xmlns:r="http://schemas.openxmlformats.org/officeDocument/2006/relationships" name="GARDE (DGI)" sheetId="67" state="visible" r:id="rId67"/>
    <sheet xmlns:r="http://schemas.openxmlformats.org/officeDocument/2006/relationships" name="Liste ETATS SUPPL DGI" sheetId="68" state="visible" r:id="rId68"/>
    <sheet xmlns:r="http://schemas.openxmlformats.org/officeDocument/2006/relationships" name="Balance 2023 (2)" sheetId="69" state="hidden" r:id="rId69"/>
    <sheet xmlns:r="http://schemas.openxmlformats.org/officeDocument/2006/relationships" name="SUPPL1-CHARGES" sheetId="70" state="visible" r:id="rId70"/>
    <sheet xmlns:r="http://schemas.openxmlformats.org/officeDocument/2006/relationships" name="SUPPL2-PRODUITS" sheetId="71" state="visible" r:id="rId71"/>
    <sheet xmlns:r="http://schemas.openxmlformats.org/officeDocument/2006/relationships" name="SUPPL3-TVA (1)" sheetId="72" state="visible" r:id="rId72"/>
    <sheet xmlns:r="http://schemas.openxmlformats.org/officeDocument/2006/relationships" name="SUPPL4-TVA (2)" sheetId="73" state="visible" r:id="rId73"/>
    <sheet xmlns:r="http://schemas.openxmlformats.org/officeDocument/2006/relationships" name="SUPPL5" sheetId="74" state="visible" r:id="rId74"/>
    <sheet xmlns:r="http://schemas.openxmlformats.org/officeDocument/2006/relationships" name="SUPPL6" sheetId="75" state="visible" r:id="rId75"/>
    <sheet xmlns:r="http://schemas.openxmlformats.org/officeDocument/2006/relationships" name="SUPPL7" sheetId="76" state="visible" r:id="rId76"/>
    <sheet xmlns:r="http://schemas.openxmlformats.org/officeDocument/2006/relationships" name="SUPPL8" sheetId="77" state="visible" r:id="rId77"/>
    <sheet xmlns:r="http://schemas.openxmlformats.org/officeDocument/2006/relationships" name="SUPPL9" sheetId="78" state="visible" r:id="rId78"/>
    <sheet xmlns:r="http://schemas.openxmlformats.org/officeDocument/2006/relationships" name="SUPPL10" sheetId="79" state="visible" r:id="rId79"/>
    <sheet xmlns:r="http://schemas.openxmlformats.org/officeDocument/2006/relationships" name="SUPPL  11" sheetId="80" state="visible" r:id="rId80"/>
    <sheet xmlns:r="http://schemas.openxmlformats.org/officeDocument/2006/relationships" name="SUPPL12" sheetId="81" state="visible" r:id="rId81"/>
    <sheet xmlns:r="http://schemas.openxmlformats.org/officeDocument/2006/relationships" name="SUPPL13" sheetId="82" state="visible" r:id="rId82"/>
    <sheet xmlns:r="http://schemas.openxmlformats.org/officeDocument/2006/relationships" name="SUPPL14" sheetId="83" state="visible" r:id="rId83"/>
    <sheet xmlns:r="http://schemas.openxmlformats.org/officeDocument/2006/relationships" name="SUPPL15" sheetId="84" state="visible" r:id="rId84"/>
    <sheet xmlns:r="http://schemas.openxmlformats.org/officeDocument/2006/relationships" name="SUPPL16" sheetId="85" state="visible" r:id="rId85"/>
    <sheet xmlns:r="http://schemas.openxmlformats.org/officeDocument/2006/relationships" name="SUPPL17" sheetId="86" state="visible" r:id="rId86"/>
    <sheet xmlns:r="http://schemas.openxmlformats.org/officeDocument/2006/relationships" name="SUPPL18" sheetId="87" state="visible" r:id="rId87"/>
    <sheet xmlns:r="http://schemas.openxmlformats.org/officeDocument/2006/relationships" name="SUPPL19 RESULTAT FISCAL" sheetId="88" state="visible" r:id="rId88"/>
    <sheet xmlns:r="http://schemas.openxmlformats.org/officeDocument/2006/relationships" name="SUPPL20 BAV IS" sheetId="89" state="visible" r:id="rId89"/>
    <sheet xmlns:r="http://schemas.openxmlformats.org/officeDocument/2006/relationships" name="PAGE GARDE IS" sheetId="90" state="visible" r:id="rId90"/>
    <sheet xmlns:r="http://schemas.openxmlformats.org/officeDocument/2006/relationships" name="PAGE GARDE IBICA " sheetId="91" state="visible" r:id="rId91"/>
    <sheet xmlns:r="http://schemas.openxmlformats.org/officeDocument/2006/relationships" name="PAGE GARDE BNC" sheetId="92" state="visible" r:id="rId92"/>
  </sheets>
  <externalReferences>
    <externalReference xmlns:r="http://schemas.openxmlformats.org/officeDocument/2006/relationships" r:id="rId93"/>
  </externalReferences>
  <definedNames>
    <definedName name="_dFin">42735</definedName>
    <definedName name="_soNumFisc">3201201523617</definedName>
    <definedName name="_soSigle">"PYTHAGORE CONSULTAN"</definedName>
    <definedName name="_xlnm.Print_Area" localSheetId="0">'Balance'!$A$1:$H$293</definedName>
    <definedName name="_xlnm.Print_Area" localSheetId="2">'GARDE'!$A$1:$L$48</definedName>
    <definedName name="_xlnm.Print_Area" localSheetId="4">'NOTE36 (TABLE DES CODES)'!$A$1:$J$46</definedName>
    <definedName name="_xlnm.Print_Area" localSheetId="6">'FICHE R1'!$A$1:$V$65</definedName>
    <definedName name="_xlnm.Print_Area" localSheetId="7">'FICHE R2'!$A$1:$AL$61</definedName>
    <definedName name="_xlnm.Print_Area" localSheetId="8">'FICHE R3'!$A$1:$J$36</definedName>
    <definedName name="_xlnm.Print_Area" localSheetId="9">'FICHE R4'!$A$1:$J$65</definedName>
    <definedName name="_xlnm.Print_Area" localSheetId="10">'BILAN'!$A$1:$N$39</definedName>
    <definedName name="_xlnm.Print_Area" localSheetId="11">'RESULTAT'!$A$1:$J$52</definedName>
    <definedName name="_xlnm.Print_Area" localSheetId="12">'TFT'!$A$1:$J$42</definedName>
    <definedName name="_xlnm.Print_Area" localSheetId="14">'NOTE 1'!$A$1:$I$53</definedName>
    <definedName name="_xlnm.Print_Area" localSheetId="15">'NOTE 2'!$A$1:$I$20</definedName>
    <definedName name="_xlnm.Print_Area" localSheetId="16">'NOTE 3A'!$A$1:$J$38</definedName>
    <definedName name="_xlnm.Print_Area" localSheetId="17">'NOTE 3B'!$A$1:$L$18</definedName>
    <definedName name="_xlnm.Print_Area" localSheetId="18">'NOTE 3C'!$A$1:$O$28</definedName>
    <definedName name="_xlnm.Print_Area" localSheetId="19">'NOTE 3C BIS'!$A$1:$K$26</definedName>
    <definedName name="_xlnm.Print_Area" localSheetId="20">'NOTE 3D'!$A$1:$H$26</definedName>
    <definedName name="_xlnm.Print_Area" localSheetId="21">'NOTE 3E'!$A$1:$I$23</definedName>
    <definedName name="_xlnm.Print_Area" localSheetId="22">'NOTE 4'!$A$1:$K$39</definedName>
    <definedName name="_xlnm.Print_Area" localSheetId="23">'NOTE 5'!$A$1:$I$29</definedName>
    <definedName name="_xlnm.Print_Area" localSheetId="24">'NOTE 6'!$A$1:$J$24</definedName>
    <definedName name="_xlnm.Print_Area" localSheetId="25">'NOTE 7'!$A$1:$J$28</definedName>
    <definedName name="_xlnm.Print_Area" localSheetId="26">'NOTE 8'!$A$1:$J$27</definedName>
    <definedName name="_xlnm.Print_Area" localSheetId="27">'NOTE 8A'!$A$1:$J$28</definedName>
    <definedName name="_xlnm.Print_Area" localSheetId="28">'NOTE 8B'!$A$1:$I$19</definedName>
    <definedName name="_xlnm.Print_Area" localSheetId="29">'NOTE 8C'!$A$1:$I$19</definedName>
    <definedName name="_xlnm.Print_Area" localSheetId="30">'NOTE 9'!$A$1:$I$23</definedName>
    <definedName name="_xlnm.Print_Area" localSheetId="31">'NOTE 10'!$A$1:$I$20</definedName>
    <definedName name="_xlnm.Print_Area" localSheetId="32">'NOTE 11'!$A$1:$I$31</definedName>
    <definedName name="_xlnm.Print_Area" localSheetId="33">'NOTE 12'!$A$1:$I$44</definedName>
    <definedName name="_xlnm.Print_Area" localSheetId="34">'NOTE 13'!$A$1:$M$33</definedName>
    <definedName name="_xlnm.Print_Area" localSheetId="35">'NOTE 14'!$A$1:$H$27</definedName>
    <definedName name="_xlnm.Print_Area" localSheetId="36">'NOTE 15A'!$A$1:$J$30</definedName>
    <definedName name="_xlnm.Print_Area" localSheetId="37">'NOTE 15B'!$A$1:$K$20</definedName>
    <definedName name="_xlnm.Print_Area" localSheetId="38">'NOTE 16A'!$A$1:$K$46</definedName>
    <definedName name="_xlnm.Print_Area" localSheetId="39">'NOTE 16B'!$A$1:$I$38</definedName>
    <definedName name="_xlnm.Print_Area" localSheetId="40">'NOTE 16B BIS'!$A$1:$I$25</definedName>
    <definedName name="_xlnm.Print_Area" localSheetId="41">'NOTE 16C'!$A$1:$H$30</definedName>
    <definedName name="_xlnm.Print_Area" localSheetId="42">'NOTE 17'!$A$1:$K$22</definedName>
    <definedName name="_xlnm.Print_Area" localSheetId="43">'NOTE 18'!$A$1:$K$25</definedName>
    <definedName name="_xlnm.Print_Area" localSheetId="44">'NOTE 19'!$A$1:$K$34</definedName>
    <definedName name="_xlnm.Print_Area" localSheetId="45">'NOTE 20'!$A$1:$H$23</definedName>
    <definedName name="_xlnm.Print_Area" localSheetId="46">'NOTE 21'!$A$1:$H$51</definedName>
    <definedName name="_xlnm.Print_Area" localSheetId="47">'NOTE 22'!$A$1:$H$36</definedName>
    <definedName name="_xlnm.Print_Area" localSheetId="48">'NOTE 23'!$A$1:$H$18</definedName>
    <definedName name="_xlnm.Print_Area" localSheetId="49">'NOTE 24'!$A$1:$H$26</definedName>
    <definedName name="_xlnm.Print_Area" localSheetId="50">'NOTE 25'!$A$1:$H$17</definedName>
    <definedName name="_xlnm.Print_Area" localSheetId="51">'NOTE 26'!$A$1:$H$23</definedName>
    <definedName name="_xlnm.Print_Area" localSheetId="52">'NOTE 27A'!$A$1:$H$20</definedName>
    <definedName name="_xlnm.Print_Area" localSheetId="53">'NOTE 27B'!$A$1:$S$31</definedName>
    <definedName name="_xlnm.Print_Area" localSheetId="54">'NOTE 28'!$A$1:$L$31</definedName>
    <definedName name="_xlnm.Print_Area" localSheetId="55">'NOTE 29'!$A$1:$H$38</definedName>
    <definedName name="_xlnm.Print_Area" localSheetId="56">'NOTE 30'!$A$1:$H$42</definedName>
    <definedName name="_xlnm.Print_Area" localSheetId="57">'NOTE 31'!$A$1:$K$37</definedName>
    <definedName name="_xlnm.Print_Area" localSheetId="58">'NOTE 32'!$A$1:$P$31</definedName>
    <definedName name="_xlnm.Print_Area" localSheetId="59">'NOTE 33'!$A$1:$L$32</definedName>
    <definedName name="_xlnm.Print_Area" localSheetId="60">'NOTE 34'!$A$1:$H$65</definedName>
    <definedName name="_xlnm.Print_Area" localSheetId="61">'NOTE 35'!$A$1:$I$52</definedName>
    <definedName name="_xlnm.Print_Area" localSheetId="62">'NOTE 37'!$A$1:$I$31</definedName>
    <definedName name="_xlnm.Print_Area" localSheetId="63">'NOTE 38'!$A$1:$I$47</definedName>
    <definedName name="_xlnm.Print_Area" localSheetId="64">'PAGE GARDE COMMENTAIRES'!$A$1:$M$53</definedName>
    <definedName name="_xlnm.Print_Area" localSheetId="67">'Liste ETATS SUPPL DGI'!$A$1:$J$36</definedName>
    <definedName name="_xlnm.Print_Area" localSheetId="68">'Balance 2023 (2)'!$A$1:$H$293</definedName>
    <definedName name="_xlnm.Print_Area" localSheetId="71">'SUPPL3-TVA (1)'!$A$1:$H$28</definedName>
    <definedName name="_xlnm.Print_Area" localSheetId="73">'SUPPL5'!$A$1:$N$42</definedName>
    <definedName name="_xlnm.Print_Area" localSheetId="74">'SUPPL6'!$A$1:$J$31</definedName>
    <definedName name="_xlnm.Print_Area" localSheetId="75">'SUPPL7'!$A$1:$K$12</definedName>
    <definedName name="_xlnm.Print_Area" localSheetId="76">'SUPPL8'!$A$1:$K$15</definedName>
    <definedName name="_xlnm.Print_Area" localSheetId="77">'SUPPL9'!$A$1:$Q$15</definedName>
    <definedName name="_xlnm.Print_Area" localSheetId="78">'SUPPL10'!$A$1:$H$26</definedName>
    <definedName name="_xlnm.Print_Area" localSheetId="80">'SUPPL12'!$A$1:$K$16</definedName>
    <definedName name="_xlnm.Print_Area" localSheetId="87">'SUPPL19 RESULTAT FISCAL'!$A$1:$H$37</definedName>
  </definedNames>
  <calcPr calcId="191029" fullCalcOnLoad="1"/>
</workbook>
</file>

<file path=xl/styles.xml><?xml version="1.0" encoding="utf-8"?>
<styleSheet xmlns="http://schemas.openxmlformats.org/spreadsheetml/2006/main">
  <numFmts count="6">
    <numFmt numFmtId="164" formatCode="#,##0_ ;\-#,##0\ "/>
    <numFmt numFmtId="165" formatCode="_-* #,##0\ _F_-;\-* #,##0\ _F_-;_-* &quot;-&quot;??\ _F_-;_-@_-"/>
    <numFmt numFmtId="166" formatCode="###0;###0"/>
    <numFmt numFmtId="167" formatCode="#,##0.0"/>
    <numFmt numFmtId="168" formatCode="_-* #,##0_-;\-* #,##0_-;_-* &quot;-&quot;??_-;_-@_-"/>
    <numFmt numFmtId="169" formatCode="_-* #,##0.00\ _F_-;\-* #,##0.00\ _F_-;_-* &quot;-&quot;??\ _F_-;_-@_-"/>
  </numFmts>
  <fonts count="117">
    <font>
      <name val="Calibri"/>
      <family val="2"/>
      <color theme="1"/>
      <sz val="11"/>
      <scheme val="minor"/>
    </font>
    <font>
      <name val="Arial"/>
      <family val="2"/>
      <color theme="1"/>
      <sz val="8"/>
    </font>
    <font>
      <name val="Calibri"/>
      <family val="2"/>
      <color theme="1"/>
      <sz val="8"/>
      <scheme val="minor"/>
    </font>
    <font>
      <name val="Calibri"/>
      <family val="2"/>
      <b val="1"/>
      <color theme="1"/>
      <sz val="9"/>
      <scheme val="minor"/>
    </font>
    <font>
      <name val="Arial"/>
      <family val="2"/>
      <color theme="1"/>
      <sz val="9"/>
    </font>
    <font>
      <name val="Calibri"/>
      <family val="2"/>
      <b val="1"/>
      <color theme="1"/>
      <sz val="12"/>
      <scheme val="minor"/>
    </font>
    <font>
      <name val="Calibri"/>
      <family val="2"/>
      <b val="1"/>
      <color theme="1"/>
      <sz val="14"/>
      <scheme val="minor"/>
    </font>
    <font>
      <name val="Calibri"/>
      <family val="2"/>
      <color theme="1"/>
      <sz val="14"/>
      <scheme val="minor"/>
    </font>
    <font>
      <name val="Arial"/>
      <family val="2"/>
      <color theme="1"/>
      <sz val="10"/>
    </font>
    <font>
      <name val="Calibri"/>
      <family val="2"/>
      <b val="1"/>
      <color theme="1"/>
      <sz val="11"/>
      <scheme val="minor"/>
    </font>
    <font>
      <name val="Arial"/>
      <family val="2"/>
      <b val="1"/>
      <color theme="1"/>
      <sz val="12"/>
    </font>
    <font>
      <name val="Calibri"/>
      <family val="2"/>
      <color theme="1"/>
      <sz val="10"/>
      <scheme val="minor"/>
    </font>
    <font>
      <name val="Times New Roman"/>
      <family val="1"/>
      <color theme="1"/>
      <sz val="8"/>
    </font>
    <font>
      <name val="Arial"/>
      <family val="2"/>
      <b val="1"/>
      <color theme="1"/>
      <sz val="10"/>
    </font>
    <font>
      <name val="Arial"/>
      <family val="2"/>
      <color theme="1"/>
      <sz val="11"/>
    </font>
    <font>
      <name val="Arial Black"/>
      <family val="2"/>
      <b val="1"/>
      <color theme="1"/>
      <sz val="8"/>
    </font>
    <font>
      <name val="Arial"/>
      <family val="2"/>
      <b val="1"/>
      <color theme="1"/>
      <sz val="8"/>
    </font>
    <font>
      <name val="Arial"/>
      <family val="2"/>
      <b val="1"/>
      <color theme="1"/>
      <sz val="11"/>
    </font>
    <font>
      <name val="Arial"/>
      <family val="2"/>
      <b val="1"/>
      <color theme="1"/>
      <sz val="9"/>
    </font>
    <font>
      <name val="Arial"/>
      <family val="2"/>
      <b val="1"/>
      <color rgb="FF006600"/>
      <sz val="11"/>
    </font>
    <font>
      <name val="Arial"/>
      <family val="2"/>
      <color theme="1"/>
      <sz val="7"/>
    </font>
    <font>
      <name val="Arial"/>
      <family val="2"/>
      <b val="1"/>
      <sz val="11"/>
    </font>
    <font>
      <name val="Arial"/>
      <family val="2"/>
      <sz val="10"/>
    </font>
    <font>
      <name val="Arial"/>
      <family val="2"/>
      <sz val="9"/>
    </font>
    <font>
      <name val="Arial"/>
      <family val="2"/>
      <sz val="8"/>
    </font>
    <font>
      <name val="Arial"/>
      <family val="2"/>
      <b val="1"/>
      <sz val="9"/>
    </font>
    <font>
      <name val="Arial"/>
      <family val="2"/>
      <b val="1"/>
      <sz val="8"/>
    </font>
    <font>
      <name val="Arial"/>
      <family val="2"/>
      <b val="1"/>
      <sz val="10"/>
    </font>
    <font>
      <name val="Arial"/>
      <family val="2"/>
      <sz val="6"/>
    </font>
    <font>
      <name val="Arial"/>
      <family val="2"/>
      <sz val="8"/>
      <u val="single"/>
    </font>
    <font>
      <name val="Arial"/>
      <family val="2"/>
      <sz val="8"/>
      <vertAlign val="superscript"/>
    </font>
    <font>
      <name val="Arial"/>
      <family val="2"/>
      <sz val="11"/>
    </font>
    <font>
      <name val="Calibri"/>
      <family val="2"/>
      <b val="1"/>
      <color theme="1"/>
      <sz val="8"/>
      <scheme val="minor"/>
    </font>
    <font>
      <name val="Arial"/>
      <family val="2"/>
      <b val="1"/>
      <color theme="1"/>
      <sz val="7"/>
    </font>
    <font>
      <name val="Calibri"/>
      <family val="2"/>
      <color theme="1"/>
      <sz val="7"/>
      <scheme val="minor"/>
    </font>
    <font>
      <name val="Arial"/>
      <family val="2"/>
      <b val="1"/>
      <sz val="7"/>
    </font>
    <font>
      <name val="Arial"/>
      <family val="2"/>
      <i val="1"/>
      <sz val="8"/>
    </font>
    <font>
      <name val="Arial"/>
      <family val="2"/>
      <b val="1"/>
      <color theme="1"/>
      <sz val="9"/>
      <u val="single"/>
    </font>
    <font>
      <name val="Arial"/>
      <family val="2"/>
      <i val="1"/>
      <color theme="1"/>
      <sz val="8"/>
    </font>
    <font>
      <name val="Arial"/>
      <family val="2"/>
      <b val="1"/>
      <color rgb="FF006600"/>
      <sz val="14"/>
    </font>
    <font>
      <name val="Arial"/>
      <family val="2"/>
      <b val="1"/>
      <sz val="8"/>
      <u val="single"/>
    </font>
    <font>
      <name val="Arial"/>
      <family val="2"/>
      <b val="1"/>
      <i val="1"/>
      <sz val="8"/>
    </font>
    <font>
      <name val="Times New Roman"/>
      <family val="1"/>
      <sz val="8"/>
    </font>
    <font>
      <name val="Calibri"/>
      <family val="2"/>
      <color theme="10"/>
      <sz val="11"/>
      <u val="single"/>
      <scheme val="minor"/>
    </font>
    <font>
      <name val="Arial"/>
      <family val="2"/>
      <color rgb="FF0D0D0D"/>
      <sz val="9"/>
    </font>
    <font>
      <name val="Arial"/>
      <family val="2"/>
      <i val="1"/>
      <color theme="1"/>
      <sz val="9"/>
    </font>
    <font>
      <name val="Calibri"/>
      <family val="2"/>
      <color theme="1"/>
      <sz val="9"/>
      <scheme val="minor"/>
    </font>
    <font>
      <name val="Arial"/>
      <family val="2"/>
      <b val="1"/>
      <color rgb="FF0D0D0D"/>
      <sz val="9"/>
    </font>
    <font>
      <name val="Times New Roman"/>
      <family val="1"/>
      <b val="1"/>
      <color theme="1"/>
      <sz val="9"/>
    </font>
    <font>
      <name val="Times New Roman"/>
      <family val="1"/>
      <i val="1"/>
      <color theme="1"/>
      <sz val="10"/>
    </font>
    <font>
      <name val="Times New Roman"/>
      <family val="1"/>
      <i val="1"/>
      <color theme="1"/>
      <sz val="11"/>
    </font>
    <font>
      <name val="Times New Roman"/>
      <family val="1"/>
      <i val="1"/>
      <color theme="1"/>
      <sz val="9"/>
    </font>
    <font>
      <name val="Arial"/>
      <family val="2"/>
      <b val="1"/>
      <color theme="8"/>
      <sz val="9"/>
    </font>
    <font>
      <name val="Times New Roman"/>
      <family val="1"/>
      <i val="1"/>
      <color theme="1"/>
      <sz val="8"/>
    </font>
    <font>
      <name val="Times New Roman"/>
      <family val="1"/>
      <i val="1"/>
      <sz val="8"/>
    </font>
    <font>
      <name val="Times New Roman"/>
      <family val="1"/>
      <i val="1"/>
      <sz val="9"/>
    </font>
    <font>
      <name val="Arial"/>
      <family val="2"/>
      <color indexed="8"/>
      <sz val="8"/>
    </font>
    <font>
      <name val="Times New Roman"/>
      <family val="1"/>
      <sz val="9"/>
    </font>
    <font>
      <name val="Arial"/>
      <family val="2"/>
      <b val="1"/>
      <i val="1"/>
      <sz val="9"/>
    </font>
    <font>
      <name val="Arial"/>
      <family val="2"/>
      <color rgb="FF000000"/>
      <sz val="9"/>
    </font>
    <font>
      <name val="Calibri"/>
      <family val="2"/>
      <color theme="1"/>
      <sz val="11"/>
      <scheme val="minor"/>
    </font>
    <font>
      <name val="Calibri"/>
      <family val="2"/>
      <b val="1"/>
      <color theme="1"/>
      <sz val="10"/>
      <scheme val="minor"/>
    </font>
    <font>
      <name val="Arial"/>
      <family val="2"/>
      <b val="1"/>
      <color rgb="FF000000"/>
      <sz val="9"/>
    </font>
    <font>
      <name val="Arial"/>
      <family val="2"/>
      <b val="1"/>
      <i val="1"/>
      <sz val="10"/>
    </font>
    <font>
      <name val="Arial"/>
      <family val="2"/>
      <b val="1"/>
      <color theme="1" tint="0.0499893185216834"/>
      <sz val="9"/>
    </font>
    <font>
      <name val="Times New Roman"/>
      <family val="1"/>
      <color theme="1"/>
      <sz val="9"/>
    </font>
    <font>
      <name val="Times New Roman"/>
      <family val="1"/>
      <i val="1"/>
      <color indexed="8"/>
      <sz val="9"/>
    </font>
    <font>
      <name val="Calibri"/>
      <family val="2"/>
      <b val="1"/>
      <i val="1"/>
      <color theme="1"/>
      <sz val="8"/>
      <scheme val="minor"/>
    </font>
    <font>
      <name val="Arial"/>
      <family val="2"/>
      <color theme="1" tint="0.0499893185216834"/>
      <sz val="9"/>
    </font>
    <font>
      <name val="Times New Roman"/>
      <family val="1"/>
      <color theme="1"/>
      <sz val="11"/>
    </font>
    <font>
      <name val="Arial"/>
      <family val="2"/>
      <b val="1"/>
      <i val="1"/>
      <color theme="1"/>
      <sz val="8"/>
    </font>
    <font>
      <name val="Arial"/>
      <family val="2"/>
      <color rgb="FF000000"/>
      <sz val="8"/>
    </font>
    <font>
      <name val="Calibri"/>
      <family val="2"/>
      <b val="1"/>
      <sz val="9"/>
      <scheme val="minor"/>
    </font>
    <font>
      <name val="Arial"/>
      <family val="2"/>
      <b val="1"/>
      <color theme="4" tint="-0.249977111117893"/>
      <sz val="9"/>
    </font>
    <font>
      <name val="Times New Roman"/>
      <family val="1"/>
      <i val="1"/>
      <sz val="10"/>
    </font>
    <font>
      <name val="Arial"/>
      <family val="2"/>
      <b val="1"/>
      <color theme="1"/>
      <sz val="8"/>
      <u val="single"/>
    </font>
    <font>
      <name val="Times New Roman"/>
      <family val="1"/>
      <color rgb="FF0D0D0D"/>
      <sz val="8"/>
    </font>
    <font>
      <name val="Calibri"/>
      <family val="2"/>
      <sz val="8"/>
      <scheme val="minor"/>
    </font>
    <font>
      <name val="Times New Roman"/>
      <family val="1"/>
      <b val="1"/>
      <sz val="8"/>
    </font>
    <font>
      <name val="Calibri"/>
      <family val="2"/>
      <sz val="11"/>
      <scheme val="minor"/>
    </font>
    <font>
      <name val="Times New Roman"/>
      <family val="1"/>
      <b val="1"/>
      <color theme="1"/>
      <sz val="8"/>
    </font>
    <font>
      <name val="Times New Roman"/>
      <family val="1"/>
      <color indexed="8"/>
      <sz val="8"/>
    </font>
    <font>
      <name val="Times New Roman"/>
      <family val="1"/>
      <color theme="1"/>
      <sz val="10"/>
    </font>
    <font>
      <name val="Calibri"/>
      <family val="2"/>
      <color theme="0"/>
      <sz val="11"/>
      <scheme val="minor"/>
    </font>
    <font>
      <name val="Times New Roman"/>
      <family val="1"/>
      <b val="1"/>
      <color theme="1"/>
      <sz val="12"/>
    </font>
    <font>
      <name val="Times New Roman"/>
      <family val="1"/>
      <b val="1"/>
      <sz val="20"/>
      <u val="double"/>
    </font>
    <font>
      <name val="Times New Roman"/>
      <family val="1"/>
      <b val="1"/>
      <color theme="1"/>
      <sz val="14"/>
    </font>
    <font>
      <name val="Arial"/>
      <family val="2"/>
      <b val="1"/>
      <color theme="1"/>
      <sz val="14"/>
    </font>
    <font>
      <name val="Arial"/>
      <family val="2"/>
      <color rgb="FFFF0000"/>
      <sz val="8"/>
    </font>
    <font>
      <name val="Arial"/>
      <family val="2"/>
      <b val="1"/>
      <color rgb="FFFF0000"/>
      <sz val="8"/>
    </font>
    <font>
      <name val="Arial"/>
      <family val="2"/>
      <b val="1"/>
      <color rgb="FF006600"/>
      <sz val="12"/>
    </font>
    <font>
      <name val="Calibri"/>
      <family val="2"/>
      <b val="1"/>
      <sz val="14"/>
      <scheme val="minor"/>
    </font>
    <font>
      <name val="Calibri"/>
      <family val="2"/>
      <b val="1"/>
      <color theme="1"/>
      <sz val="18"/>
      <scheme val="minor"/>
    </font>
    <font>
      <name val="Arial"/>
      <family val="2"/>
      <color theme="1"/>
      <sz val="12"/>
    </font>
    <font>
      <name val="Arial"/>
      <family val="2"/>
      <b val="1"/>
      <sz val="12"/>
    </font>
    <font>
      <name val="Arial"/>
      <family val="2"/>
      <sz val="12"/>
    </font>
    <font>
      <name val="Arial"/>
      <family val="2"/>
      <b val="1"/>
      <color rgb="FF006600"/>
      <sz val="12"/>
      <u val="single"/>
    </font>
    <font>
      <name val="Arial"/>
      <family val="2"/>
      <b val="1"/>
      <sz val="16"/>
    </font>
    <font>
      <name val="Calibri"/>
      <family val="2"/>
      <b val="1"/>
      <i val="1"/>
      <sz val="9"/>
      <scheme val="minor"/>
    </font>
    <font>
      <name val="Calibri"/>
      <family val="2"/>
      <b val="1"/>
      <i val="1"/>
      <color theme="1"/>
      <sz val="11"/>
      <scheme val="minor"/>
    </font>
    <font>
      <name val="Calibri"/>
      <family val="2"/>
      <color rgb="FF000000"/>
      <sz val="11"/>
    </font>
    <font>
      <name val="Cambria"/>
      <family val="1"/>
      <b val="1"/>
      <color indexed="8"/>
      <sz val="11"/>
    </font>
    <font>
      <name val="Cambria"/>
      <family val="1"/>
      <b val="1"/>
      <sz val="11"/>
    </font>
    <font>
      <name val="Cambria"/>
      <family val="1"/>
      <b val="1"/>
      <sz val="10"/>
    </font>
    <font>
      <name val="Cambria"/>
      <family val="1"/>
      <b val="1"/>
      <color indexed="8"/>
      <sz val="10"/>
    </font>
    <font>
      <name val="Times New Roman"/>
      <family val="1"/>
      <b val="1"/>
      <sz val="11"/>
      <u val="single"/>
    </font>
    <font>
      <name val="Calibri"/>
      <family val="2"/>
      <i val="1"/>
      <color indexed="8"/>
      <sz val="11"/>
      <u val="single"/>
    </font>
    <font>
      <name val="Calibri"/>
      <family val="2"/>
      <color indexed="8"/>
      <sz val="11"/>
    </font>
    <font>
      <name val="Calibri"/>
      <family val="2"/>
      <sz val="11"/>
    </font>
    <font>
      <name val="Calibri"/>
      <family val="2"/>
      <b val="1"/>
      <color indexed="8"/>
      <sz val="11"/>
    </font>
    <font>
      <name val="Calibri"/>
      <family val="2"/>
      <color indexed="8"/>
      <sz val="12"/>
    </font>
    <font>
      <name val="Times New Roman"/>
      <family val="1"/>
      <b val="1"/>
      <sz val="11"/>
    </font>
    <font>
      <name val="Calibri"/>
      <family val="2"/>
      <color indexed="8"/>
      <sz val="8"/>
    </font>
    <font>
      <name val="Calibri"/>
      <family val="2"/>
      <sz val="11"/>
      <u val="single"/>
      <scheme val="minor"/>
    </font>
    <font>
      <name val="Arial Narrow"/>
      <family val="2"/>
      <sz val="10"/>
    </font>
    <font>
      <name val="Arial Narrow"/>
      <family val="2"/>
      <color rgb="FF000000"/>
      <sz val="10.5"/>
    </font>
    <font>
      <name val="Calibri"/>
      <family val="2"/>
      <b val="1"/>
      <sz val="11"/>
      <scheme val="minor"/>
    </font>
  </fonts>
  <fills count="26">
    <fill>
      <patternFill/>
    </fill>
    <fill>
      <patternFill patternType="gray125"/>
    </fill>
    <fill>
      <patternFill patternType="solid">
        <fgColor theme="0" tint="-0.1499069185460982"/>
        <bgColor indexed="64"/>
      </patternFill>
    </fill>
    <fill>
      <patternFill patternType="solid">
        <fgColor indexed="9"/>
        <bgColor indexed="64"/>
      </patternFill>
    </fill>
    <fill>
      <patternFill patternType="solid">
        <fgColor theme="0" tint="-0.0499893185216834"/>
        <bgColor indexed="64"/>
      </patternFill>
    </fill>
    <fill>
      <patternFill patternType="solid">
        <fgColor rgb="FFD9D9D9"/>
        <bgColor indexed="64"/>
      </patternFill>
    </fill>
    <fill>
      <patternFill patternType="solid">
        <fgColor theme="0" tint="-0.249977111117893"/>
        <bgColor indexed="64"/>
      </patternFill>
    </fill>
    <fill>
      <patternFill patternType="solid">
        <fgColor theme="0" tint="-0.1499984740745262"/>
        <bgColor indexed="64"/>
      </patternFill>
    </fill>
    <fill>
      <patternFill patternType="solid">
        <fgColor theme="8" tint="0.5999938962981048"/>
        <bgColor indexed="64"/>
      </patternFill>
    </fill>
    <fill>
      <patternFill patternType="solid">
        <fgColor theme="2" tint="-0.09997863704336681"/>
        <bgColor indexed="64"/>
      </patternFill>
    </fill>
    <fill>
      <patternFill patternType="solid">
        <fgColor theme="2"/>
        <bgColor indexed="64"/>
      </patternFill>
    </fill>
    <fill>
      <patternFill patternType="solid">
        <fgColor theme="8" tint="0.7999816888943144"/>
        <bgColor indexed="64"/>
      </patternFill>
    </fill>
    <fill>
      <patternFill patternType="darkUp">
        <fgColor theme="0" tint="-0.249946592608417"/>
        <bgColor theme="0" tint="-0.1499069185460982"/>
      </patternFill>
    </fill>
    <fill>
      <patternFill patternType="darkUp">
        <fgColor theme="0" tint="-0.249946592608417"/>
        <bgColor theme="0" tint="-0.1499374370555742"/>
      </patternFill>
    </fill>
    <fill>
      <patternFill patternType="darkUp">
        <fgColor theme="0" tint="-0.249946592608417"/>
        <bgColor rgb="FFD9D9D9"/>
      </patternFill>
    </fill>
    <fill>
      <patternFill patternType="darkUp">
        <fgColor theme="0" tint="-0.3499862666707358"/>
        <bgColor rgb="FFBFBFBF"/>
      </patternFill>
    </fill>
    <fill>
      <patternFill patternType="darkUp">
        <fgColor theme="0" tint="-0.3499862666707358"/>
        <bgColor rgb="FFD9D9D9"/>
      </patternFill>
    </fill>
    <fill>
      <patternFill patternType="darkUp">
        <fgColor theme="0" tint="-0.3499862666707358"/>
        <bgColor theme="0" tint="-0.1498458815271462"/>
      </patternFill>
    </fill>
    <fill>
      <patternFill patternType="lightUp">
        <fgColor theme="0" tint="-0.3499862666707358"/>
        <bgColor indexed="65"/>
      </patternFill>
    </fill>
    <fill>
      <patternFill patternType="lightUp">
        <fgColor theme="0" tint="-0.3499862666707358"/>
        <bgColor rgb="FFD9D9D9"/>
      </patternFill>
    </fill>
    <fill>
      <patternFill patternType="lightUp">
        <fgColor theme="0" tint="-0.3499862666707358"/>
        <bgColor theme="0" tint="-0.1499984740745262"/>
      </patternFill>
    </fill>
    <fill>
      <patternFill patternType="solid">
        <fgColor rgb="FFFFFFFF"/>
        <bgColor indexed="64"/>
      </patternFill>
    </fill>
    <fill>
      <patternFill patternType="lightUp">
        <fgColor theme="0" tint="-0.3499862666707358"/>
        <bgColor theme="0" tint="-0.1499069185460982"/>
      </patternFill>
    </fill>
    <fill>
      <patternFill patternType="solid">
        <fgColor theme="0"/>
        <bgColor indexed="64"/>
      </patternFill>
    </fill>
    <fill>
      <patternFill patternType="solid">
        <fgColor rgb="FFC0C0C0"/>
      </patternFill>
    </fill>
    <fill>
      <patternFill patternType="solid">
        <fgColor rgb="FFFFC000"/>
        <bgColor indexed="64"/>
      </patternFill>
    </fill>
  </fills>
  <borders count="366">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auto="1"/>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top/>
      <bottom style="dashed">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right/>
      <top style="dashed">
        <color theme="0" tint="-0.499984740745262"/>
      </top>
      <bottom style="dashed">
        <color theme="0"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0" tint="-0.499984740745262"/>
      </right>
      <top/>
      <bottom style="dashed">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top/>
      <bottom style="dashed">
        <color theme="1" tint="0.499984740745262"/>
      </bottom>
      <diagonal/>
    </border>
    <border>
      <left/>
      <right/>
      <top/>
      <bottom style="hair">
        <color auto="1"/>
      </bottom>
      <diagonal/>
    </border>
    <border>
      <left/>
      <right style="thin">
        <color theme="0" tint="-0.499984740745262"/>
      </right>
      <top/>
      <bottom style="hair">
        <color auto="1"/>
      </bottom>
      <diagonal/>
    </border>
    <border>
      <left/>
      <right/>
      <top style="thin">
        <color theme="0" tint="-0.499984740745262"/>
      </top>
      <bottom style="hair">
        <color auto="1"/>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dashed">
        <color theme="1" tint="0.49998474074526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dashed">
        <color auto="1"/>
      </bottom>
      <diagonal/>
    </border>
    <border>
      <left/>
      <right/>
      <top style="dashed">
        <color theme="1" tint="0.499984740745262"/>
      </top>
      <bottom style="dashed">
        <color auto="1"/>
      </bottom>
      <diagonal/>
    </border>
    <border>
      <left/>
      <right/>
      <top style="dashed">
        <color theme="0" tint="-0.499984740745262"/>
      </top>
      <bottom/>
      <diagonal/>
    </border>
    <border>
      <left style="thin">
        <color theme="0" tint="-0.499984740745262"/>
      </left>
      <right style="thin">
        <color theme="0" tint="-0.499984740745262"/>
      </right>
      <top/>
      <bottom style="dashed">
        <color theme="0" tint="-0.499984740745262"/>
      </bottom>
      <diagonal/>
    </border>
    <border>
      <left style="thin">
        <color theme="1" tint="0.499984740745262"/>
      </left>
      <right style="thin">
        <color theme="1" tint="0.499984740745262"/>
      </right>
      <top/>
      <bottom style="thin">
        <color theme="1" tint="0.499984740745262"/>
      </bottom>
      <diagonal/>
    </border>
    <border>
      <left style="thin">
        <color theme="0" tint="-0.499984740745262"/>
      </left>
      <right/>
      <top/>
      <bottom style="dashed">
        <color theme="0" tint="-0.499984740745262"/>
      </bottom>
      <diagonal/>
    </border>
    <border>
      <left/>
      <right/>
      <top style="dashed">
        <color theme="1" tint="0.499984740745262"/>
      </top>
      <bottom style="dashed">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right style="thin">
        <color theme="1" tint="0.499984740745262"/>
      </right>
      <top/>
      <bottom/>
      <diagonal/>
    </border>
    <border>
      <left/>
      <right/>
      <top style="dashed">
        <color theme="1" tint="0.499984740745262"/>
      </top>
      <bottom style="dashed">
        <color theme="0" tint="-0.499984740745262"/>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499984740745262"/>
      </top>
      <bottom style="dashed">
        <color theme="0" tint="-0.499984740745262"/>
      </bottom>
      <diagonal/>
    </border>
    <border>
      <left/>
      <right/>
      <top style="thin">
        <color theme="1" tint="0.499984740745262"/>
      </top>
      <bottom style="dashed">
        <color theme="1" tint="0.499984740745262"/>
      </bottom>
      <diagonal/>
    </border>
    <border>
      <left/>
      <right style="thin">
        <color theme="1" tint="0.499984740745262"/>
      </right>
      <top style="thin">
        <color theme="1" tint="0.499984740745262"/>
      </top>
      <bottom style="dashed">
        <color theme="1" tint="0.499984740745262"/>
      </bottom>
      <diagonal/>
    </border>
    <border>
      <left/>
      <right style="thin">
        <color theme="1" tint="0.499984740745262"/>
      </right>
      <top/>
      <bottom style="dashed">
        <color theme="1" tint="0.499984740745262"/>
      </bottom>
      <diagonal/>
    </border>
    <border>
      <left style="double">
        <color theme="1" tint="0.499984740745262"/>
      </left>
      <right style="thin">
        <color theme="1" tint="0.499984740745262"/>
      </right>
      <top/>
      <bottom style="thin">
        <color theme="1" tint="0.499984740745262"/>
      </bottom>
      <diagonal/>
    </border>
    <border>
      <left style="thin">
        <color theme="1" tint="0.499984740745262"/>
      </left>
      <right style="double">
        <color theme="1" tint="0.499984740745262"/>
      </right>
      <top style="thin">
        <color theme="1" tint="0.499984740745262"/>
      </top>
      <bottom style="thin">
        <color theme="1" tint="0.499984740745262"/>
      </bottom>
      <diagonal/>
    </border>
    <border>
      <left style="thin">
        <color theme="1" tint="0.499984740745262"/>
      </left>
      <right style="double">
        <color theme="1" tint="0.499984740745262"/>
      </right>
      <top/>
      <bottom style="thin">
        <color theme="1" tint="0.499984740745262"/>
      </bottom>
      <diagonal/>
    </border>
    <border>
      <left style="thin">
        <color theme="0" tint="-0.499984740745262"/>
      </left>
      <right style="thin">
        <color theme="0" tint="-0.499984740745262"/>
      </right>
      <top style="dashed">
        <color theme="0" tint="-0.499984740745262"/>
      </top>
      <bottom style="dashed">
        <color theme="0" tint="-0.499984740745262"/>
      </bottom>
      <diagonal/>
    </border>
    <border>
      <left style="thin">
        <color theme="0" tint="-0.499984740745262"/>
      </left>
      <right style="thin">
        <color theme="0" tint="-0.499984740745262"/>
      </right>
      <top style="double">
        <color theme="0" tint="-0.499984740745262"/>
      </top>
      <bottom style="double">
        <color theme="0" tint="-0.499984740745262"/>
      </bottom>
      <diagonal/>
    </border>
    <border>
      <left style="thin">
        <color theme="0" tint="-0.499984740745262"/>
      </left>
      <right style="thin">
        <color theme="0" tint="-0.499984740745262"/>
      </right>
      <top style="dashed">
        <color theme="0" tint="-0.499984740745262"/>
      </top>
      <bottom/>
      <diagonal/>
    </border>
    <border>
      <left style="thin">
        <color theme="0" tint="-0.3499862666707358"/>
      </left>
      <right style="thin">
        <color theme="0" tint="-0.3499862666707358"/>
      </right>
      <top style="thin">
        <color theme="0" tint="-0.3499862666707358"/>
      </top>
      <bottom/>
      <diagonal/>
    </border>
    <border>
      <left style="thin">
        <color theme="0" tint="-0.3499862666707358"/>
      </left>
      <right style="thin">
        <color theme="0" tint="-0.3499862666707358"/>
      </right>
      <top/>
      <bottom style="thin">
        <color theme="0" tint="-0.3499862666707358"/>
      </bottom>
      <diagonal/>
    </border>
    <border>
      <left/>
      <right style="thin">
        <color theme="0" tint="-0.499984740745262"/>
      </right>
      <top style="thin">
        <color theme="0" tint="-0.499984740745262"/>
      </top>
      <bottom style="dashed">
        <color theme="0" tint="-0.499984740745262"/>
      </bottom>
      <diagonal/>
    </border>
    <border>
      <left/>
      <right/>
      <top style="dashed">
        <color indexed="64"/>
      </top>
      <bottom/>
      <diagonal/>
    </border>
    <border>
      <left/>
      <right/>
      <top style="dashed">
        <color theme="0" tint="-0.499984740745262"/>
      </top>
      <bottom style="dashed">
        <color theme="1" tint="0.499984740745262"/>
      </bottom>
      <diagonal/>
    </border>
    <border>
      <left/>
      <right/>
      <top style="thin">
        <color theme="1" tint="0.499984740745262"/>
      </top>
      <bottom style="thin">
        <color rgb="FF808080"/>
      </bottom>
      <diagonal/>
    </border>
    <border>
      <left/>
      <right style="thin">
        <color theme="1" tint="0.499984740745262"/>
      </right>
      <top style="thin">
        <color theme="1" tint="0.499984740745262"/>
      </top>
      <bottom style="thin">
        <color rgb="FF808080"/>
      </bottom>
      <diagonal/>
    </border>
    <border>
      <left/>
      <right/>
      <top style="thin">
        <color rgb="FF808080"/>
      </top>
      <bottom style="thin">
        <color rgb="FF808080"/>
      </bottom>
      <diagonal/>
    </border>
    <border>
      <left/>
      <right style="thin">
        <color theme="1" tint="0.499984740745262"/>
      </right>
      <top style="thin">
        <color rgb="FF808080"/>
      </top>
      <bottom style="thin">
        <color rgb="FF808080"/>
      </bottom>
      <diagonal/>
    </border>
    <border>
      <left/>
      <right/>
      <top style="thin">
        <color rgb="FF808080"/>
      </top>
      <bottom style="thin">
        <color theme="1" tint="0.499984740745262"/>
      </bottom>
      <diagonal/>
    </border>
    <border>
      <left/>
      <right style="thin">
        <color theme="1" tint="0.499984740745262"/>
      </right>
      <top style="thin">
        <color rgb="FF808080"/>
      </top>
      <bottom style="thin">
        <color theme="1" tint="0.499984740745262"/>
      </bottom>
      <diagonal/>
    </border>
    <border>
      <left/>
      <right style="thin">
        <color indexed="64"/>
      </right>
      <top/>
      <bottom style="thin">
        <color theme="0" tint="-0.499984740745262"/>
      </bottom>
      <diagonal/>
    </border>
    <border>
      <left style="thin">
        <color theme="0" tint="-0.499984740745262"/>
      </left>
      <right style="thin">
        <color theme="0" tint="-0.499984740745262"/>
      </right>
      <top style="thin">
        <color theme="0" tint="-0.499984740745262"/>
      </top>
      <bottom style="hair">
        <color indexed="64"/>
      </bottom>
      <diagonal/>
    </border>
    <border>
      <left style="thin">
        <color theme="0" tint="-0.499984740745262"/>
      </left>
      <right style="thin">
        <color theme="0" tint="-0.499984740745262"/>
      </right>
      <top style="hair">
        <color indexed="64"/>
      </top>
      <bottom/>
      <diagonal/>
    </border>
    <border>
      <left/>
      <right/>
      <top style="dashed">
        <color theme="1" tint="0.499984740745262"/>
      </top>
      <bottom style="thin">
        <color theme="1" tint="0.499984740745262"/>
      </bottom>
      <diagonal/>
    </border>
    <border>
      <left/>
      <right style="thin">
        <color theme="1" tint="0.499984740745262"/>
      </right>
      <top/>
      <bottom style="dashed">
        <color theme="0" tint="-0.499984740745262"/>
      </bottom>
      <diagonal/>
    </border>
    <border>
      <left/>
      <right/>
      <top/>
      <bottom style="dashed">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top/>
      <bottom/>
      <diagonal/>
    </border>
    <border>
      <left/>
      <right style="thin">
        <color theme="0" tint="-0.249946592608417"/>
      </right>
      <top/>
      <bottom/>
      <diagonal/>
    </border>
    <border>
      <left style="thin">
        <color theme="0" tint="-0.249946592608417"/>
      </left>
      <right style="thin">
        <color theme="0" tint="-0.249946592608417"/>
      </right>
      <top/>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style="thin">
        <color theme="0" tint="-0.3499862666707358"/>
      </right>
      <top/>
      <bottom/>
      <diagonal/>
    </border>
    <border>
      <left/>
      <right/>
      <top style="thin">
        <color theme="0" tint="-0.3499862666707358"/>
      </top>
      <bottom style="thin">
        <color theme="0" tint="-0.3499862666707358"/>
      </bottom>
      <diagonal/>
    </border>
    <border>
      <left/>
      <right/>
      <top/>
      <bottom style="dashed">
        <color theme="0" tint="-0.3499862666707358"/>
      </bottom>
      <diagonal/>
    </border>
    <border>
      <left/>
      <right/>
      <top style="dashed">
        <color theme="0" tint="-0.3499862666707358"/>
      </top>
      <bottom style="dashed">
        <color theme="0" tint="-0.3499862666707358"/>
      </bottom>
      <diagonal/>
    </border>
    <border>
      <left style="thin">
        <color theme="0" tint="-0.3499862666707358"/>
      </left>
      <right/>
      <top style="thin">
        <color theme="0" tint="-0.3499862666707358"/>
      </top>
      <bottom/>
      <diagonal/>
    </border>
    <border>
      <left/>
      <right/>
      <top style="thin">
        <color theme="0" tint="-0.3499862666707358"/>
      </top>
      <bottom/>
      <diagonal/>
    </border>
    <border>
      <left/>
      <right style="thin">
        <color theme="0" tint="-0.3499862666707358"/>
      </right>
      <top style="thin">
        <color theme="0" tint="-0.3499862666707358"/>
      </top>
      <bottom/>
      <diagonal/>
    </border>
    <border>
      <left style="thin">
        <color theme="0" tint="-0.3499862666707358"/>
      </left>
      <right/>
      <top/>
      <bottom/>
      <diagonal/>
    </border>
    <border>
      <left style="thin">
        <color theme="0" tint="-0.3499862666707358"/>
      </left>
      <right style="thin">
        <color theme="0" tint="-0.3499862666707358"/>
      </right>
      <top/>
      <bottom/>
      <diagonal/>
    </border>
    <border>
      <left/>
      <right/>
      <top/>
      <bottom style="thin">
        <color theme="0" tint="-0.3499862666707358"/>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249946592608417"/>
      </left>
      <right style="thin">
        <color theme="0" tint="-0.249946592608417"/>
      </right>
      <top style="thin">
        <color theme="0" tint="-0.3499862666707358"/>
      </top>
      <bottom/>
      <diagonal/>
    </border>
    <border>
      <left style="thin">
        <color theme="0" tint="-0.249946592608417"/>
      </left>
      <right/>
      <top style="thin">
        <color theme="0" tint="-0.3499862666707358"/>
      </top>
      <bottom/>
      <diagonal/>
    </border>
    <border>
      <left/>
      <right style="thin">
        <color theme="0" tint="-0.249946592608417"/>
      </right>
      <top style="thin">
        <color theme="0" tint="-0.3499862666707358"/>
      </top>
      <bottom/>
      <diagonal/>
    </border>
    <border>
      <left style="thin">
        <color theme="0" tint="-0.249946592608417"/>
      </left>
      <right style="thin">
        <color theme="0" tint="-0.249946592608417"/>
      </right>
      <top style="dashed">
        <color theme="0" tint="-0.249946592608417"/>
      </top>
      <bottom style="dashed">
        <color theme="0" tint="-0.249946592608417"/>
      </bottom>
      <diagonal/>
    </border>
    <border>
      <left style="thin">
        <color theme="0" tint="-0.249946592608417"/>
      </left>
      <right style="thin">
        <color theme="0" tint="-0.249946592608417"/>
      </right>
      <top style="double">
        <color theme="0" tint="-0.249946592608417"/>
      </top>
      <bottom style="double">
        <color theme="0" tint="-0.249946592608417"/>
      </bottom>
      <diagonal/>
    </border>
    <border>
      <left style="thin">
        <color theme="0" tint="-0.249946592608417"/>
      </left>
      <right/>
      <top/>
      <bottom style="thin">
        <color theme="0" tint="-0.249946592608417"/>
      </bottom>
      <diagonal/>
    </border>
    <border>
      <left/>
      <right style="thin">
        <color theme="0" tint="-0.249946592608417"/>
      </right>
      <top/>
      <bottom style="thin">
        <color theme="0" tint="-0.3499862666707358"/>
      </bottom>
      <diagonal/>
    </border>
    <border>
      <left style="thin">
        <color theme="0" tint="-0.249946592608417"/>
      </left>
      <right style="thin">
        <color theme="0" tint="-0.249946592608417"/>
      </right>
      <top/>
      <bottom style="thin">
        <color theme="0" tint="-0.3499862666707358"/>
      </bottom>
      <diagonal/>
    </border>
    <border>
      <left style="thin">
        <color theme="0" tint="-0.249946592608417"/>
      </left>
      <right style="thin">
        <color theme="0" tint="-0.249946592608417"/>
      </right>
      <top style="dashed">
        <color theme="0" tint="-0.249946592608417"/>
      </top>
      <bottom style="thin">
        <color theme="0" tint="-0.249946592608417"/>
      </bottom>
      <diagonal/>
    </border>
    <border>
      <left style="thin">
        <color theme="0" tint="-0.3499862666707358"/>
      </left>
      <right/>
      <top/>
      <bottom style="thin">
        <color theme="0" tint="-0.3499862666707358"/>
      </bottom>
      <diagonal/>
    </border>
    <border>
      <left style="thin">
        <color theme="0" tint="-0.249946592608417"/>
      </left>
      <right style="thin">
        <color theme="0" tint="-0.249946592608417"/>
      </right>
      <top/>
      <bottom style="double">
        <color theme="0" tint="-0.249946592608417"/>
      </bottom>
      <diagonal/>
    </border>
    <border>
      <left style="thin">
        <color theme="0" tint="-0.249946592608417"/>
      </left>
      <right style="thin">
        <color theme="0" tint="-0.249946592608417"/>
      </right>
      <top/>
      <bottom style="dashed">
        <color theme="0" tint="-0.249946592608417"/>
      </bottom>
      <diagonal/>
    </border>
    <border>
      <left/>
      <right/>
      <top/>
      <bottom style="thin">
        <color theme="0" tint="-0.249946592608417"/>
      </bottom>
      <diagonal/>
    </border>
    <border>
      <left/>
      <right style="thin">
        <color theme="0" tint="-0.249946592608417"/>
      </right>
      <top/>
      <bottom style="thin">
        <color theme="0" tint="-0.249946592608417"/>
      </bottom>
      <diagonal/>
    </border>
    <border>
      <left style="thin">
        <color theme="0" tint="-0.249946592608417"/>
      </left>
      <right style="thin">
        <color theme="0" tint="-0.249946592608417"/>
      </right>
      <top style="dashed">
        <color theme="0" tint="-0.499984740745262"/>
      </top>
      <bottom/>
      <diagonal/>
    </border>
    <border>
      <left/>
      <right style="thin">
        <color theme="0" tint="-0.3499862666707358"/>
      </right>
      <top/>
      <bottom style="thin">
        <color theme="0" tint="-0.3499862666707358"/>
      </bottom>
      <diagonal/>
    </border>
    <border>
      <left style="thin">
        <color theme="0" tint="-0.249946592608417"/>
      </left>
      <right style="thin">
        <color theme="0" tint="-0.249946592608417"/>
      </right>
      <top style="double">
        <color theme="0" tint="-0.249946592608417"/>
      </top>
      <bottom/>
      <diagonal/>
    </border>
    <border>
      <left style="thin">
        <color theme="0" tint="-0.249946592608417"/>
      </left>
      <right style="thin">
        <color theme="0" tint="-0.249946592608417"/>
      </right>
      <top style="thin">
        <color theme="0" tint="-0.3499862666707358"/>
      </top>
      <bottom style="thin">
        <color theme="0" tint="-0.249946592608417"/>
      </bottom>
      <diagonal/>
    </border>
    <border>
      <left/>
      <right style="thin">
        <color theme="0" tint="-0.249946592608417"/>
      </right>
      <top style="thin">
        <color theme="0" tint="-0.499984740745262"/>
      </top>
      <bottom style="thin">
        <color theme="0" tint="-0.49998474074526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tint="0.499984740745262"/>
      </left>
      <right/>
      <top style="medium">
        <color indexed="64"/>
      </top>
      <bottom style="thin">
        <color indexed="64"/>
      </bottom>
      <diagonal/>
    </border>
    <border>
      <left/>
      <right style="thin">
        <color theme="1" tint="0.499984740745262"/>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rgb="FFDADCDD"/>
      </right>
      <top style="thin">
        <color rgb="FFDADCDD"/>
      </top>
      <bottom style="thin">
        <color rgb="FFDADCDD"/>
      </bottom>
      <diagonal/>
    </border>
    <border>
      <left style="thin">
        <color rgb="FFDADCDD"/>
      </left>
      <right style="thin">
        <color rgb="FFDADCDD"/>
      </right>
      <top style="thin">
        <color rgb="FFDADCDD"/>
      </top>
      <bottom style="thin">
        <color rgb="FFDADCDD"/>
      </bottom>
      <diagonal/>
    </border>
    <border>
      <left style="thin">
        <color rgb="FFDADCDD"/>
      </left>
      <right/>
      <top style="thin">
        <color rgb="FFDADCDD"/>
      </top>
      <bottom style="thin">
        <color rgb="FFDADCDD"/>
      </bottom>
      <diagonal/>
    </border>
    <border>
      <left/>
      <right/>
      <top style="thin">
        <color rgb="FFDADCDD"/>
      </top>
      <bottom style="thin">
        <color rgb="FFDADCDD"/>
      </bottom>
      <diagonal/>
    </border>
    <border>
      <left style="thin">
        <color rgb="FFDADCDD"/>
      </left>
      <right style="thin">
        <color rgb="FFDADCDD"/>
      </right>
      <top/>
      <bottom style="thin">
        <color rgb="FFDADCDD"/>
      </bottom>
      <diagonal/>
    </border>
    <border>
      <left/>
      <right/>
      <top style="thin">
        <color rgb="FFDADCDD"/>
      </top>
      <bottom/>
      <diagonal/>
    </border>
    <border>
      <left/>
      <right style="thin">
        <color rgb="FFDADCDD"/>
      </right>
      <top style="thin">
        <color rgb="FFDADCDD"/>
      </top>
      <bottom/>
      <diagonal/>
    </border>
    <border>
      <left/>
      <right style="thin">
        <color rgb="FFDADCDD"/>
      </right>
      <top style="medium">
        <color indexed="64"/>
      </top>
      <bottom style="thin">
        <color rgb="FFDADCDD"/>
      </bottom>
      <diagonal/>
    </border>
    <border>
      <left style="thin">
        <color rgb="FFDADCDD"/>
      </left>
      <right style="thin">
        <color rgb="FFDADCDD"/>
      </right>
      <top style="medium">
        <color indexed="64"/>
      </top>
      <bottom style="thin">
        <color rgb="FFDADCDD"/>
      </bottom>
      <diagonal/>
    </border>
    <border>
      <left style="thin">
        <color rgb="FFDADCDD"/>
      </left>
      <right/>
      <top style="medium">
        <color indexed="64"/>
      </top>
      <bottom style="thin">
        <color rgb="FFDADCDD"/>
      </bottom>
      <diagonal/>
    </border>
    <border>
      <left/>
      <right/>
      <top style="medium">
        <color indexed="64"/>
      </top>
      <bottom style="thin">
        <color rgb="FFDADCDD"/>
      </bottom>
      <diagonal/>
    </border>
    <border>
      <left style="thin">
        <color rgb="FFDADCDD"/>
      </left>
      <right style="medium">
        <color indexed="64"/>
      </right>
      <top style="medium">
        <color indexed="64"/>
      </top>
      <bottom style="thin">
        <color rgb="FFDADCDD"/>
      </bottom>
      <diagonal/>
    </border>
    <border>
      <left style="medium">
        <color indexed="64"/>
      </left>
      <right/>
      <top style="thin">
        <color rgb="FFDADCDD"/>
      </top>
      <bottom style="thin">
        <color rgb="FFDADCDD"/>
      </bottom>
      <diagonal/>
    </border>
    <border>
      <left style="thin">
        <color rgb="FFDADCDD"/>
      </left>
      <right style="medium">
        <color indexed="64"/>
      </right>
      <top style="thin">
        <color rgb="FFDADCDD"/>
      </top>
      <bottom style="thin">
        <color rgb="FFDADCDD"/>
      </bottom>
      <diagonal/>
    </border>
    <border>
      <left/>
      <right style="medium">
        <color indexed="64"/>
      </right>
      <top style="thin">
        <color rgb="FFDADCDD"/>
      </top>
      <bottom style="thin">
        <color rgb="FFDADCDD"/>
      </bottom>
      <diagonal/>
    </border>
    <border>
      <left style="medium">
        <color indexed="64"/>
      </left>
      <right/>
      <top style="thin">
        <color rgb="FFDADCDD"/>
      </top>
      <bottom style="medium">
        <color indexed="64"/>
      </bottom>
      <diagonal/>
    </border>
    <border>
      <left/>
      <right style="thin">
        <color rgb="FFDADCDD"/>
      </right>
      <top style="thin">
        <color rgb="FFDADCDD"/>
      </top>
      <bottom style="medium">
        <color indexed="64"/>
      </bottom>
      <diagonal/>
    </border>
    <border>
      <left style="thin">
        <color rgb="FFDADCDD"/>
      </left>
      <right style="thin">
        <color rgb="FFDADCDD"/>
      </right>
      <top style="thin">
        <color rgb="FFDADCDD"/>
      </top>
      <bottom style="medium">
        <color indexed="64"/>
      </bottom>
      <diagonal/>
    </border>
    <border>
      <left style="thin">
        <color rgb="FFDADCDD"/>
      </left>
      <right/>
      <top style="thin">
        <color rgb="FFDADCDD"/>
      </top>
      <bottom style="medium">
        <color indexed="64"/>
      </bottom>
      <diagonal/>
    </border>
    <border>
      <left style="thin">
        <color rgb="FFDADCDD"/>
      </left>
      <right style="medium">
        <color indexed="64"/>
      </right>
      <top style="thin">
        <color rgb="FFDADCDD"/>
      </top>
      <bottom style="medium">
        <color indexed="64"/>
      </bottom>
      <diagonal/>
    </border>
    <border>
      <left/>
      <right style="medium">
        <color indexed="64"/>
      </right>
      <top style="thin">
        <color theme="0" tint="-0.499984740745262"/>
      </top>
      <bottom style="thin">
        <color theme="0" tint="-0.499984740745262"/>
      </bottom>
      <diagonal/>
    </border>
    <border>
      <left/>
      <right style="medium">
        <color indexed="64"/>
      </right>
      <top/>
      <bottom style="dashed">
        <color theme="1" tint="0.499984740745262"/>
      </bottom>
      <diagonal/>
    </border>
    <border>
      <left/>
      <right style="medium">
        <color indexed="64"/>
      </right>
      <top/>
      <bottom style="dashed">
        <color theme="0" tint="-0.499984740745262"/>
      </bottom>
      <diagonal/>
    </border>
    <border>
      <left style="medium">
        <color indexed="64"/>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medium">
        <color indexed="64"/>
      </left>
      <right/>
      <top style="thin">
        <color theme="1" tint="0.499984740745262"/>
      </top>
      <bottom style="thin">
        <color theme="1" tint="0.499984740745262"/>
      </bottom>
      <diagonal/>
    </border>
    <border>
      <left/>
      <right style="medium">
        <color indexed="64"/>
      </right>
      <top style="thin">
        <color theme="1" tint="0.499984740745262"/>
      </top>
      <bottom style="thin">
        <color theme="1" tint="0.499984740745262"/>
      </bottom>
      <diagonal/>
    </border>
    <border>
      <left/>
      <right style="thin">
        <color theme="1" tint="0.499984740745262"/>
      </right>
      <top style="thin">
        <color theme="1" tint="0.499984740745262"/>
      </top>
      <bottom style="medium">
        <color indexed="64"/>
      </bottom>
      <diagonal/>
    </border>
    <border>
      <left style="thin">
        <color theme="1" tint="0.499984740745262"/>
      </left>
      <right/>
      <top style="thin">
        <color theme="1" tint="0.499984740745262"/>
      </top>
      <bottom style="medium">
        <color indexed="64"/>
      </bottom>
      <diagonal/>
    </border>
    <border>
      <left/>
      <right/>
      <top style="thin">
        <color theme="1" tint="0.499984740745262"/>
      </top>
      <bottom style="medium">
        <color indexed="64"/>
      </bottom>
      <diagonal/>
    </border>
    <border>
      <left/>
      <right style="medium">
        <color indexed="64"/>
      </right>
      <top style="thin">
        <color theme="1" tint="0.499984740745262"/>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249946592608417"/>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diagonal/>
    </border>
    <border>
      <left style="medium">
        <color indexed="64"/>
      </left>
      <right style="thin">
        <color theme="0" tint="-0.499984740745262"/>
      </right>
      <top/>
      <bottom/>
      <diagonal/>
    </border>
    <border>
      <left style="medium">
        <color indexed="64"/>
      </left>
      <right style="thin">
        <color theme="0" tint="-0.499984740745262"/>
      </right>
      <top style="thin">
        <color theme="0" tint="-0.499984740745262"/>
      </top>
      <bottom style="medium">
        <color indexed="64"/>
      </bottom>
      <diagonal/>
    </border>
    <border>
      <left/>
      <right style="thin">
        <color theme="0" tint="-0.249946592608417"/>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0" tint="-0.499984740745262"/>
      </left>
      <right style="medium">
        <color indexed="64"/>
      </right>
      <top style="thin">
        <color theme="0" tint="-0.499984740745262"/>
      </top>
      <bottom/>
      <diagonal/>
    </border>
    <border>
      <left style="medium">
        <color indexed="64"/>
      </left>
      <right style="thin">
        <color theme="0" tint="-0.499984740745262"/>
      </right>
      <top/>
      <bottom style="medium">
        <color indexed="64"/>
      </bottom>
      <diagonal/>
    </border>
    <border>
      <left style="thin">
        <color theme="0" tint="-0.499984740745262"/>
      </left>
      <right/>
      <top/>
      <bottom style="medium">
        <color indexed="64"/>
      </bottom>
      <diagonal/>
    </border>
    <border>
      <left/>
      <right style="thin">
        <color theme="0" tint="-0.499984740745262"/>
      </right>
      <top/>
      <bottom style="medium">
        <color indexed="64"/>
      </bottom>
      <diagonal/>
    </border>
    <border>
      <left style="thin">
        <color theme="0" tint="-0.499984740745262"/>
      </left>
      <right style="thin">
        <color theme="0" tint="-0.499984740745262"/>
      </right>
      <top/>
      <bottom style="medium">
        <color indexed="64"/>
      </bottom>
      <diagonal/>
    </border>
    <border>
      <left style="thin">
        <color theme="0" tint="-0.499984740745262"/>
      </left>
      <right style="medium">
        <color indexed="64"/>
      </right>
      <top/>
      <bottom style="medium">
        <color indexed="64"/>
      </bottom>
      <diagonal/>
    </border>
    <border>
      <left/>
      <right style="thin">
        <color theme="1" tint="0.499984740745262"/>
      </right>
      <top style="medium">
        <color indexed="64"/>
      </top>
      <bottom/>
      <diagonal/>
    </border>
    <border>
      <left style="thin">
        <color theme="1" tint="0.499984740745262"/>
      </left>
      <right style="thin">
        <color theme="1" tint="0.499984740745262"/>
      </right>
      <top style="medium">
        <color indexed="64"/>
      </top>
      <bottom/>
      <diagonal/>
    </border>
    <border>
      <left style="thin">
        <color theme="1" tint="0.499984740745262"/>
      </left>
      <right/>
      <top style="medium">
        <color indexed="64"/>
      </top>
      <bottom style="thin">
        <color theme="1" tint="0.499984740745262"/>
      </bottom>
      <diagonal/>
    </border>
    <border>
      <left/>
      <right/>
      <top style="medium">
        <color indexed="64"/>
      </top>
      <bottom style="thin">
        <color theme="1" tint="0.499984740745262"/>
      </bottom>
      <diagonal/>
    </border>
    <border>
      <left/>
      <right style="medium">
        <color indexed="64"/>
      </right>
      <top style="medium">
        <color indexed="64"/>
      </top>
      <bottom style="thin">
        <color theme="1" tint="0.499984740745262"/>
      </bottom>
      <diagonal/>
    </border>
    <border>
      <left style="medium">
        <color indexed="64"/>
      </left>
      <right/>
      <top/>
      <bottom style="thin">
        <color theme="1" tint="0.499984740745262"/>
      </bottom>
      <diagonal/>
    </border>
    <border>
      <left style="thin">
        <color theme="1" tint="0.499984740745262"/>
      </left>
      <right style="medium">
        <color indexed="64"/>
      </right>
      <top style="thin">
        <color theme="1" tint="0.499984740745262"/>
      </top>
      <bottom/>
      <diagonal/>
    </border>
    <border>
      <left style="medium">
        <color indexed="64"/>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medium">
        <color indexed="64"/>
      </left>
      <right/>
      <top style="medium">
        <color indexed="64"/>
      </top>
      <bottom style="thin">
        <color theme="1" tint="0.499984740745262"/>
      </bottom>
      <diagonal/>
    </border>
    <border>
      <left style="medium">
        <color indexed="64"/>
      </left>
      <right style="thin">
        <color theme="1" tint="0.499984740745262"/>
      </right>
      <top style="medium">
        <color indexed="64"/>
      </top>
      <bottom/>
      <diagonal/>
    </border>
    <border>
      <left style="thin">
        <color theme="1" tint="0.499984740745262"/>
      </left>
      <right style="double">
        <color theme="1" tint="0.499984740745262"/>
      </right>
      <top style="medium">
        <color indexed="64"/>
      </top>
      <bottom/>
      <diagonal/>
    </border>
    <border>
      <left/>
      <right style="double">
        <color theme="1" tint="0.499984740745262"/>
      </right>
      <top style="medium">
        <color indexed="64"/>
      </top>
      <bottom style="thin">
        <color theme="1" tint="0.499984740745262"/>
      </bottom>
      <diagonal/>
    </border>
    <border>
      <left style="double">
        <color theme="1" tint="0.499984740745262"/>
      </left>
      <right style="medium">
        <color indexed="64"/>
      </right>
      <top style="medium">
        <color indexed="64"/>
      </top>
      <bottom style="thin">
        <color theme="1" tint="0.499984740745262"/>
      </bottom>
      <diagonal/>
    </border>
    <border>
      <left style="medium">
        <color indexed="64"/>
      </left>
      <right style="thin">
        <color theme="1" tint="0.499984740745262"/>
      </right>
      <top/>
      <bottom/>
      <diagonal/>
    </border>
    <border>
      <left style="double">
        <color theme="1" tint="0.499984740745262"/>
      </left>
      <right style="medium">
        <color indexed="64"/>
      </right>
      <top/>
      <bottom style="thin">
        <color theme="1" tint="0.499984740745262"/>
      </bottom>
      <diagonal/>
    </border>
    <border>
      <left style="double">
        <color theme="1" tint="0.499984740745262"/>
      </left>
      <right style="medium">
        <color indexed="64"/>
      </right>
      <top style="thin">
        <color theme="1" tint="0.499984740745262"/>
      </top>
      <bottom style="thin">
        <color theme="1" tint="0.499984740745262"/>
      </bottom>
      <diagonal/>
    </border>
    <border>
      <left style="thin">
        <color theme="1" tint="0.499984740745262"/>
      </left>
      <right style="double">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medium">
        <color indexed="64"/>
      </right>
      <top/>
      <bottom style="thin">
        <color theme="1" tint="0.499984740745262"/>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theme="1" tint="0.499984740745262"/>
      </right>
      <top style="medium">
        <color indexed="64"/>
      </top>
      <bottom style="thin">
        <color theme="1" tint="0.499984740745262"/>
      </bottom>
      <diagonal/>
    </border>
    <border>
      <left style="medium">
        <color indexed="64"/>
      </left>
      <right style="thin">
        <color indexed="64"/>
      </right>
      <top/>
      <bottom/>
      <diagonal/>
    </border>
    <border>
      <left style="medium">
        <color indexed="64"/>
      </left>
      <right style="thin">
        <color indexed="64"/>
      </right>
      <top/>
      <bottom style="thin">
        <color theme="1" tint="0.499984740745262"/>
      </bottom>
      <diagonal/>
    </border>
    <border>
      <left style="medium">
        <color indexed="64"/>
      </left>
      <right/>
      <top style="thin">
        <color theme="1" tint="0.499984740745262"/>
      </top>
      <bottom/>
      <diagonal/>
    </border>
    <border>
      <left style="medium">
        <color indexed="64"/>
      </left>
      <right style="thin">
        <color indexed="64"/>
      </right>
      <top style="thin">
        <color theme="1" tint="0.499984740745262"/>
      </top>
      <bottom style="medium">
        <color indexed="64"/>
      </bottom>
      <diagonal/>
    </border>
    <border>
      <left style="thin">
        <color theme="1" tint="0.499984740745262"/>
      </left>
      <right style="medium">
        <color indexed="64"/>
      </right>
      <top style="medium">
        <color indexed="64"/>
      </top>
      <bottom/>
      <diagonal/>
    </border>
    <border>
      <left/>
      <right style="medium">
        <color indexed="64"/>
      </right>
      <top/>
      <bottom style="thin">
        <color theme="1" tint="0.499984740745262"/>
      </bottom>
      <diagonal/>
    </border>
    <border>
      <left/>
      <right style="medium">
        <color indexed="64"/>
      </right>
      <top style="thin">
        <color theme="1" tint="0.499984740745262"/>
      </top>
      <bottom/>
      <diagonal/>
    </border>
    <border>
      <left style="medium">
        <color indexed="64"/>
      </left>
      <right style="thin">
        <color theme="1" tint="0.499984740745262"/>
      </right>
      <top style="medium">
        <color indexed="64"/>
      </top>
      <bottom style="thin">
        <color theme="1" tint="0.499984740745262"/>
      </bottom>
      <diagonal/>
    </border>
    <border>
      <left style="thin">
        <color theme="1" tint="0.499984740745262"/>
      </left>
      <right/>
      <top/>
      <bottom style="medium">
        <color indexed="64"/>
      </bottom>
      <diagonal/>
    </border>
    <border>
      <left style="medium">
        <color indexed="64"/>
      </left>
      <right style="thin">
        <color theme="1" tint="0.499984740745262"/>
      </right>
      <top/>
      <bottom style="thin">
        <color theme="1" tint="0.499984740745262"/>
      </bottom>
      <diagonal/>
    </border>
    <border>
      <left style="medium">
        <color indexed="64"/>
      </left>
      <right style="thin">
        <color theme="1" tint="0.499984740745262"/>
      </right>
      <top style="medium">
        <color indexed="64"/>
      </top>
      <bottom style="medium">
        <color indexed="64"/>
      </bottom>
      <diagonal/>
    </border>
    <border>
      <left style="thin">
        <color theme="1" tint="0.499984740745262"/>
      </left>
      <right style="thin">
        <color theme="1" tint="0.499984740745262"/>
      </right>
      <top style="medium">
        <color indexed="64"/>
      </top>
      <bottom style="medium">
        <color indexed="64"/>
      </bottom>
      <diagonal/>
    </border>
    <border>
      <left style="thin">
        <color theme="1" tint="0.499984740745262"/>
      </left>
      <right style="medium">
        <color indexed="64"/>
      </right>
      <top style="medium">
        <color indexed="64"/>
      </top>
      <bottom style="medium">
        <color indexed="64"/>
      </bottom>
      <diagonal/>
    </border>
    <border>
      <left style="medium">
        <color indexed="64"/>
      </left>
      <right style="thin">
        <color theme="1" tint="0.499984740745262"/>
      </right>
      <top style="thin">
        <color theme="1" tint="0.499984740745262"/>
      </top>
      <bottom/>
      <diagonal/>
    </border>
    <border>
      <left style="medium">
        <color indexed="64"/>
      </left>
      <right style="medium">
        <color indexed="64"/>
      </right>
      <top style="medium">
        <color indexed="64"/>
      </top>
      <bottom style="thin">
        <color theme="1" tint="0.499984740745262"/>
      </bottom>
      <diagonal/>
    </border>
    <border>
      <left style="medium">
        <color indexed="64"/>
      </left>
      <right style="medium">
        <color indexed="64"/>
      </right>
      <top style="thin">
        <color theme="1" tint="0.499984740745262"/>
      </top>
      <bottom style="thin">
        <color theme="1" tint="0.499984740745262"/>
      </bottom>
      <diagonal/>
    </border>
    <border>
      <left style="medium">
        <color indexed="64"/>
      </left>
      <right style="medium">
        <color indexed="64"/>
      </right>
      <top style="thin">
        <color theme="1" tint="0.49998474074526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medium">
        <color indexed="64"/>
      </top>
      <bottom style="dashed">
        <color theme="0" tint="-0.499984740745262"/>
      </bottom>
      <diagonal/>
    </border>
    <border>
      <left style="medium">
        <color indexed="64"/>
      </left>
      <right/>
      <top/>
      <bottom style="thin">
        <color theme="0" tint="-0.499984740745262"/>
      </bottom>
      <diagonal/>
    </border>
    <border>
      <left/>
      <right style="medium">
        <color indexed="64"/>
      </right>
      <top/>
      <bottom style="thin">
        <color theme="0" tint="-0.499984740745262"/>
      </bottom>
      <diagonal/>
    </border>
    <border>
      <left style="medium">
        <color indexed="64"/>
      </left>
      <right/>
      <top style="thin">
        <color theme="0" tint="-0.499984740745262"/>
      </top>
      <bottom style="thin">
        <color theme="0" tint="-0.499984740745262"/>
      </bottom>
      <diagonal/>
    </border>
    <border>
      <left style="medium">
        <color indexed="64"/>
      </left>
      <right/>
      <top style="thin">
        <color theme="0" tint="-0.499984740745262"/>
      </top>
      <bottom/>
      <diagonal/>
    </border>
    <border>
      <left/>
      <right style="medium">
        <color indexed="64"/>
      </right>
      <top style="thin">
        <color theme="0" tint="-0.499984740745262"/>
      </top>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style="thin">
        <color theme="1" tint="0.499984740745262"/>
      </right>
      <top/>
      <bottom style="medium">
        <color indexed="64"/>
      </bottom>
      <diagonal/>
    </border>
    <border>
      <left style="thin">
        <color theme="0" tint="-0.3499862666707358"/>
      </left>
      <right style="thin">
        <color theme="0" tint="-0.3499862666707358"/>
      </right>
      <top style="medium">
        <color indexed="64"/>
      </top>
      <bottom/>
      <diagonal/>
    </border>
    <border>
      <left style="thin">
        <color theme="0" tint="-0.3499862666707358"/>
      </left>
      <right style="medium">
        <color indexed="64"/>
      </right>
      <top style="thin">
        <color theme="0" tint="-0.3499862666707358"/>
      </top>
      <bottom style="thin">
        <color theme="0" tint="-0.3499862666707358"/>
      </bottom>
      <diagonal/>
    </border>
    <border>
      <left style="medium">
        <color indexed="64"/>
      </left>
      <right style="thin">
        <color theme="0" tint="-0.249946592608417"/>
      </right>
      <top/>
      <bottom/>
      <diagonal/>
    </border>
    <border>
      <left style="thin">
        <color theme="0" tint="-0.249946592608417"/>
      </left>
      <right style="medium">
        <color indexed="64"/>
      </right>
      <top style="dashed">
        <color theme="0" tint="-0.249946592608417"/>
      </top>
      <bottom style="dashed">
        <color theme="0" tint="-0.249946592608417"/>
      </bottom>
      <diagonal/>
    </border>
    <border>
      <left style="medium">
        <color indexed="64"/>
      </left>
      <right/>
      <top style="thin">
        <color theme="0" tint="-0.3499862666707358"/>
      </top>
      <bottom style="thin">
        <color theme="0" tint="-0.3499862666707358"/>
      </bottom>
      <diagonal/>
    </border>
    <border>
      <left style="thin">
        <color theme="0" tint="-0.249946592608417"/>
      </left>
      <right style="medium">
        <color indexed="64"/>
      </right>
      <top style="double">
        <color theme="0" tint="-0.249946592608417"/>
      </top>
      <bottom/>
      <diagonal/>
    </border>
    <border>
      <left style="medium">
        <color indexed="64"/>
      </left>
      <right style="thin">
        <color theme="0" tint="-0.249946592608417"/>
      </right>
      <top style="thin">
        <color theme="0" tint="-0.3499862666707358"/>
      </top>
      <bottom style="medium">
        <color indexed="64"/>
      </bottom>
      <diagonal/>
    </border>
    <border>
      <left style="thin">
        <color theme="0" tint="-0.249946592608417"/>
      </left>
      <right style="thin">
        <color theme="0" tint="-0.249946592608417"/>
      </right>
      <top style="thin">
        <color theme="0" tint="-0.3499862666707358"/>
      </top>
      <bottom style="medium">
        <color indexed="64"/>
      </bottom>
      <diagonal/>
    </border>
    <border>
      <left style="thin">
        <color theme="0" tint="-0.249946592608417"/>
      </left>
      <right style="medium">
        <color indexed="64"/>
      </right>
      <top style="thin">
        <color theme="0" tint="-0.3499862666707358"/>
      </top>
      <bottom style="medium">
        <color indexed="64"/>
      </bottom>
      <diagonal/>
    </border>
    <border>
      <left style="thin">
        <color theme="0" tint="-0.499984740745262"/>
      </left>
      <right style="medium">
        <color indexed="64"/>
      </right>
      <top style="dashed">
        <color theme="0" tint="-0.499984740745262"/>
      </top>
      <bottom style="dashed">
        <color theme="0" tint="-0.499984740745262"/>
      </bottom>
      <diagonal/>
    </border>
    <border>
      <left style="thin">
        <color theme="0" tint="-0.499984740745262"/>
      </left>
      <right style="medium">
        <color indexed="64"/>
      </right>
      <top style="dashed">
        <color theme="0" tint="-0.499984740745262"/>
      </top>
      <bottom/>
      <diagonal/>
    </border>
    <border>
      <left style="thin">
        <color theme="0" tint="-0.499984740745262"/>
      </left>
      <right style="medium">
        <color indexed="64"/>
      </right>
      <top style="double">
        <color theme="0" tint="-0.499984740745262"/>
      </top>
      <bottom style="double">
        <color theme="0" tint="-0.499984740745262"/>
      </bottom>
      <diagonal/>
    </border>
    <border>
      <left style="thin">
        <color theme="0" tint="-0.499984740745262"/>
      </left>
      <right style="medium">
        <color indexed="64"/>
      </right>
      <top/>
      <bottom style="dashed">
        <color theme="0" tint="-0.499984740745262"/>
      </bottom>
      <diagonal/>
    </border>
    <border>
      <left style="thin">
        <color theme="0" tint="-0.499984740745262"/>
      </left>
      <right style="thin">
        <color theme="0" tint="-0.499984740745262"/>
      </right>
      <top style="double">
        <color theme="0" tint="-0.499984740745262"/>
      </top>
      <bottom style="medium">
        <color indexed="64"/>
      </bottom>
      <diagonal/>
    </border>
    <border>
      <left style="thin">
        <color theme="0" tint="-0.499984740745262"/>
      </left>
      <right style="medium">
        <color indexed="64"/>
      </right>
      <top style="double">
        <color theme="0" tint="-0.499984740745262"/>
      </top>
      <bottom style="medium">
        <color indexed="64"/>
      </bottom>
      <diagonal/>
    </border>
    <border>
      <left/>
      <right style="medium">
        <color indexed="64"/>
      </right>
      <top style="thin">
        <color theme="0" tint="-0.499984740745262"/>
      </top>
      <bottom style="hair">
        <color indexed="64"/>
      </bottom>
      <diagonal/>
    </border>
    <border>
      <left/>
      <right style="medium">
        <color indexed="64"/>
      </right>
      <top style="hair">
        <color indexed="64"/>
      </top>
      <bottom/>
      <diagonal/>
    </border>
    <border>
      <left style="thin">
        <color theme="1" tint="0.499984740745262"/>
      </left>
      <right style="medium">
        <color indexed="64"/>
      </right>
      <top/>
      <bottom/>
      <diagonal/>
    </border>
    <border>
      <left/>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
      <left/>
      <right/>
      <top style="dashed">
        <color theme="0" tint="-0.249946592608417"/>
      </top>
      <bottom style="dashed">
        <color theme="0" tint="-0.249946592608417"/>
      </bottom>
      <diagonal/>
    </border>
    <border>
      <left/>
      <right style="thin">
        <color indexed="64"/>
      </right>
      <top/>
      <bottom style="medium">
        <color indexed="64"/>
      </bottom>
      <diagonal/>
    </border>
    <border>
      <left/>
      <right style="thin">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theme="1" tint="0.499984740745262"/>
      </bottom>
      <diagonal/>
    </border>
    <border>
      <left style="thin">
        <color indexed="64"/>
      </left>
      <right style="medium">
        <color indexed="64"/>
      </right>
      <top style="thin">
        <color theme="1" tint="0.499984740745262"/>
      </top>
      <bottom style="thin">
        <color theme="1" tint="0.499984740745262"/>
      </bottom>
      <diagonal/>
    </border>
    <border>
      <left style="thin">
        <color indexed="64"/>
      </left>
      <right style="medium">
        <color indexed="64"/>
      </right>
      <top style="thin">
        <color theme="1" tint="0.499984740745262"/>
      </top>
      <bottom style="thin">
        <color indexed="64"/>
      </bottom>
      <diagonal/>
    </border>
    <border>
      <left style="thin">
        <color indexed="64"/>
      </left>
      <right style="medium">
        <color indexed="64"/>
      </right>
      <top style="thin">
        <color indexed="64"/>
      </top>
      <bottom style="medium">
        <color theme="1"/>
      </bottom>
      <diagonal/>
    </border>
    <border>
      <left style="medium">
        <color auto="1"/>
      </left>
      <right style="medium">
        <color auto="1"/>
      </right>
      <top style="medium">
        <color auto="1"/>
      </top>
      <bottom style="medium">
        <color auto="1"/>
      </bottom>
      <diagonal/>
    </border>
    <border>
      <left style="thin">
        <color rgb="FFDADCDD"/>
      </left>
      <right style="thin">
        <color rgb="FFDADCDD"/>
      </right>
      <top style="thin">
        <color rgb="FFDADCDD"/>
      </top>
      <bottom/>
      <diagonal/>
    </border>
    <border>
      <left style="medium">
        <color indexed="64"/>
      </left>
      <right style="thin">
        <color rgb="FFDADCDD"/>
      </right>
      <top style="medium">
        <color indexed="64"/>
      </top>
      <bottom style="thin">
        <color rgb="FFDADCDD"/>
      </bottom>
      <diagonal/>
    </border>
    <border>
      <left/>
      <right/>
      <top style="medium">
        <color indexed="64"/>
      </top>
      <bottom/>
      <diagonal/>
    </border>
    <border>
      <left/>
      <right/>
      <top style="medium">
        <color auto="1"/>
      </top>
      <bottom style="medium">
        <color auto="1"/>
      </bottom>
      <diagonal/>
    </border>
    <border>
      <left style="medium">
        <color indexed="64"/>
      </left>
      <right style="thin">
        <color rgb="FFDADCDD"/>
      </right>
      <top style="thin">
        <color rgb="FFDADCDD"/>
      </top>
      <bottom style="thin">
        <color rgb="FFDADCDD"/>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indexed="64"/>
      </left>
      <right/>
      <top/>
      <bottom/>
      <diagonal/>
    </border>
    <border>
      <left/>
      <right style="thin">
        <color theme="0" tint="-0.249946592608417"/>
      </right>
      <top style="medium">
        <color indexed="64"/>
      </top>
      <bottom/>
      <diagonal/>
    </border>
    <border>
      <left/>
      <right style="thin">
        <color theme="0" tint="-0.249946592608417"/>
      </right>
      <top/>
      <bottom style="thin">
        <color theme="0" tint="-0.499984740745262"/>
      </bottom>
      <diagonal/>
    </border>
    <border>
      <left/>
      <right/>
      <top/>
      <bottom style="medium">
        <color indexed="64"/>
      </bottom>
      <diagonal/>
    </border>
    <border>
      <left/>
      <right style="thin">
        <color theme="0" tint="-0.499984740745262"/>
      </right>
      <top/>
      <bottom style="medium">
        <color auto="1"/>
      </bottom>
      <diagonal/>
    </border>
    <border>
      <left style="medium">
        <color auto="1"/>
      </left>
      <right style="thin">
        <color theme="1" tint="0.499984740745262"/>
      </right>
      <top style="medium">
        <color auto="1"/>
      </top>
      <bottom style="thin">
        <color theme="1" tint="0.499984740745262"/>
      </bottom>
      <diagonal/>
    </border>
    <border>
      <left/>
      <right style="thin">
        <color theme="1" tint="0.499984740745262"/>
      </right>
      <top style="medium">
        <color auto="1"/>
      </top>
      <bottom/>
      <diagonal/>
    </border>
    <border>
      <left style="medium">
        <color auto="1"/>
      </left>
      <right/>
      <top/>
      <bottom style="thin">
        <color theme="1" tint="0.499984740745262"/>
      </bottom>
      <diagonal/>
    </border>
    <border>
      <left style="double">
        <color theme="1" tint="0.499984740745262"/>
      </left>
      <right style="double">
        <color theme="1" tint="0.499984740745262"/>
      </right>
      <top style="medium">
        <color indexed="64"/>
      </top>
      <bottom style="thin">
        <color theme="1" tint="0.499984740745262"/>
      </bottom>
      <diagonal/>
    </border>
    <border>
      <left style="double">
        <color theme="1" tint="0.499984740745262"/>
      </left>
      <right style="thin">
        <color theme="1" tint="0.499984740745262"/>
      </right>
      <top style="thin">
        <color theme="1" tint="0.499984740745262"/>
      </top>
      <bottom style="thin">
        <color theme="1" tint="0.499984740745262"/>
      </bottom>
      <diagonal/>
    </border>
    <border>
      <left/>
      <right style="thin">
        <color indexed="64"/>
      </right>
      <top/>
      <bottom style="thin">
        <color theme="1" tint="0.499984740745262"/>
      </bottom>
      <diagonal/>
    </border>
    <border>
      <left style="medium">
        <color auto="1"/>
      </left>
      <right style="thin">
        <color theme="1" tint="0.499984740745262"/>
      </right>
      <top/>
      <bottom/>
      <diagonal/>
    </border>
    <border>
      <left/>
      <right style="thin">
        <color indexed="64"/>
      </right>
      <top style="thin">
        <color theme="1" tint="0.499984740745262"/>
      </top>
      <bottom style="medium">
        <color indexed="64"/>
      </bottom>
      <diagonal/>
    </border>
    <border>
      <left style="medium">
        <color auto="1"/>
      </left>
      <right style="thin">
        <color theme="1" tint="0.499984740745262"/>
      </right>
      <top style="medium">
        <color auto="1"/>
      </top>
      <bottom/>
      <diagonal/>
    </border>
    <border>
      <left style="medium">
        <color indexed="64"/>
      </left>
      <right style="medium">
        <color indexed="64"/>
      </right>
      <top/>
      <bottom style="thin">
        <color theme="1" tint="0.499984740745262"/>
      </bottom>
      <diagonal/>
    </border>
    <border>
      <left style="medium">
        <color indexed="64"/>
      </left>
      <right style="medium">
        <color indexed="64"/>
      </right>
      <top style="thin">
        <color theme="1" tint="0.499984740745262"/>
      </top>
      <bottom/>
      <diagonal/>
    </border>
    <border>
      <left style="medium">
        <color indexed="64"/>
      </left>
      <right style="medium">
        <color indexed="64"/>
      </right>
      <top style="medium">
        <color indexed="64"/>
      </top>
      <bottom style="medium">
        <color indexed="64"/>
      </bottom>
      <diagonal/>
    </border>
    <border>
      <left style="medium">
        <color indexed="64"/>
      </left>
      <right style="thin">
        <color theme="1" tint="0.499984740745262"/>
      </right>
      <top style="thin">
        <color theme="1" tint="0.499984740745262"/>
      </top>
      <bottom style="thin">
        <color rgb="FF808080"/>
      </bottom>
      <diagonal/>
    </border>
    <border>
      <left style="medium">
        <color indexed="64"/>
      </left>
      <right style="thin">
        <color theme="1" tint="0.499984740745262"/>
      </right>
      <top style="thin">
        <color rgb="FF808080"/>
      </top>
      <bottom style="thin">
        <color rgb="FF808080"/>
      </bottom>
      <diagonal/>
    </border>
    <border>
      <left style="medium">
        <color indexed="64"/>
      </left>
      <right style="thin">
        <color theme="1" tint="0.499984740745262"/>
      </right>
      <top style="thin">
        <color rgb="FF808080"/>
      </top>
      <bottom style="thin">
        <color theme="1" tint="0.499984740745262"/>
      </bottom>
      <diagonal/>
    </border>
    <border>
      <left/>
      <right style="thin">
        <color theme="1" tint="0.499984740745262"/>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auto="1"/>
      </left>
      <right style="medium">
        <color auto="1"/>
      </right>
      <top/>
      <bottom style="medium">
        <color auto="1"/>
      </bottom>
      <diagonal/>
    </border>
    <border>
      <left style="medium">
        <color indexed="64"/>
      </left>
      <right style="medium">
        <color indexed="64"/>
      </right>
      <top/>
      <bottom style="thin">
        <color theme="0" tint="-0.499984740745262"/>
      </bottom>
      <diagonal/>
    </border>
    <border>
      <left style="medium">
        <color indexed="64"/>
      </left>
      <right style="medium">
        <color indexed="64"/>
      </right>
      <top style="thin">
        <color theme="0" tint="-0.499984740745262"/>
      </top>
      <bottom style="thin">
        <color theme="0" tint="-0.499984740745262"/>
      </bottom>
      <diagonal/>
    </border>
    <border>
      <left style="medium">
        <color indexed="64"/>
      </left>
      <right style="medium">
        <color indexed="64"/>
      </right>
      <top style="medium">
        <color indexed="64"/>
      </top>
      <bottom style="thin">
        <color theme="0" tint="-0.499984740745262"/>
      </bottom>
      <diagonal/>
    </border>
    <border>
      <left/>
      <right/>
      <top style="thin">
        <color theme="0" tint="-0.3499862666707358"/>
      </top>
      <bottom style="thin">
        <color theme="0" tint="-0.249946592608417"/>
      </bottom>
      <diagonal/>
    </border>
    <border>
      <left/>
      <right style="thin">
        <color theme="0" tint="-0.249946592608417"/>
      </right>
      <top style="thin">
        <color theme="0" tint="-0.3499862666707358"/>
      </top>
      <bottom style="thin">
        <color theme="0" tint="-0.249946592608417"/>
      </bottom>
      <diagonal/>
    </border>
    <border>
      <left/>
      <right/>
      <top style="thin">
        <color theme="0" tint="-0.3499862666707358"/>
      </top>
      <bottom style="medium">
        <color indexed="64"/>
      </bottom>
      <diagonal/>
    </border>
    <border>
      <left/>
      <right style="thin">
        <color theme="0" tint="-0.249946592608417"/>
      </right>
      <top style="thin">
        <color theme="0" tint="-0.3499862666707358"/>
      </top>
      <bottom style="medium">
        <color indexed="64"/>
      </bottom>
      <diagonal/>
    </border>
    <border>
      <left/>
      <right/>
      <top style="medium">
        <color auto="1"/>
      </top>
      <bottom style="thin">
        <color theme="0" tint="-0.3499862666707358"/>
      </bottom>
      <diagonal/>
    </border>
    <border>
      <left style="thin">
        <color theme="0" tint="-0.3499862666707358"/>
      </left>
      <right style="medium">
        <color auto="1"/>
      </right>
      <top style="medium">
        <color indexed="64"/>
      </top>
      <bottom/>
      <diagonal/>
    </border>
    <border>
      <left/>
      <right style="medium">
        <color auto="1"/>
      </right>
      <top style="medium">
        <color indexed="64"/>
      </top>
      <bottom/>
      <diagonal/>
    </border>
    <border>
      <left style="medium">
        <color auto="1"/>
      </left>
      <right style="thin">
        <color theme="0" tint="-0.499984740745262"/>
      </right>
      <top style="medium">
        <color auto="1"/>
      </top>
      <bottom/>
      <diagonal/>
    </border>
    <border>
      <left/>
      <right style="thin">
        <color theme="0" tint="-0.499984740745262"/>
      </right>
      <top style="medium">
        <color auto="1"/>
      </top>
      <bottom/>
      <diagonal/>
    </border>
    <border>
      <left style="thin">
        <color theme="1" tint="0.499984740745262"/>
      </left>
      <right style="medium">
        <color auto="1"/>
      </right>
      <top/>
      <bottom/>
      <diagonal/>
    </border>
    <border>
      <left style="thin">
        <color theme="1" tint="0.499984740745262"/>
      </left>
      <right style="thin">
        <color theme="1" tint="0.499984740745262"/>
      </right>
      <top style="medium">
        <color indexed="64"/>
      </top>
      <bottom style="thin">
        <color indexed="64"/>
      </bottom>
      <diagonal/>
    </border>
    <border>
      <left style="medium">
        <color auto="1"/>
      </left>
      <right style="thin">
        <color theme="0" tint="-0.499984740745262"/>
      </right>
      <top/>
      <bottom/>
      <diagonal/>
    </border>
    <border>
      <left/>
      <right style="medium">
        <color indexed="64"/>
      </right>
      <top style="thin">
        <color rgb="FFDADCDD"/>
      </top>
      <bottom/>
      <diagonal/>
    </border>
    <border>
      <left/>
      <right style="thin">
        <color rgb="FFDADCDD"/>
      </right>
      <top style="medium">
        <color indexed="64"/>
      </top>
      <bottom/>
      <diagonal/>
    </border>
    <border>
      <left/>
      <right style="medium">
        <color indexed="64"/>
      </right>
      <top/>
      <bottom/>
      <diagonal/>
    </border>
    <border>
      <left/>
      <right/>
      <top style="thin">
        <color theme="0" tint="-0.249946592608417"/>
      </top>
      <bottom/>
      <diagonal/>
    </border>
    <border>
      <left/>
      <right style="thin">
        <color theme="0" tint="-0.249946592608417"/>
      </right>
      <top style="thin">
        <color theme="0" tint="-0.249946592608417"/>
      </top>
      <bottom/>
      <diagonal/>
    </border>
    <border>
      <left/>
      <right style="thin">
        <color theme="0" tint="-0.249946592608417"/>
      </right>
      <top style="thin">
        <color theme="0" tint="-0.499984740745262"/>
      </top>
      <bottom/>
      <diagonal/>
    </border>
    <border>
      <left/>
      <right/>
      <top style="dashed">
        <color theme="0" tint="-0.249946592608417"/>
      </top>
      <bottom/>
      <diagonal/>
    </border>
    <border>
      <left style="thin">
        <color theme="0" tint="-0.499984740745262"/>
      </left>
      <right style="medium">
        <color indexed="64"/>
      </right>
      <top/>
      <bottom/>
      <diagonal/>
    </border>
    <border>
      <left/>
      <right style="medium">
        <color indexed="64"/>
      </right>
      <top style="medium">
        <color indexed="64"/>
      </top>
      <bottom/>
      <diagonal/>
    </border>
    <border>
      <left style="double">
        <color theme="1" tint="0.499984740745262"/>
      </left>
      <right/>
      <top/>
      <bottom/>
      <diagonal/>
    </border>
    <border>
      <left style="double">
        <color theme="1" tint="0.499984740745262"/>
      </left>
      <right style="thin">
        <color theme="1" tint="0.499984740745262"/>
      </right>
      <top/>
      <bottom/>
      <diagonal/>
    </border>
    <border>
      <left style="double">
        <color theme="1" tint="0.499984740745262"/>
      </left>
      <right style="medium">
        <color indexed="64"/>
      </right>
      <top/>
      <bottom/>
      <diagonal/>
    </border>
    <border>
      <left style="thin">
        <color theme="1" tint="0.499984740745262"/>
      </left>
      <right style="double">
        <color theme="1" tint="0.499984740745262"/>
      </right>
      <top/>
      <bottom/>
      <diagonal/>
    </border>
    <border>
      <left/>
      <right style="double">
        <color theme="1" tint="0.499984740745262"/>
      </right>
      <top style="medium">
        <color indexed="64"/>
      </top>
      <bottom/>
      <diagonal/>
    </border>
    <border>
      <left/>
      <right style="thin">
        <color indexed="64"/>
      </right>
      <top style="thin">
        <color theme="1" tint="0.499984740745262"/>
      </top>
      <bottom/>
      <diagonal/>
    </border>
    <border>
      <left/>
      <right/>
      <top style="thin">
        <color rgb="FF808080"/>
      </top>
      <bottom/>
      <diagonal/>
    </border>
    <border>
      <left/>
      <right style="thin">
        <color theme="1" tint="0.499984740745262"/>
      </right>
      <top style="thin">
        <color rgb="FF808080"/>
      </top>
      <bottom/>
      <diagonal/>
    </border>
  </borders>
  <cellStyleXfs count="8">
    <xf numFmtId="0" fontId="60" fillId="0" borderId="0"/>
    <xf numFmtId="0" fontId="43" fillId="0" borderId="0"/>
    <xf numFmtId="0" fontId="22" fillId="0" borderId="0"/>
    <xf numFmtId="0" fontId="31" fillId="0" borderId="0"/>
    <xf numFmtId="9" fontId="60" fillId="0" borderId="0"/>
    <xf numFmtId="169" fontId="22" fillId="0" borderId="0"/>
    <xf numFmtId="0" fontId="22" fillId="0" borderId="0"/>
    <xf numFmtId="43" fontId="60" fillId="0" borderId="0"/>
  </cellStyleXfs>
  <cellXfs count="2066">
    <xf numFmtId="0" fontId="0" fillId="0" borderId="0" pivotButton="0" quotePrefix="0" xfId="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0" fontId="3" fillId="0" borderId="0" applyAlignment="1" pivotButton="0" quotePrefix="0" xfId="0">
      <alignment vertical="center"/>
    </xf>
    <xf numFmtId="0" fontId="3" fillId="0" borderId="0" applyAlignment="1" pivotButton="0" quotePrefix="0" xfId="0">
      <alignment vertical="center" wrapText="1"/>
    </xf>
    <xf numFmtId="0" fontId="0" fillId="0" borderId="0" applyAlignment="1" pivotButton="0" quotePrefix="0" xfId="0">
      <alignment vertical="top"/>
    </xf>
    <xf numFmtId="0" fontId="4" fillId="0" borderId="0" applyAlignment="1" pivotButton="0" quotePrefix="0" xfId="0">
      <alignment vertical="center"/>
    </xf>
    <xf numFmtId="0" fontId="4"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left" vertical="center" indent="1"/>
    </xf>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8"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6" pivotButton="0" quotePrefix="0" xfId="0"/>
    <xf numFmtId="0" fontId="14" fillId="0" borderId="0" pivotButton="0" quotePrefix="0" xfId="0"/>
    <xf numFmtId="0" fontId="0" fillId="0" borderId="20" applyAlignment="1" pivotButton="0" quotePrefix="0" xfId="0">
      <alignment vertical="center"/>
    </xf>
    <xf numFmtId="0" fontId="1" fillId="0" borderId="0" pivotButton="0" quotePrefix="0" xfId="0"/>
    <xf numFmtId="49" fontId="16" fillId="0" borderId="0" applyAlignment="1" pivotButton="0" quotePrefix="0" xfId="0">
      <alignment horizontal="center"/>
    </xf>
    <xf numFmtId="49" fontId="17" fillId="0" borderId="0" applyAlignment="1" pivotButton="0" quotePrefix="0" xfId="0">
      <alignment horizontal="center"/>
    </xf>
    <xf numFmtId="49" fontId="8" fillId="0" borderId="0" applyAlignment="1" pivotButton="0" quotePrefix="0" xfId="0">
      <alignment horizontal="center"/>
    </xf>
    <xf numFmtId="49" fontId="1" fillId="0" borderId="0" applyAlignment="1" pivotButton="0" quotePrefix="0" xfId="0">
      <alignment vertical="center" wrapText="1"/>
    </xf>
    <xf numFmtId="0" fontId="1" fillId="0" borderId="0" applyAlignment="1" pivotButton="0" quotePrefix="0" xfId="0">
      <alignment horizontal="center" vertical="center"/>
    </xf>
    <xf numFmtId="0" fontId="1" fillId="0" borderId="20" applyAlignment="1" pivotButton="0" quotePrefix="0" xfId="0">
      <alignment vertical="center"/>
    </xf>
    <xf numFmtId="0" fontId="1" fillId="0" borderId="21" applyAlignment="1" pivotButton="0" quotePrefix="0" xfId="0">
      <alignment vertical="center"/>
    </xf>
    <xf numFmtId="0" fontId="1" fillId="0" borderId="38" applyAlignment="1" pivotButton="0" quotePrefix="0" xfId="0">
      <alignment vertical="center"/>
    </xf>
    <xf numFmtId="0" fontId="1" fillId="0" borderId="17" applyAlignment="1" pivotButton="0" quotePrefix="0" xfId="0">
      <alignment vertical="center"/>
    </xf>
    <xf numFmtId="0" fontId="1" fillId="0" borderId="18" applyAlignment="1" pivotButton="0" quotePrefix="0" xfId="0">
      <alignment vertical="center"/>
    </xf>
    <xf numFmtId="0" fontId="1" fillId="0" borderId="19" applyAlignment="1" pivotButton="0" quotePrefix="0" xfId="0">
      <alignment vertical="center"/>
    </xf>
    <xf numFmtId="0" fontId="1" fillId="0" borderId="26" applyAlignment="1" pivotButton="0" quotePrefix="0" xfId="0">
      <alignment vertical="center"/>
    </xf>
    <xf numFmtId="0" fontId="1" fillId="0" borderId="27" applyAlignment="1" pivotButton="0" quotePrefix="0" xfId="0">
      <alignment vertical="center"/>
    </xf>
    <xf numFmtId="0" fontId="1" fillId="0" borderId="28" applyAlignment="1" pivotButton="0" quotePrefix="0" xfId="0">
      <alignment vertical="center"/>
    </xf>
    <xf numFmtId="49" fontId="8" fillId="0" borderId="0" applyAlignment="1" pivotButton="0" quotePrefix="0" xfId="0">
      <alignment horizontal="center" vertical="center"/>
    </xf>
    <xf numFmtId="0" fontId="4" fillId="0" borderId="0" applyAlignment="1" pivotButton="0" quotePrefix="0" xfId="0">
      <alignment horizontal="center"/>
    </xf>
    <xf numFmtId="0" fontId="2" fillId="0" borderId="0" applyAlignment="1" pivotButton="0" quotePrefix="0" xfId="0">
      <alignment vertical="top"/>
    </xf>
    <xf numFmtId="0" fontId="4" fillId="0" borderId="0" applyAlignment="1" pivotButton="0" quotePrefix="0" xfId="0">
      <alignment horizontal="center" vertical="center"/>
    </xf>
    <xf numFmtId="0" fontId="18" fillId="0" borderId="22" applyAlignment="1" pivotButton="0" quotePrefix="0" xfId="0">
      <alignment horizontal="center" vertical="center"/>
    </xf>
    <xf numFmtId="0" fontId="0" fillId="0" borderId="0" applyAlignment="1" pivotButton="0" quotePrefix="0" xfId="0">
      <alignment horizontal="center"/>
    </xf>
    <xf numFmtId="3" fontId="4" fillId="0" borderId="49" applyAlignment="1" pivotButton="0" quotePrefix="0" xfId="0">
      <alignment vertical="center" wrapText="1"/>
    </xf>
    <xf numFmtId="3" fontId="33" fillId="0" borderId="49" applyAlignment="1" pivotButton="0" quotePrefix="0" xfId="0">
      <alignment horizontal="right" vertical="center" wrapText="1"/>
    </xf>
    <xf numFmtId="0" fontId="14" fillId="0" borderId="0" applyAlignment="1" pivotButton="0" quotePrefix="0" xfId="0">
      <alignment vertical="center"/>
    </xf>
    <xf numFmtId="0" fontId="1" fillId="0" borderId="0" applyAlignment="1" pivotButton="0" quotePrefix="0" xfId="0">
      <alignment vertical="center" wrapText="1"/>
    </xf>
    <xf numFmtId="0" fontId="26" fillId="0" borderId="58" applyAlignment="1" pivotButton="0" quotePrefix="0" xfId="0">
      <alignment horizontal="center" vertical="center" wrapText="1"/>
    </xf>
    <xf numFmtId="3" fontId="33" fillId="0" borderId="49" applyAlignment="1" pivotButton="0" quotePrefix="0" xfId="0">
      <alignment horizontal="center" vertical="center" wrapText="1"/>
    </xf>
    <xf numFmtId="3" fontId="20" fillId="0" borderId="0" applyAlignment="1" pivotButton="0" quotePrefix="0" xfId="0">
      <alignment vertical="center" wrapText="1"/>
    </xf>
    <xf numFmtId="3" fontId="33" fillId="0" borderId="0" applyAlignment="1" pivotButton="0" quotePrefix="0" xfId="0">
      <alignment vertical="center" wrapText="1"/>
    </xf>
    <xf numFmtId="0" fontId="20" fillId="0" borderId="0" applyAlignment="1" pivotButton="0" quotePrefix="0" xfId="0">
      <alignment horizontal="center" vertical="center" wrapText="1"/>
    </xf>
    <xf numFmtId="0" fontId="24" fillId="0" borderId="0" applyAlignment="1" pivotButton="0" quotePrefix="0" xfId="0">
      <alignment vertical="center" wrapText="1"/>
    </xf>
    <xf numFmtId="0" fontId="24" fillId="0" borderId="40" applyAlignment="1" pivotButton="0" quotePrefix="0" xfId="0">
      <alignment vertical="center"/>
    </xf>
    <xf numFmtId="0" fontId="24" fillId="0" borderId="41" applyAlignment="1" pivotButton="0" quotePrefix="0" xfId="0">
      <alignment vertical="center"/>
    </xf>
    <xf numFmtId="0" fontId="24" fillId="0" borderId="0" pivotButton="0" quotePrefix="0" xfId="3"/>
    <xf numFmtId="0" fontId="42" fillId="0" borderId="0" pivotButton="0" quotePrefix="0" xfId="0"/>
    <xf numFmtId="14" fontId="18" fillId="0" borderId="22" applyAlignment="1" pivotButton="0" quotePrefix="0" xfId="0">
      <alignment horizontal="center" vertical="center"/>
    </xf>
    <xf numFmtId="49" fontId="1" fillId="0" borderId="0" applyAlignment="1" pivotButton="0" quotePrefix="0" xfId="0">
      <alignment horizontal="center" wrapText="1"/>
    </xf>
    <xf numFmtId="0" fontId="4" fillId="0" borderId="0" applyAlignment="1" pivotButton="0" quotePrefix="0" xfId="0">
      <alignment horizontal="right" vertical="center"/>
    </xf>
    <xf numFmtId="0" fontId="18" fillId="0" borderId="29" applyAlignment="1" pivotButton="0" quotePrefix="0" xfId="0">
      <alignment horizontal="center" vertical="center" wrapText="1"/>
    </xf>
    <xf numFmtId="0" fontId="4" fillId="0" borderId="30" applyAlignment="1" pivotButton="0" quotePrefix="0" xfId="0">
      <alignment horizontal="center" vertical="center" wrapText="1"/>
    </xf>
    <xf numFmtId="3" fontId="4" fillId="0" borderId="49" applyAlignment="1" applyProtection="1" pivotButton="0" quotePrefix="0" xfId="0">
      <alignment vertical="center" wrapText="1"/>
      <protection locked="0" hidden="0"/>
    </xf>
    <xf numFmtId="3" fontId="18" fillId="5" borderId="49" applyAlignment="1" pivotButton="0" quotePrefix="0" xfId="0">
      <alignment vertical="center" wrapText="1"/>
    </xf>
    <xf numFmtId="0" fontId="4" fillId="0" borderId="37" applyAlignment="1" pivotButton="0" quotePrefix="0" xfId="0">
      <alignment horizontal="center" vertical="center" wrapText="1"/>
    </xf>
    <xf numFmtId="0" fontId="45" fillId="0" borderId="26" applyAlignment="1" pivotButton="0" quotePrefix="0" xfId="0">
      <alignment horizontal="left" vertical="center" wrapText="1" indent="1"/>
    </xf>
    <xf numFmtId="0" fontId="4" fillId="0" borderId="31" applyAlignment="1" pivotButton="0" quotePrefix="0" xfId="0">
      <alignment horizontal="center" vertical="center" wrapText="1"/>
    </xf>
    <xf numFmtId="0" fontId="4" fillId="0" borderId="31" applyAlignment="1" pivotButton="0" quotePrefix="0" xfId="0">
      <alignment horizontal="left" vertical="center" wrapText="1" indent="1"/>
    </xf>
    <xf numFmtId="3" fontId="4" fillId="0" borderId="29" applyAlignment="1" applyProtection="1" pivotButton="0" quotePrefix="0" xfId="0">
      <alignment vertical="center" wrapText="1"/>
      <protection locked="0" hidden="0"/>
    </xf>
    <xf numFmtId="49" fontId="4" fillId="0" borderId="25" applyAlignment="1" applyProtection="1" pivotButton="0" quotePrefix="0" xfId="0">
      <alignment horizontal="center" vertical="center" wrapText="1"/>
      <protection locked="0" hidden="0"/>
    </xf>
    <xf numFmtId="3" fontId="4" fillId="0" borderId="29" applyAlignment="1" pivotButton="0" quotePrefix="0" xfId="0">
      <alignment vertical="center" wrapText="1"/>
    </xf>
    <xf numFmtId="3" fontId="4" fillId="0" borderId="23" applyAlignment="1" applyProtection="1" pivotButton="0" quotePrefix="0" xfId="0">
      <alignment vertical="center" wrapText="1"/>
      <protection locked="0" hidden="0"/>
    </xf>
    <xf numFmtId="0" fontId="4" fillId="0" borderId="30" applyAlignment="1" pivotButton="0" quotePrefix="0" xfId="0">
      <alignment horizontal="left" vertical="center" wrapText="1" indent="1"/>
    </xf>
    <xf numFmtId="3" fontId="4" fillId="0" borderId="29" applyAlignment="1" applyProtection="1" pivotButton="0" quotePrefix="0" xfId="0">
      <alignment horizontal="right" vertical="center" wrapText="1"/>
      <protection locked="0" hidden="0"/>
    </xf>
    <xf numFmtId="3" fontId="4" fillId="0" borderId="29" applyAlignment="1" pivotButton="0" quotePrefix="0" xfId="0">
      <alignment horizontal="right" vertical="center" wrapText="1"/>
    </xf>
    <xf numFmtId="3" fontId="4" fillId="0" borderId="23" applyAlignment="1" applyProtection="1" pivotButton="0" quotePrefix="0" xfId="0">
      <alignment horizontal="right" vertical="center" wrapText="1"/>
      <protection locked="0" hidden="0"/>
    </xf>
    <xf numFmtId="0" fontId="18" fillId="0" borderId="31" applyAlignment="1" pivotButton="0" quotePrefix="0" xfId="0">
      <alignment horizontal="center" vertical="center" wrapText="1"/>
    </xf>
    <xf numFmtId="0" fontId="18" fillId="0" borderId="37" applyAlignment="1" pivotButton="0" quotePrefix="0" xfId="0">
      <alignment horizontal="center" vertical="center" wrapText="1"/>
    </xf>
    <xf numFmtId="3" fontId="18" fillId="0" borderId="29" applyAlignment="1" applyProtection="1" pivotButton="0" quotePrefix="0" xfId="0">
      <alignment vertical="center" wrapText="1"/>
      <protection locked="0" hidden="0"/>
    </xf>
    <xf numFmtId="3" fontId="18" fillId="0" borderId="29" applyAlignment="1" pivotButton="0" quotePrefix="0" xfId="0">
      <alignment vertical="center" wrapText="1"/>
    </xf>
    <xf numFmtId="3" fontId="18" fillId="0" borderId="23" applyAlignment="1" applyProtection="1" pivotButton="0" quotePrefix="0" xfId="0">
      <alignment vertical="center" wrapText="1"/>
      <protection locked="0" hidden="0"/>
    </xf>
    <xf numFmtId="0" fontId="4" fillId="0" borderId="25" applyAlignment="1" applyProtection="1" pivotButton="0" quotePrefix="0" xfId="0">
      <alignment horizontal="center" vertical="center" wrapText="1"/>
      <protection locked="0" hidden="0"/>
    </xf>
    <xf numFmtId="3" fontId="4" fillId="2" borderId="29" applyAlignment="1" applyProtection="1" pivotButton="0" quotePrefix="0" xfId="0">
      <alignment horizontal="center" vertical="center" wrapText="1"/>
      <protection locked="0" hidden="0"/>
    </xf>
    <xf numFmtId="3" fontId="4" fillId="0" borderId="29" applyAlignment="1" applyProtection="1" pivotButton="0" quotePrefix="0" xfId="0">
      <alignment horizontal="center" vertical="center" wrapText="1"/>
      <protection locked="0" hidden="0"/>
    </xf>
    <xf numFmtId="3" fontId="4" fillId="0" borderId="31" applyAlignment="1" applyProtection="1" pivotButton="0" quotePrefix="0" xfId="0">
      <alignment horizontal="center" vertical="center" wrapText="1"/>
      <protection locked="0" hidden="0"/>
    </xf>
    <xf numFmtId="3" fontId="4" fillId="2" borderId="37" applyAlignment="1" applyProtection="1" pivotButton="0" quotePrefix="0" xfId="0">
      <alignment horizontal="center" vertical="center" wrapText="1"/>
      <protection locked="0" hidden="0"/>
    </xf>
    <xf numFmtId="0" fontId="4" fillId="0" borderId="37" applyAlignment="1" applyProtection="1" pivotButton="0" quotePrefix="0" xfId="0">
      <alignment horizontal="center" vertical="center" wrapText="1"/>
      <protection locked="0" hidden="0"/>
    </xf>
    <xf numFmtId="3" fontId="4" fillId="0" borderId="37" applyAlignment="1" applyProtection="1" pivotButton="0" quotePrefix="0" xfId="0">
      <alignment vertical="center" wrapText="1"/>
      <protection locked="0" hidden="0"/>
    </xf>
    <xf numFmtId="0" fontId="18" fillId="2" borderId="29" applyAlignment="1" pivotButton="0" quotePrefix="0" xfId="0">
      <alignment horizontal="center" vertical="center" wrapText="1"/>
    </xf>
    <xf numFmtId="3" fontId="18" fillId="2" borderId="29" applyAlignment="1" pivotButton="0" quotePrefix="0" xfId="0">
      <alignment horizontal="right" vertical="center" wrapText="1"/>
    </xf>
    <xf numFmtId="0" fontId="4" fillId="4" borderId="29" applyAlignment="1" pivotButton="0" quotePrefix="0" xfId="0">
      <alignment horizontal="center" vertical="center" wrapText="1"/>
    </xf>
    <xf numFmtId="3" fontId="4" fillId="4" borderId="29" applyAlignment="1" pivotButton="0" quotePrefix="0" xfId="0">
      <alignment horizontal="center" vertical="center" wrapText="1"/>
    </xf>
    <xf numFmtId="3" fontId="4" fillId="4" borderId="29" applyAlignment="1" pivotButton="0" quotePrefix="0" xfId="0">
      <alignment horizontal="right" vertical="center" wrapText="1"/>
    </xf>
    <xf numFmtId="0" fontId="4" fillId="0" borderId="29" applyAlignment="1" pivotButton="0" quotePrefix="0" xfId="0">
      <alignment horizontal="center" vertical="center" wrapText="1"/>
    </xf>
    <xf numFmtId="3" fontId="4" fillId="0" borderId="31" applyAlignment="1" pivotButton="0" quotePrefix="0" xfId="0">
      <alignment horizontal="center" vertical="center" wrapText="1"/>
    </xf>
    <xf numFmtId="3" fontId="4" fillId="0" borderId="31" applyAlignment="1" pivotButton="0" quotePrefix="0" xfId="0">
      <alignment horizontal="right" vertical="center" wrapText="1"/>
    </xf>
    <xf numFmtId="3" fontId="4" fillId="0" borderId="37" applyAlignment="1" pivotButton="0" quotePrefix="0" xfId="0">
      <alignment horizontal="center" vertical="center" wrapText="1"/>
    </xf>
    <xf numFmtId="3" fontId="4" fillId="0" borderId="37" applyAlignment="1" pivotButton="0" quotePrefix="0" xfId="0">
      <alignment horizontal="right" vertical="center" wrapText="1"/>
    </xf>
    <xf numFmtId="0" fontId="18" fillId="2" borderId="37" applyAlignment="1" pivotButton="0" quotePrefix="0" xfId="0">
      <alignment horizontal="center" vertical="center" wrapText="1"/>
    </xf>
    <xf numFmtId="3" fontId="18" fillId="2" borderId="37" applyAlignment="1" pivotButton="0" quotePrefix="0" xfId="0">
      <alignment horizontal="right" vertical="center" wrapText="1"/>
    </xf>
    <xf numFmtId="3" fontId="18" fillId="2" borderId="29" applyAlignment="1" applyProtection="1" pivotButton="0" quotePrefix="0" xfId="0">
      <alignment horizontal="right" vertical="center" wrapText="1"/>
      <protection locked="0" hidden="0"/>
    </xf>
    <xf numFmtId="0" fontId="18" fillId="2" borderId="31" applyAlignment="1" pivotButton="0" quotePrefix="0" xfId="0">
      <alignment horizontal="center" vertical="center" wrapText="1"/>
    </xf>
    <xf numFmtId="3" fontId="4" fillId="2" borderId="31" applyAlignment="1" applyProtection="1" pivotButton="0" quotePrefix="0" xfId="0">
      <alignment horizontal="center" vertical="center" wrapText="1"/>
      <protection locked="0" hidden="0"/>
    </xf>
    <xf numFmtId="3" fontId="18" fillId="2" borderId="31" applyAlignment="1" pivotButton="0" quotePrefix="0" xfId="0">
      <alignment horizontal="right" vertical="center" wrapText="1"/>
    </xf>
    <xf numFmtId="0" fontId="18" fillId="0" borderId="30" applyAlignment="1" pivotButton="0" quotePrefix="0" xfId="0">
      <alignment horizontal="center" vertical="center" wrapText="1"/>
    </xf>
    <xf numFmtId="3" fontId="18" fillId="5" borderId="49" applyAlignment="1" pivotButton="0" quotePrefix="0" xfId="0">
      <alignment horizontal="right" vertical="center" wrapText="1"/>
    </xf>
    <xf numFmtId="3" fontId="4" fillId="0" borderId="49" applyAlignment="1" pivotButton="0" quotePrefix="0" xfId="0">
      <alignment horizontal="right" vertical="center" wrapText="1"/>
    </xf>
    <xf numFmtId="0" fontId="1" fillId="0" borderId="0" applyAlignment="1" pivotButton="0" quotePrefix="0" xfId="0">
      <alignment horizontal="center" vertical="center" wrapText="1"/>
    </xf>
    <xf numFmtId="0" fontId="18" fillId="0" borderId="32" applyAlignment="1" pivotButton="0" quotePrefix="0" xfId="0">
      <alignment horizontal="center" vertical="center"/>
    </xf>
    <xf numFmtId="0" fontId="18" fillId="0" borderId="42" applyAlignment="1" pivotButton="0" quotePrefix="0" xfId="0">
      <alignment horizontal="left" vertical="center"/>
    </xf>
    <xf numFmtId="0" fontId="1" fillId="0" borderId="0" applyAlignment="1" pivotButton="0" quotePrefix="0" xfId="0">
      <alignment horizontal="left" vertical="center" wrapText="1" indent="1"/>
    </xf>
    <xf numFmtId="0" fontId="1" fillId="0" borderId="0" applyAlignment="1" pivotButton="0" quotePrefix="0" xfId="0">
      <alignment horizontal="right" vertical="center"/>
    </xf>
    <xf numFmtId="0" fontId="16" fillId="0" borderId="0" applyAlignment="1" pivotButton="0" quotePrefix="0" xfId="0">
      <alignment horizontal="center" vertical="center" wrapText="1"/>
    </xf>
    <xf numFmtId="0" fontId="24" fillId="0" borderId="55" applyAlignment="1" pivotButton="0" quotePrefix="0" xfId="0">
      <alignment horizontal="center" vertical="center" wrapText="1"/>
    </xf>
    <xf numFmtId="0" fontId="24" fillId="0" borderId="58" applyAlignment="1" pivotButton="0" quotePrefix="0" xfId="0">
      <alignment horizontal="center" vertical="center" wrapText="1"/>
    </xf>
    <xf numFmtId="3" fontId="20" fillId="0" borderId="49" applyAlignment="1" pivotButton="0" quotePrefix="0" xfId="0">
      <alignment horizontal="right" vertical="center" wrapText="1"/>
    </xf>
    <xf numFmtId="0" fontId="18" fillId="0" borderId="42" applyAlignment="1" pivotButton="0" quotePrefix="0" xfId="0">
      <alignment horizontal="center" vertical="center"/>
    </xf>
    <xf numFmtId="0" fontId="1" fillId="0" borderId="0" applyAlignment="1" pivotButton="0" quotePrefix="0" xfId="0">
      <alignment horizontal="left" vertical="center" wrapText="1"/>
    </xf>
    <xf numFmtId="0" fontId="24" fillId="0" borderId="49" applyAlignment="1" pivotButton="0" quotePrefix="0" xfId="0">
      <alignment horizontal="center" vertical="center" wrapText="1"/>
    </xf>
    <xf numFmtId="0" fontId="24" fillId="0" borderId="0" applyAlignment="1" pivotButton="0" quotePrefix="0" xfId="0">
      <alignment horizontal="left" vertical="center" wrapText="1" indent="1"/>
    </xf>
    <xf numFmtId="0" fontId="24" fillId="0" borderId="60" applyAlignment="1" pivotButton="0" quotePrefix="0" xfId="0">
      <alignment horizontal="left" vertical="center" wrapText="1" indent="1"/>
    </xf>
    <xf numFmtId="3" fontId="18" fillId="2" borderId="49" applyAlignment="1" pivotButton="0" quotePrefix="0" xfId="0">
      <alignment horizontal="right" vertical="center" wrapText="1"/>
    </xf>
    <xf numFmtId="0" fontId="4" fillId="0" borderId="49" applyAlignment="1" applyProtection="1" pivotButton="0" quotePrefix="0" xfId="0">
      <alignment horizontal="center" vertical="center" wrapText="1"/>
      <protection locked="0" hidden="0"/>
    </xf>
    <xf numFmtId="3" fontId="4" fillId="0" borderId="49" applyAlignment="1" applyProtection="1" pivotButton="0" quotePrefix="0" xfId="0">
      <alignment horizontal="right" vertical="center" wrapText="1"/>
      <protection locked="0" hidden="0"/>
    </xf>
    <xf numFmtId="0" fontId="46" fillId="0" borderId="0" applyAlignment="1" pivotButton="0" quotePrefix="0" xfId="0">
      <alignment vertical="center"/>
    </xf>
    <xf numFmtId="3" fontId="4" fillId="0" borderId="46" applyAlignment="1" applyProtection="1" pivotButton="0" quotePrefix="0" xfId="0">
      <alignment horizontal="right" vertical="center" wrapText="1"/>
      <protection locked="0" hidden="0"/>
    </xf>
    <xf numFmtId="3" fontId="4" fillId="0" borderId="47" applyAlignment="1" applyProtection="1" pivotButton="0" quotePrefix="0" xfId="0">
      <alignment horizontal="right" vertical="center" wrapText="1"/>
      <protection locked="0" hidden="0"/>
    </xf>
    <xf numFmtId="3" fontId="18" fillId="2" borderId="49" applyAlignment="1" pivotButton="0" quotePrefix="0" xfId="0">
      <alignment vertical="center" wrapText="1"/>
    </xf>
    <xf numFmtId="3" fontId="20" fillId="0" borderId="0" applyAlignment="1" pivotButton="0" quotePrefix="0" xfId="0">
      <alignment horizontal="right" vertical="center" wrapText="1"/>
    </xf>
    <xf numFmtId="0" fontId="46" fillId="0" borderId="0" pivotButton="0" quotePrefix="0" xfId="0"/>
    <xf numFmtId="3" fontId="18" fillId="0" borderId="49" applyAlignment="1" pivotButton="0" quotePrefix="0" xfId="0">
      <alignment horizontal="right" vertical="center" wrapText="1"/>
    </xf>
    <xf numFmtId="3" fontId="4" fillId="0" borderId="49" applyAlignment="1" applyProtection="1" pivotButton="0" quotePrefix="0" xfId="0">
      <alignment horizontal="center" vertical="center" wrapText="1"/>
      <protection locked="0" hidden="0"/>
    </xf>
    <xf numFmtId="0" fontId="18" fillId="0" borderId="0" applyAlignment="1" pivotButton="0" quotePrefix="0" xfId="0">
      <alignment vertical="center"/>
    </xf>
    <xf numFmtId="0" fontId="50" fillId="0" borderId="49" applyAlignment="1" pivotButton="0" quotePrefix="0" xfId="0">
      <alignment horizontal="center" vertical="center" wrapText="1"/>
    </xf>
    <xf numFmtId="4" fontId="4" fillId="0" borderId="49" applyAlignment="1" pivotButton="0" quotePrefix="0" xfId="0">
      <alignment horizontal="right" vertical="center" wrapText="1"/>
    </xf>
    <xf numFmtId="4" fontId="4" fillId="0" borderId="49" applyAlignment="1" applyProtection="1" pivotButton="0" quotePrefix="0" xfId="0">
      <alignment horizontal="right" vertical="center" wrapText="1"/>
      <protection locked="0" hidden="0"/>
    </xf>
    <xf numFmtId="3" fontId="18" fillId="0" borderId="49" applyAlignment="1" applyProtection="1" pivotButton="0" quotePrefix="0" xfId="0">
      <alignment horizontal="right" vertical="center" wrapText="1"/>
      <protection locked="0" hidden="0"/>
    </xf>
    <xf numFmtId="0" fontId="4" fillId="5" borderId="49" applyAlignment="1" applyProtection="1" pivotButton="0" quotePrefix="0" xfId="0">
      <alignment horizontal="center" vertical="center" wrapText="1"/>
      <protection locked="0" hidden="0"/>
    </xf>
    <xf numFmtId="0" fontId="18" fillId="5" borderId="49" applyAlignment="1" applyProtection="1" pivotButton="0" quotePrefix="0" xfId="0">
      <alignment horizontal="center" vertical="center" wrapText="1"/>
      <protection locked="0" hidden="0"/>
    </xf>
    <xf numFmtId="3" fontId="18" fillId="7" borderId="49" applyAlignment="1" pivotButton="0" quotePrefix="0" xfId="0">
      <alignment horizontal="right" vertical="center" wrapText="1"/>
    </xf>
    <xf numFmtId="0" fontId="4" fillId="2" borderId="49" applyAlignment="1" pivotButton="0" quotePrefix="0" xfId="0">
      <alignment horizontal="center" vertical="center" wrapText="1"/>
    </xf>
    <xf numFmtId="3" fontId="25" fillId="6" borderId="49" applyAlignment="1" pivotButton="0" quotePrefix="0" xfId="0">
      <alignment horizontal="right" vertical="center" wrapText="1"/>
    </xf>
    <xf numFmtId="3" fontId="25" fillId="7" borderId="49" applyAlignment="1" pivotButton="0" quotePrefix="0" xfId="0">
      <alignment horizontal="right" vertical="center" wrapText="1"/>
    </xf>
    <xf numFmtId="3" fontId="20" fillId="0" borderId="49" applyAlignment="1" applyProtection="1" pivotButton="0" quotePrefix="0" xfId="0">
      <alignment horizontal="center" vertical="center" wrapText="1"/>
      <protection locked="0" hidden="0"/>
    </xf>
    <xf numFmtId="3" fontId="20" fillId="0" borderId="49" applyAlignment="1" applyProtection="1" pivotButton="0" quotePrefix="0" xfId="0">
      <alignment horizontal="right" vertical="center" wrapText="1"/>
      <protection locked="0" hidden="0"/>
    </xf>
    <xf numFmtId="3" fontId="23" fillId="0" borderId="49" applyAlignment="1" applyProtection="1" pivotButton="0" quotePrefix="0" xfId="0">
      <alignment horizontal="right" vertical="center" wrapText="1"/>
      <protection locked="0" hidden="0"/>
    </xf>
    <xf numFmtId="0" fontId="55" fillId="0" borderId="49" applyAlignment="1" applyProtection="1" pivotButton="0" quotePrefix="0" xfId="0">
      <alignment horizontal="center" vertical="center" wrapText="1"/>
      <protection locked="0" hidden="0"/>
    </xf>
    <xf numFmtId="3" fontId="24" fillId="0" borderId="49" applyAlignment="1" applyProtection="1" pivotButton="0" quotePrefix="0" xfId="0">
      <alignment horizontal="right" vertical="center" wrapText="1"/>
      <protection locked="0" hidden="0"/>
    </xf>
    <xf numFmtId="3" fontId="1" fillId="0" borderId="49" applyAlignment="1" applyProtection="1" pivotButton="0" quotePrefix="0" xfId="0">
      <alignment horizontal="right" vertical="center" wrapText="1"/>
      <protection locked="0" hidden="0"/>
    </xf>
    <xf numFmtId="3" fontId="16" fillId="0" borderId="49" applyAlignment="1" applyProtection="1" pivotButton="0" quotePrefix="0" xfId="0">
      <alignment horizontal="right" vertical="center" wrapText="1"/>
      <protection locked="0" hidden="0"/>
    </xf>
    <xf numFmtId="0" fontId="51" fillId="0" borderId="49" applyAlignment="1" applyProtection="1" pivotButton="0" quotePrefix="0" xfId="0">
      <alignment horizontal="center" vertical="center" wrapText="1"/>
      <protection locked="0" hidden="0"/>
    </xf>
    <xf numFmtId="0" fontId="49" fillId="0" borderId="49" applyAlignment="1" applyProtection="1" pivotButton="0" quotePrefix="0" xfId="0">
      <alignment horizontal="center" vertical="center" wrapText="1"/>
      <protection locked="0" hidden="0"/>
    </xf>
    <xf numFmtId="0" fontId="5" fillId="0" borderId="0" pivotButton="0" quotePrefix="0" xfId="0"/>
    <xf numFmtId="0" fontId="7" fillId="0" borderId="0" pivotButton="0" quotePrefix="0" xfId="0"/>
    <xf numFmtId="0" fontId="51" fillId="0" borderId="0" applyAlignment="1" pivotButton="0" quotePrefix="0" xfId="0">
      <alignment horizontal="left" vertical="top" indent="1"/>
    </xf>
    <xf numFmtId="0" fontId="1" fillId="7" borderId="49" applyAlignment="1" pivotButton="0" quotePrefix="0" xfId="0">
      <alignment horizontal="center" vertical="center"/>
    </xf>
    <xf numFmtId="0" fontId="1" fillId="0" borderId="33" applyAlignment="1" pivotButton="0" quotePrefix="0" xfId="0">
      <alignment vertical="center"/>
    </xf>
    <xf numFmtId="0" fontId="1" fillId="0" borderId="34" applyAlignment="1" pivotButton="0" quotePrefix="0" xfId="0">
      <alignment vertical="center"/>
    </xf>
    <xf numFmtId="0" fontId="16" fillId="0" borderId="69" applyAlignment="1" pivotButton="0" quotePrefix="0" xfId="0">
      <alignment horizontal="center" vertical="center"/>
    </xf>
    <xf numFmtId="0" fontId="1" fillId="0" borderId="60" applyAlignment="1" pivotButton="0" quotePrefix="0" xfId="0">
      <alignment vertical="center"/>
    </xf>
    <xf numFmtId="0" fontId="24" fillId="0" borderId="0" applyAlignment="1" pivotButton="0" quotePrefix="0" xfId="0">
      <alignment vertical="center"/>
    </xf>
    <xf numFmtId="3" fontId="24" fillId="0" borderId="49" applyAlignment="1" applyProtection="1" pivotButton="0" quotePrefix="0" xfId="0">
      <alignment vertical="center" wrapText="1"/>
      <protection locked="0" hidden="0"/>
    </xf>
    <xf numFmtId="3" fontId="24" fillId="0" borderId="55" applyAlignment="1" applyProtection="1" pivotButton="0" quotePrefix="0" xfId="0">
      <alignment vertical="center" wrapText="1"/>
      <protection locked="0" hidden="0"/>
    </xf>
    <xf numFmtId="3" fontId="54" fillId="0" borderId="49" applyAlignment="1" applyProtection="1" pivotButton="0" quotePrefix="0" xfId="0">
      <alignment horizontal="center" vertical="center" wrapText="1"/>
      <protection locked="0" hidden="0"/>
    </xf>
    <xf numFmtId="0" fontId="53" fillId="0" borderId="49" applyAlignment="1" applyProtection="1" pivotButton="0" quotePrefix="0" xfId="0">
      <alignment horizontal="center" vertical="center"/>
      <protection locked="0" hidden="0"/>
    </xf>
    <xf numFmtId="3" fontId="2" fillId="0" borderId="49" applyAlignment="1" applyProtection="1" pivotButton="0" quotePrefix="0" xfId="0">
      <alignment horizontal="right" vertical="center"/>
      <protection locked="0" hidden="0"/>
    </xf>
    <xf numFmtId="3" fontId="23" fillId="0" borderId="49" applyAlignment="1" applyProtection="1" pivotButton="0" quotePrefix="0" xfId="3">
      <alignment horizontal="right" vertical="center"/>
      <protection locked="0" hidden="0"/>
    </xf>
    <xf numFmtId="3" fontId="18" fillId="5" borderId="46" applyAlignment="1" pivotButton="0" quotePrefix="0" xfId="0">
      <alignment horizontal="right" vertical="center" wrapText="1"/>
    </xf>
    <xf numFmtId="3" fontId="18" fillId="5" borderId="47" applyAlignment="1" pivotButton="0" quotePrefix="0" xfId="0">
      <alignment horizontal="right" vertical="center" wrapText="1"/>
    </xf>
    <xf numFmtId="3" fontId="18" fillId="5" borderId="71" applyAlignment="1" pivotButton="0" quotePrefix="0" xfId="0">
      <alignment horizontal="right" vertical="center" wrapText="1"/>
    </xf>
    <xf numFmtId="3" fontId="4" fillId="0" borderId="71" applyAlignment="1" applyProtection="1" pivotButton="0" quotePrefix="0" xfId="0">
      <alignment horizontal="right" vertical="center" wrapText="1"/>
      <protection locked="0" hidden="0"/>
    </xf>
    <xf numFmtId="3" fontId="33" fillId="0" borderId="49" applyAlignment="1" applyProtection="1" pivotButton="0" quotePrefix="0" xfId="0">
      <alignment horizontal="right" vertical="center" wrapText="1"/>
      <protection locked="0" hidden="0"/>
    </xf>
    <xf numFmtId="3" fontId="35" fillId="4" borderId="49" applyAlignment="1" pivotButton="0" quotePrefix="0" xfId="0">
      <alignment horizontal="right" vertical="center" wrapText="1"/>
    </xf>
    <xf numFmtId="3" fontId="33" fillId="4" borderId="49" applyAlignment="1" pivotButton="0" quotePrefix="0" xfId="0">
      <alignment horizontal="right" vertical="center" wrapText="1"/>
    </xf>
    <xf numFmtId="49" fontId="8" fillId="0" borderId="0" applyAlignment="1" pivotButton="0" quotePrefix="0" xfId="0">
      <alignment vertical="center"/>
    </xf>
    <xf numFmtId="0" fontId="1" fillId="0" borderId="35" applyAlignment="1" pivotButton="0" quotePrefix="0" xfId="0">
      <alignment vertical="center"/>
    </xf>
    <xf numFmtId="3" fontId="18" fillId="0" borderId="71" applyAlignment="1" applyProtection="1" pivotButton="0" quotePrefix="0" xfId="0">
      <alignment horizontal="right" vertical="center" wrapText="1"/>
      <protection locked="0" hidden="0"/>
    </xf>
    <xf numFmtId="3" fontId="18" fillId="0" borderId="47" applyAlignment="1" applyProtection="1" pivotButton="0" quotePrefix="0" xfId="0">
      <alignment horizontal="right" vertical="center" wrapText="1"/>
      <protection locked="0" hidden="0"/>
    </xf>
    <xf numFmtId="3" fontId="18" fillId="0" borderId="46" applyAlignment="1" applyProtection="1" pivotButton="0" quotePrefix="0" xfId="0">
      <alignment horizontal="right" vertical="center" wrapText="1"/>
      <protection locked="0" hidden="0"/>
    </xf>
    <xf numFmtId="0" fontId="1" fillId="0" borderId="21" applyAlignment="1" pivotButton="0" quotePrefix="0" xfId="0">
      <alignment horizontal="center" vertical="center"/>
    </xf>
    <xf numFmtId="14" fontId="16" fillId="0" borderId="0" applyAlignment="1" pivotButton="0" quotePrefix="0" xfId="0">
      <alignment horizontal="center" vertical="center"/>
    </xf>
    <xf numFmtId="0" fontId="15" fillId="0" borderId="29" applyAlignment="1" applyProtection="1" pivotButton="0" quotePrefix="0" xfId="0">
      <alignment horizontal="center" vertical="center"/>
      <protection locked="0" hidden="0"/>
    </xf>
    <xf numFmtId="14" fontId="18" fillId="0" borderId="37" applyAlignment="1" applyProtection="1" pivotButton="0" quotePrefix="0" xfId="0">
      <alignment horizontal="center" vertical="center"/>
      <protection locked="0" hidden="0"/>
    </xf>
    <xf numFmtId="2" fontId="24" fillId="0" borderId="17" applyAlignment="1" pivotButton="0" quotePrefix="0" xfId="2">
      <alignment horizontal="right" vertical="center"/>
    </xf>
    <xf numFmtId="2" fontId="24" fillId="0" borderId="18" applyAlignment="1" pivotButton="0" quotePrefix="0" xfId="2">
      <alignment horizontal="right" vertical="center"/>
    </xf>
    <xf numFmtId="2" fontId="26" fillId="0" borderId="18" applyAlignment="1" pivotButton="0" quotePrefix="0" xfId="2">
      <alignment horizontal="center" vertical="center"/>
    </xf>
    <xf numFmtId="2" fontId="24" fillId="0" borderId="18" pivotButton="0" quotePrefix="0" xfId="2"/>
    <xf numFmtId="2" fontId="24" fillId="0" borderId="19" pivotButton="0" quotePrefix="0" xfId="2"/>
    <xf numFmtId="2" fontId="23" fillId="0" borderId="10" pivotButton="0" quotePrefix="0" xfId="2"/>
    <xf numFmtId="2" fontId="25" fillId="0" borderId="0" pivotButton="0" quotePrefix="0" xfId="2"/>
    <xf numFmtId="2" fontId="26" fillId="0" borderId="0" pivotButton="0" quotePrefix="0" xfId="2"/>
    <xf numFmtId="2" fontId="24" fillId="0" borderId="0" pivotButton="0" quotePrefix="0" xfId="2"/>
    <xf numFmtId="2" fontId="24" fillId="3" borderId="0" pivotButton="0" quotePrefix="0" xfId="2"/>
    <xf numFmtId="2" fontId="24" fillId="0" borderId="21" pivotButton="0" quotePrefix="0" xfId="2"/>
    <xf numFmtId="2" fontId="23" fillId="0" borderId="0" pivotButton="0" quotePrefix="0" xfId="2"/>
    <xf numFmtId="2" fontId="24" fillId="0" borderId="17" pivotButton="0" quotePrefix="0" xfId="2"/>
    <xf numFmtId="2" fontId="26" fillId="0" borderId="20" pivotButton="0" quotePrefix="0" xfId="2"/>
    <xf numFmtId="2" fontId="26" fillId="3" borderId="0" pivotButton="0" quotePrefix="0" xfId="2"/>
    <xf numFmtId="2" fontId="24" fillId="0" borderId="20" pivotButton="0" quotePrefix="0" xfId="2"/>
    <xf numFmtId="2" fontId="26" fillId="3" borderId="0" applyAlignment="1" pivotButton="0" quotePrefix="0" xfId="2">
      <alignment horizontal="center"/>
    </xf>
    <xf numFmtId="2" fontId="24" fillId="0" borderId="26" pivotButton="0" quotePrefix="0" xfId="2"/>
    <xf numFmtId="0" fontId="26" fillId="0" borderId="27" pivotButton="0" quotePrefix="0" xfId="2"/>
    <xf numFmtId="0" fontId="24" fillId="0" borderId="27" pivotButton="0" quotePrefix="0" xfId="2"/>
    <xf numFmtId="0" fontId="24" fillId="0" borderId="28" pivotButton="0" quotePrefix="0" xfId="2"/>
    <xf numFmtId="0" fontId="24" fillId="0" borderId="26" pivotButton="0" quotePrefix="0" xfId="2"/>
    <xf numFmtId="0" fontId="24" fillId="3" borderId="0" pivotButton="0" quotePrefix="0" xfId="2"/>
    <xf numFmtId="0" fontId="24" fillId="0" borderId="0" pivotButton="0" quotePrefix="0" xfId="2"/>
    <xf numFmtId="0" fontId="26" fillId="0" borderId="0" pivotButton="0" quotePrefix="0" xfId="2"/>
    <xf numFmtId="0" fontId="23" fillId="0" borderId="17" applyAlignment="1" pivotButton="0" quotePrefix="0" xfId="2">
      <alignment horizontal="center" vertical="center" wrapText="1"/>
    </xf>
    <xf numFmtId="0" fontId="23" fillId="0" borderId="20" applyAlignment="1" pivotButton="0" quotePrefix="0" xfId="2">
      <alignment horizontal="center" vertical="center" wrapText="1"/>
    </xf>
    <xf numFmtId="0" fontId="23" fillId="0" borderId="26" applyAlignment="1" pivotButton="0" quotePrefix="0" xfId="2">
      <alignment horizontal="center" vertical="center" wrapText="1"/>
    </xf>
    <xf numFmtId="0" fontId="26" fillId="0" borderId="20" pivotButton="0" quotePrefix="0" xfId="2"/>
    <xf numFmtId="0" fontId="26" fillId="0" borderId="21" pivotButton="0" quotePrefix="0" xfId="2"/>
    <xf numFmtId="0" fontId="26" fillId="0" borderId="18" pivotButton="0" quotePrefix="0" xfId="2"/>
    <xf numFmtId="0" fontId="25" fillId="0" borderId="0" pivotButton="0" quotePrefix="0" xfId="2"/>
    <xf numFmtId="0" fontId="21" fillId="0" borderId="27" pivotButton="0" quotePrefix="0" xfId="2"/>
    <xf numFmtId="0" fontId="21" fillId="0" borderId="18" pivotButton="0" quotePrefix="0" xfId="2"/>
    <xf numFmtId="0" fontId="21" fillId="0" borderId="23" pivotButton="0" quotePrefix="0" xfId="2"/>
    <xf numFmtId="0" fontId="21" fillId="0" borderId="24" pivotButton="0" quotePrefix="0" xfId="2"/>
    <xf numFmtId="0" fontId="24" fillId="0" borderId="27" applyAlignment="1" pivotButton="0" quotePrefix="0" xfId="2">
      <alignment vertical="center"/>
    </xf>
    <xf numFmtId="0" fontId="29" fillId="0" borderId="27" applyAlignment="1" pivotButton="0" quotePrefix="0" xfId="2">
      <alignment vertical="center"/>
    </xf>
    <xf numFmtId="0" fontId="30" fillId="0" borderId="27" applyAlignment="1" pivotButton="0" quotePrefix="0" xfId="2">
      <alignment vertical="center"/>
    </xf>
    <xf numFmtId="1" fontId="24" fillId="0" borderId="27" applyAlignment="1" pivotButton="0" quotePrefix="0" xfId="2">
      <alignment vertical="center"/>
    </xf>
    <xf numFmtId="1" fontId="24" fillId="0" borderId="28" applyAlignment="1" pivotButton="0" quotePrefix="0" xfId="2">
      <alignment vertical="center"/>
    </xf>
    <xf numFmtId="1" fontId="25" fillId="3" borderId="37" applyAlignment="1" applyProtection="1" pivotButton="0" quotePrefix="0" xfId="2">
      <alignment horizontal="center" vertical="center"/>
      <protection locked="0" hidden="0"/>
    </xf>
    <xf numFmtId="2" fontId="26" fillId="3" borderId="29" applyAlignment="1" applyProtection="1" pivotButton="0" quotePrefix="0" xfId="2">
      <alignment horizontal="center" vertical="center"/>
      <protection locked="0" hidden="0"/>
    </xf>
    <xf numFmtId="0" fontId="21" fillId="0" borderId="27" applyProtection="1" pivotButton="0" quotePrefix="0" xfId="2">
      <protection locked="0" hidden="0"/>
    </xf>
    <xf numFmtId="3" fontId="4" fillId="0" borderId="22" applyAlignment="1" applyProtection="1" pivotButton="0" quotePrefix="0" xfId="0">
      <alignment horizontal="right" wrapText="1"/>
      <protection locked="0" hidden="0"/>
    </xf>
    <xf numFmtId="3" fontId="4" fillId="0" borderId="54" applyAlignment="1" applyProtection="1" pivotButton="0" quotePrefix="0" xfId="0">
      <alignment horizontal="right" wrapText="1"/>
      <protection locked="0" hidden="0"/>
    </xf>
    <xf numFmtId="3" fontId="25" fillId="2" borderId="49" applyAlignment="1" pivotButton="0" quotePrefix="0" xfId="0">
      <alignment horizontal="right" vertical="center" wrapText="1"/>
    </xf>
    <xf numFmtId="0" fontId="9" fillId="0" borderId="0" pivotButton="0" quotePrefix="0" xfId="0"/>
    <xf numFmtId="10" fontId="33" fillId="0" borderId="49" applyAlignment="1" applyProtection="1" pivotButton="0" quotePrefix="0" xfId="0">
      <alignment horizontal="right" vertical="center" wrapText="1"/>
      <protection locked="0" hidden="0"/>
    </xf>
    <xf numFmtId="0" fontId="18" fillId="0" borderId="0" applyAlignment="1" pivotButton="0" quotePrefix="0" xfId="0">
      <alignment horizontal="center" vertical="center"/>
    </xf>
    <xf numFmtId="14" fontId="18" fillId="0" borderId="0" applyAlignment="1" pivotButton="0" quotePrefix="0" xfId="0">
      <alignment horizontal="center" vertical="center"/>
    </xf>
    <xf numFmtId="0" fontId="0" fillId="0" borderId="5" pivotButton="0" quotePrefix="0" xfId="0"/>
    <xf numFmtId="0" fontId="0" fillId="0" borderId="6"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23" fillId="0" borderId="0" applyAlignment="1" pivotButton="0" quotePrefix="0" xfId="2">
      <alignment vertical="center"/>
    </xf>
    <xf numFmtId="0" fontId="0" fillId="0" borderId="20" pivotButton="0" quotePrefix="0" xfId="0"/>
    <xf numFmtId="0" fontId="0" fillId="0" borderId="21" pivotButton="0" quotePrefix="0" xfId="0"/>
    <xf numFmtId="0" fontId="23" fillId="0" borderId="20" applyAlignment="1" pivotButton="0" quotePrefix="0" xfId="2">
      <alignment vertical="center"/>
    </xf>
    <xf numFmtId="0" fontId="23" fillId="0" borderId="0" pivotButton="0" quotePrefix="0" xfId="2"/>
    <xf numFmtId="0" fontId="25" fillId="0" borderId="20" applyAlignment="1" pivotButton="0" quotePrefix="0" xfId="2">
      <alignment vertical="center"/>
    </xf>
    <xf numFmtId="0" fontId="1" fillId="0" borderId="18" applyAlignment="1" pivotButton="0" quotePrefix="0" xfId="0">
      <alignment horizontal="center" vertical="center"/>
    </xf>
    <xf numFmtId="0" fontId="1" fillId="0" borderId="18" applyAlignment="1" pivotButton="0" quotePrefix="0" xfId="0">
      <alignment horizontal="right" vertical="center"/>
    </xf>
    <xf numFmtId="0" fontId="4" fillId="0" borderId="22" applyAlignment="1" pivotButton="0" quotePrefix="0" xfId="0">
      <alignment horizontal="center" vertical="center"/>
    </xf>
    <xf numFmtId="0" fontId="4" fillId="0" borderId="22" applyAlignment="1" pivotButton="0" quotePrefix="0" xfId="0">
      <alignment horizontal="right" vertical="center"/>
    </xf>
    <xf numFmtId="1" fontId="31" fillId="0" borderId="9" pivotButton="0" quotePrefix="0" xfId="0"/>
    <xf numFmtId="0" fontId="31" fillId="0" borderId="0" pivotButton="0" quotePrefix="0" xfId="0"/>
    <xf numFmtId="0" fontId="31" fillId="0" borderId="10" pivotButton="0" quotePrefix="0" xfId="0"/>
    <xf numFmtId="0" fontId="46" fillId="0" borderId="22" pivotButton="0" quotePrefix="0" xfId="0"/>
    <xf numFmtId="0" fontId="59" fillId="0" borderId="0" pivotButton="0" quotePrefix="0" xfId="0"/>
    <xf numFmtId="0" fontId="4" fillId="0" borderId="22" applyAlignment="1" pivotButton="0" quotePrefix="0" xfId="0">
      <alignment horizontal="left" vertical="center"/>
    </xf>
    <xf numFmtId="0" fontId="4" fillId="0" borderId="22" applyAlignment="1" pivotButton="0" quotePrefix="0" xfId="0">
      <alignment vertical="center"/>
    </xf>
    <xf numFmtId="0" fontId="23" fillId="0" borderId="20" pivotButton="0" quotePrefix="0" xfId="2"/>
    <xf numFmtId="0" fontId="25" fillId="0" borderId="21" pivotButton="0" quotePrefix="0" xfId="2"/>
    <xf numFmtId="0" fontId="46" fillId="0" borderId="26" pivotButton="0" quotePrefix="0" xfId="0"/>
    <xf numFmtId="0" fontId="25" fillId="0" borderId="27" pivotButton="0" quotePrefix="0" xfId="2"/>
    <xf numFmtId="0" fontId="25" fillId="0" borderId="28" pivotButton="0" quotePrefix="0" xfId="2"/>
    <xf numFmtId="0" fontId="4" fillId="0" borderId="0" applyAlignment="1" pivotButton="0" quotePrefix="0" xfId="0">
      <alignment horizontal="left"/>
    </xf>
    <xf numFmtId="0" fontId="4" fillId="0" borderId="53" applyAlignment="1" pivotButton="0" quotePrefix="0" xfId="0">
      <alignment horizontal="left"/>
    </xf>
    <xf numFmtId="49" fontId="18" fillId="0" borderId="53" applyAlignment="1" pivotButton="0" quotePrefix="0" xfId="0">
      <alignment horizontal="left" vertical="center"/>
    </xf>
    <xf numFmtId="0" fontId="4" fillId="0" borderId="22" pivotButton="0" quotePrefix="0" xfId="0"/>
    <xf numFmtId="2" fontId="23" fillId="0" borderId="0" applyAlignment="1" pivotButton="0" quotePrefix="0" xfId="2">
      <alignment horizontal="left"/>
    </xf>
    <xf numFmtId="2" fontId="25" fillId="0" borderId="42" applyAlignment="1" pivotButton="0" quotePrefix="0" xfId="2">
      <alignment horizontal="left"/>
    </xf>
    <xf numFmtId="2" fontId="23" fillId="0" borderId="0" applyAlignment="1" pivotButton="0" quotePrefix="0" xfId="2">
      <alignment horizontal="center"/>
    </xf>
    <xf numFmtId="2" fontId="23" fillId="0" borderId="53" applyAlignment="1" pivotButton="0" quotePrefix="0" xfId="2">
      <alignment horizontal="left"/>
    </xf>
    <xf numFmtId="2" fontId="23" fillId="0" borderId="53" applyAlignment="1" pivotButton="0" quotePrefix="0" xfId="2">
      <alignment horizontal="center"/>
    </xf>
    <xf numFmtId="0" fontId="46" fillId="0" borderId="53" pivotButton="0" quotePrefix="0" xfId="0"/>
    <xf numFmtId="0" fontId="0" fillId="0" borderId="0" applyAlignment="1" pivotButton="0" quotePrefix="0" xfId="0">
      <alignment horizontal="left" vertical="center"/>
    </xf>
    <xf numFmtId="0" fontId="18" fillId="0" borderId="0" applyAlignment="1" pivotButton="0" quotePrefix="0" xfId="0">
      <alignment horizontal="left" vertical="center" wrapText="1" indent="1"/>
    </xf>
    <xf numFmtId="0" fontId="18" fillId="0" borderId="57" applyAlignment="1" pivotButton="0" quotePrefix="0" xfId="0">
      <alignment horizontal="left" vertical="center"/>
    </xf>
    <xf numFmtId="1" fontId="28" fillId="0" borderId="18" applyAlignment="1" pivotButton="0" quotePrefix="0" xfId="2">
      <alignment horizontal="right" vertical="center"/>
    </xf>
    <xf numFmtId="1" fontId="28" fillId="0" borderId="19" applyAlignment="1" pivotButton="0" quotePrefix="0" xfId="2">
      <alignment horizontal="right" vertical="center"/>
    </xf>
    <xf numFmtId="49" fontId="8" fillId="0" borderId="0" applyAlignment="1" applyProtection="1" pivotButton="0" quotePrefix="0" xfId="0">
      <alignment horizontal="center" vertical="center"/>
      <protection locked="0" hidden="0"/>
    </xf>
    <xf numFmtId="0" fontId="23" fillId="0" borderId="49" applyAlignment="1" applyProtection="1" pivotButton="0" quotePrefix="0" xfId="0">
      <alignment horizontal="left" vertical="center" wrapText="1"/>
      <protection locked="0" hidden="0"/>
    </xf>
    <xf numFmtId="0" fontId="4" fillId="0" borderId="49" applyAlignment="1" applyProtection="1" pivotButton="0" quotePrefix="0" xfId="0">
      <alignment vertical="center" wrapText="1"/>
      <protection locked="0" hidden="0"/>
    </xf>
    <xf numFmtId="0" fontId="4" fillId="11" borderId="29" applyAlignment="1" pivotButton="0" quotePrefix="0" xfId="0">
      <alignment horizontal="center" vertical="center" wrapText="1"/>
    </xf>
    <xf numFmtId="0" fontId="4" fillId="11" borderId="46" applyAlignment="1" pivotButton="0" quotePrefix="0" xfId="0">
      <alignment horizontal="center" vertical="center"/>
    </xf>
    <xf numFmtId="0" fontId="46" fillId="11" borderId="47" applyAlignment="1" pivotButton="0" quotePrefix="0" xfId="0">
      <alignment horizontal="center" vertical="center"/>
    </xf>
    <xf numFmtId="0" fontId="46" fillId="11" borderId="49" applyAlignment="1" pivotButton="0" quotePrefix="0" xfId="0">
      <alignment horizontal="center" vertical="center"/>
    </xf>
    <xf numFmtId="0" fontId="4" fillId="11" borderId="49" applyAlignment="1" pivotButton="0" quotePrefix="0" xfId="0">
      <alignment horizontal="center" vertical="center" wrapText="1"/>
    </xf>
    <xf numFmtId="0" fontId="18" fillId="0" borderId="22" applyAlignment="1" pivotButton="0" quotePrefix="0" xfId="0">
      <alignment horizontal="left" vertical="center"/>
    </xf>
    <xf numFmtId="0" fontId="48" fillId="0" borderId="0" applyAlignment="1" pivotButton="0" quotePrefix="0" xfId="0">
      <alignment horizontal="left" vertical="center" indent="3"/>
    </xf>
    <xf numFmtId="0" fontId="66" fillId="0" borderId="0" applyAlignment="1" pivotButton="0" quotePrefix="0" xfId="0">
      <alignment horizontal="left" vertical="center" indent="6"/>
    </xf>
    <xf numFmtId="0" fontId="1" fillId="11" borderId="49" applyAlignment="1" pivotButton="0" quotePrefix="0" xfId="0">
      <alignment horizontal="center" vertical="center" wrapText="1"/>
    </xf>
    <xf numFmtId="3" fontId="18" fillId="7" borderId="49" applyAlignment="1" applyProtection="1" pivotButton="0" quotePrefix="0" xfId="0">
      <alignment horizontal="right" vertical="center" wrapText="1"/>
      <protection locked="0" hidden="0"/>
    </xf>
    <xf numFmtId="0" fontId="46" fillId="0" borderId="22" applyAlignment="1" pivotButton="0" quotePrefix="0" xfId="0">
      <alignment vertical="center"/>
    </xf>
    <xf numFmtId="0" fontId="46" fillId="0" borderId="57" applyAlignment="1" pivotButton="0" quotePrefix="0" xfId="0">
      <alignment horizontal="left" vertical="center"/>
    </xf>
    <xf numFmtId="0" fontId="4" fillId="0" borderId="57" applyAlignment="1" pivotButton="0" quotePrefix="0" xfId="0">
      <alignment horizontal="left" vertical="center"/>
    </xf>
    <xf numFmtId="0" fontId="24" fillId="11" borderId="49" applyAlignment="1" pivotButton="0" quotePrefix="0" xfId="0">
      <alignment horizontal="center" vertical="center" wrapText="1"/>
    </xf>
    <xf numFmtId="0" fontId="23" fillId="11" borderId="49" applyAlignment="1" pivotButton="0" quotePrefix="0" xfId="0">
      <alignment horizontal="center" vertical="center" wrapText="1"/>
    </xf>
    <xf numFmtId="0" fontId="4" fillId="15" borderId="49" applyAlignment="1" pivotButton="0" quotePrefix="0" xfId="0">
      <alignment vertical="center" wrapText="1"/>
    </xf>
    <xf numFmtId="0" fontId="4" fillId="15" borderId="49" applyAlignment="1" pivotButton="0" quotePrefix="0" xfId="0">
      <alignment horizontal="center" vertical="center" wrapText="1"/>
    </xf>
    <xf numFmtId="0" fontId="18" fillId="0" borderId="22" applyAlignment="1" pivotButton="0" quotePrefix="0" xfId="0">
      <alignment vertical="center"/>
    </xf>
    <xf numFmtId="0" fontId="2" fillId="0" borderId="0" applyAlignment="1" pivotButton="0" quotePrefix="0" xfId="0">
      <alignment vertical="center"/>
    </xf>
    <xf numFmtId="49" fontId="1" fillId="0" borderId="0" applyAlignment="1" pivotButton="0" quotePrefix="0" xfId="0">
      <alignment horizontal="center" vertical="center" wrapText="1"/>
    </xf>
    <xf numFmtId="3" fontId="26" fillId="4" borderId="49" applyAlignment="1" pivotButton="0" quotePrefix="0" xfId="0">
      <alignment vertical="center" wrapText="1"/>
    </xf>
    <xf numFmtId="0" fontId="5" fillId="0" borderId="0" applyAlignment="1" pivotButton="0" quotePrefix="0" xfId="0">
      <alignment vertical="center" wrapText="1"/>
    </xf>
    <xf numFmtId="49" fontId="1" fillId="0" borderId="0" applyAlignment="1" pivotButton="0" quotePrefix="0" xfId="0">
      <alignment vertical="center"/>
    </xf>
    <xf numFmtId="0" fontId="0" fillId="4" borderId="31" pivotButton="0" quotePrefix="0" xfId="0"/>
    <xf numFmtId="0" fontId="0" fillId="4" borderId="30" pivotButton="0" quotePrefix="0" xfId="0"/>
    <xf numFmtId="0" fontId="25" fillId="4" borderId="30" applyAlignment="1" pivotButton="0" quotePrefix="0" xfId="2">
      <alignment horizontal="center"/>
    </xf>
    <xf numFmtId="0" fontId="23" fillId="4" borderId="30" applyAlignment="1" pivotButton="0" quotePrefix="0" xfId="2">
      <alignment horizontal="center" vertical="center"/>
    </xf>
    <xf numFmtId="49" fontId="23" fillId="4" borderId="30" applyAlignment="1" pivotButton="0" quotePrefix="0" xfId="2">
      <alignment horizontal="center" vertical="center"/>
    </xf>
    <xf numFmtId="49" fontId="23" fillId="4" borderId="30" applyAlignment="1" pivotButton="0" quotePrefix="1" xfId="2">
      <alignment horizontal="center" vertical="center"/>
    </xf>
    <xf numFmtId="0" fontId="23" fillId="4" borderId="30" applyAlignment="1" pivotButton="0" quotePrefix="0" xfId="2">
      <alignment horizontal="center"/>
    </xf>
    <xf numFmtId="0" fontId="23" fillId="4" borderId="37" applyAlignment="1" pivotButton="0" quotePrefix="0" xfId="2">
      <alignment horizontal="center" vertical="center"/>
    </xf>
    <xf numFmtId="0" fontId="24" fillId="11" borderId="49" applyAlignment="1" pivotButton="0" quotePrefix="0" xfId="0">
      <alignment horizontal="center" vertical="center"/>
    </xf>
    <xf numFmtId="49" fontId="8" fillId="0" borderId="0" applyAlignment="1" applyProtection="1" pivotButton="0" quotePrefix="0" xfId="0">
      <alignment vertical="center"/>
      <protection locked="0" hidden="0"/>
    </xf>
    <xf numFmtId="0" fontId="72" fillId="0" borderId="49" applyAlignment="1" pivotButton="0" quotePrefix="0" xfId="0">
      <alignment vertical="center"/>
    </xf>
    <xf numFmtId="0" fontId="72" fillId="0" borderId="46" applyAlignment="1" pivotButton="0" quotePrefix="0" xfId="0">
      <alignment horizontal="left" vertical="center"/>
    </xf>
    <xf numFmtId="0" fontId="72" fillId="0" borderId="50" applyAlignment="1" pivotButton="0" quotePrefix="0" xfId="0">
      <alignment horizontal="left" vertical="center"/>
    </xf>
    <xf numFmtId="0" fontId="72" fillId="0" borderId="47" applyAlignment="1" pivotButton="0" quotePrefix="0" xfId="0">
      <alignment horizontal="left" vertical="center"/>
    </xf>
    <xf numFmtId="0" fontId="72" fillId="0" borderId="49" applyAlignment="1" pivotButton="0" quotePrefix="0" xfId="0">
      <alignment vertical="center" wrapText="1"/>
    </xf>
    <xf numFmtId="0" fontId="12" fillId="0" borderId="0" applyAlignment="1" pivotButton="0" quotePrefix="0" xfId="0">
      <alignment vertical="top"/>
    </xf>
    <xf numFmtId="0" fontId="69" fillId="0" borderId="0" applyAlignment="1" pivotButton="0" quotePrefix="0" xfId="0">
      <alignment vertical="top"/>
    </xf>
    <xf numFmtId="0" fontId="4" fillId="0" borderId="19" applyAlignment="1" pivotButton="0" quotePrefix="0" xfId="0">
      <alignment horizontal="center" vertical="center" wrapText="1"/>
    </xf>
    <xf numFmtId="3" fontId="4" fillId="0" borderId="31" applyAlignment="1" pivotButton="0" quotePrefix="0" xfId="0">
      <alignment vertical="center" wrapText="1"/>
    </xf>
    <xf numFmtId="0" fontId="25" fillId="0" borderId="26" applyAlignment="1" pivotButton="0" quotePrefix="0" xfId="2">
      <alignment vertical="center"/>
    </xf>
    <xf numFmtId="0" fontId="0" fillId="0" borderId="27" pivotButton="0" quotePrefix="0" xfId="0"/>
    <xf numFmtId="0" fontId="23" fillId="0" borderId="27" applyAlignment="1" pivotButton="0" quotePrefix="0" xfId="2">
      <alignment vertical="center"/>
    </xf>
    <xf numFmtId="0" fontId="0" fillId="0" borderId="87" pivotButton="0" quotePrefix="0" xfId="0"/>
    <xf numFmtId="0" fontId="0" fillId="0" borderId="28" pivotButton="0" quotePrefix="0" xfId="0"/>
    <xf numFmtId="0" fontId="16" fillId="10" borderId="29" applyAlignment="1" pivotButton="0" quotePrefix="0" xfId="0">
      <alignment horizontal="center" vertical="center"/>
    </xf>
    <xf numFmtId="49" fontId="4" fillId="10" borderId="25" applyAlignment="1" applyProtection="1" pivotButton="0" quotePrefix="0" xfId="0">
      <alignment horizontal="center" vertical="center" wrapText="1"/>
      <protection locked="0" hidden="0"/>
    </xf>
    <xf numFmtId="3" fontId="18" fillId="10" borderId="29" applyAlignment="1" pivotButton="0" quotePrefix="0" xfId="0">
      <alignment vertical="center" wrapText="1"/>
    </xf>
    <xf numFmtId="49" fontId="4" fillId="7" borderId="25" applyAlignment="1" applyProtection="1" pivotButton="0" quotePrefix="0" xfId="0">
      <alignment horizontal="center" vertical="center" wrapText="1"/>
      <protection locked="0" hidden="0"/>
    </xf>
    <xf numFmtId="3" fontId="18" fillId="7" borderId="29" applyAlignment="1" pivotButton="0" quotePrefix="0" xfId="0">
      <alignment vertical="center" wrapText="1"/>
    </xf>
    <xf numFmtId="0" fontId="18" fillId="7" borderId="29" applyAlignment="1" pivotButton="0" quotePrefix="0" xfId="0">
      <alignment horizontal="left" vertical="center" wrapText="1" indent="1"/>
    </xf>
    <xf numFmtId="0" fontId="4" fillId="7" borderId="25" applyAlignment="1" applyProtection="1" pivotButton="0" quotePrefix="0" xfId="0">
      <alignment horizontal="center" vertical="center" wrapText="1"/>
      <protection locked="0" hidden="0"/>
    </xf>
    <xf numFmtId="0" fontId="18" fillId="7" borderId="31" applyAlignment="1" pivotButton="0" quotePrefix="0" xfId="0">
      <alignment horizontal="left" vertical="center" wrapText="1" indent="1"/>
    </xf>
    <xf numFmtId="3" fontId="18" fillId="9" borderId="49" applyAlignment="1" pivotButton="0" quotePrefix="0" xfId="0">
      <alignment horizontal="right" vertical="center" wrapText="1"/>
    </xf>
    <xf numFmtId="0" fontId="4" fillId="0" borderId="0" applyAlignment="1" pivotButton="0" quotePrefix="0" xfId="0">
      <alignment horizontal="left" indent="1"/>
    </xf>
    <xf numFmtId="0" fontId="13" fillId="11" borderId="0" pivotButton="0" quotePrefix="0" xfId="0"/>
    <xf numFmtId="0" fontId="13" fillId="11" borderId="27" pivotButton="0" quotePrefix="0" xfId="0"/>
    <xf numFmtId="0" fontId="18" fillId="9" borderId="24" applyAlignment="1" pivotButton="0" quotePrefix="0" xfId="0">
      <alignment vertical="center"/>
    </xf>
    <xf numFmtId="0" fontId="4" fillId="0" borderId="18" applyAlignment="1" pivotButton="0" quotePrefix="0" xfId="0">
      <alignment horizontal="left" indent="1"/>
    </xf>
    <xf numFmtId="3" fontId="1" fillId="2" borderId="19" applyAlignment="1" pivotButton="0" quotePrefix="0" xfId="0">
      <alignment vertical="center" wrapText="1"/>
    </xf>
    <xf numFmtId="10" fontId="4" fillId="0" borderId="49" applyAlignment="1" applyProtection="1" pivotButton="0" quotePrefix="0" xfId="0">
      <alignment horizontal="right" vertical="center" wrapText="1"/>
      <protection locked="0" hidden="0"/>
    </xf>
    <xf numFmtId="3" fontId="45" fillId="0" borderId="49" applyAlignment="1" applyProtection="1" pivotButton="0" quotePrefix="0" xfId="0">
      <alignment vertical="center" wrapText="1"/>
      <protection locked="0" hidden="0"/>
    </xf>
    <xf numFmtId="0" fontId="18" fillId="0" borderId="57" applyAlignment="1" pivotButton="0" quotePrefix="0" xfId="0">
      <alignment horizontal="center" vertical="center"/>
    </xf>
    <xf numFmtId="0" fontId="4" fillId="16" borderId="33" applyAlignment="1" pivotButton="0" quotePrefix="0" xfId="0">
      <alignment vertical="center" wrapText="1"/>
    </xf>
    <xf numFmtId="0" fontId="4" fillId="16" borderId="34" applyAlignment="1" pivotButton="0" quotePrefix="0" xfId="0">
      <alignment vertical="center" wrapText="1"/>
    </xf>
    <xf numFmtId="0" fontId="4" fillId="16" borderId="38" applyAlignment="1" pivotButton="0" quotePrefix="0" xfId="0">
      <alignment vertical="center" wrapText="1"/>
    </xf>
    <xf numFmtId="0" fontId="4" fillId="16" borderId="0" applyAlignment="1" pivotButton="0" quotePrefix="0" xfId="0">
      <alignment vertical="center" wrapText="1"/>
    </xf>
    <xf numFmtId="0" fontId="16" fillId="0" borderId="0" applyAlignment="1" pivotButton="0" quotePrefix="0" xfId="0">
      <alignment horizontal="center" vertical="center"/>
    </xf>
    <xf numFmtId="0" fontId="18" fillId="0" borderId="42" applyAlignment="1" pivotButton="0" quotePrefix="0" xfId="0">
      <alignment vertical="center"/>
    </xf>
    <xf numFmtId="0" fontId="4" fillId="0" borderId="42" applyAlignment="1" pivotButton="0" quotePrefix="0" xfId="0">
      <alignment vertical="center"/>
    </xf>
    <xf numFmtId="0" fontId="4" fillId="0" borderId="0" applyAlignment="1" pivotButton="0" quotePrefix="0" xfId="0">
      <alignment horizontal="left" vertical="center"/>
    </xf>
    <xf numFmtId="0" fontId="1" fillId="0" borderId="22" applyAlignment="1" pivotButton="0" quotePrefix="0" xfId="0">
      <alignment horizontal="center" vertical="center"/>
    </xf>
    <xf numFmtId="0" fontId="1" fillId="0" borderId="22" applyAlignment="1" pivotButton="0" quotePrefix="0" xfId="0">
      <alignment vertical="center"/>
    </xf>
    <xf numFmtId="0" fontId="4" fillId="0" borderId="79" applyAlignment="1" pivotButton="0" quotePrefix="0" xfId="0">
      <alignment horizontal="right"/>
    </xf>
    <xf numFmtId="0" fontId="4" fillId="0" borderId="22" applyAlignment="1" pivotButton="0" quotePrefix="0" xfId="0">
      <alignment horizontal="center"/>
    </xf>
    <xf numFmtId="0" fontId="18" fillId="0" borderId="22" applyAlignment="1" pivotButton="0" quotePrefix="0" xfId="0">
      <alignment horizontal="center"/>
    </xf>
    <xf numFmtId="0" fontId="3" fillId="0" borderId="22" applyAlignment="1" pivotButton="0" quotePrefix="0" xfId="0">
      <alignment horizontal="center"/>
    </xf>
    <xf numFmtId="0" fontId="4" fillId="0" borderId="48" applyAlignment="1" pivotButton="0" quotePrefix="0" xfId="0">
      <alignment vertical="center"/>
    </xf>
    <xf numFmtId="0" fontId="4" fillId="0" borderId="48" applyAlignment="1" pivotButton="0" quotePrefix="0" xfId="0">
      <alignment horizontal="center" vertical="center"/>
    </xf>
    <xf numFmtId="3" fontId="1" fillId="0" borderId="49" applyAlignment="1" applyProtection="1" pivotButton="0" quotePrefix="0" xfId="0">
      <alignment horizontal="right" vertical="center"/>
      <protection locked="0" hidden="0"/>
    </xf>
    <xf numFmtId="0" fontId="6" fillId="0" borderId="0" applyAlignment="1" pivotButton="0" quotePrefix="0" xfId="0">
      <alignment vertical="center" wrapText="1"/>
    </xf>
    <xf numFmtId="0" fontId="6" fillId="0" borderId="0" applyAlignment="1" pivotButton="0" quotePrefix="0" xfId="0">
      <alignment vertical="center"/>
    </xf>
    <xf numFmtId="0" fontId="16" fillId="0" borderId="0" applyAlignment="1" pivotButton="0" quotePrefix="0" xfId="0">
      <alignment vertical="center"/>
    </xf>
    <xf numFmtId="0" fontId="24" fillId="0" borderId="0" applyAlignment="1" pivotButton="0" quotePrefix="0" xfId="0">
      <alignment horizontal="left" vertical="center"/>
    </xf>
    <xf numFmtId="0" fontId="41" fillId="0" borderId="0" applyAlignment="1" pivotButton="0" quotePrefix="0" xfId="0">
      <alignment horizontal="left" vertical="center"/>
    </xf>
    <xf numFmtId="0" fontId="70" fillId="0" borderId="0" applyAlignment="1" pivotButton="0" quotePrefix="0" xfId="0">
      <alignment vertical="center"/>
    </xf>
    <xf numFmtId="0" fontId="26" fillId="0" borderId="0" applyAlignment="1" pivotButton="0" quotePrefix="0" xfId="0">
      <alignment vertical="center"/>
    </xf>
    <xf numFmtId="0" fontId="0" fillId="0" borderId="23" pivotButton="0" quotePrefix="0" xfId="0"/>
    <xf numFmtId="0" fontId="0" fillId="0" borderId="24" pivotButton="0" quotePrefix="0" xfId="0"/>
    <xf numFmtId="0" fontId="46" fillId="0" borderId="19" applyAlignment="1" pivotButton="0" quotePrefix="0" xfId="0">
      <alignment vertical="center"/>
    </xf>
    <xf numFmtId="3" fontId="46" fillId="0" borderId="31" applyAlignment="1" applyProtection="1" pivotButton="0" quotePrefix="0" xfId="0">
      <alignment vertical="center"/>
      <protection locked="0" hidden="0"/>
    </xf>
    <xf numFmtId="0" fontId="46" fillId="0" borderId="21" applyAlignment="1" pivotButton="0" quotePrefix="0" xfId="0">
      <alignment vertical="center"/>
    </xf>
    <xf numFmtId="3" fontId="46" fillId="0" borderId="73" applyAlignment="1" applyProtection="1" pivotButton="0" quotePrefix="0" xfId="0">
      <alignment vertical="center"/>
      <protection locked="0" hidden="0"/>
    </xf>
    <xf numFmtId="3" fontId="46" fillId="0" borderId="75" applyAlignment="1" applyProtection="1" pivotButton="0" quotePrefix="0" xfId="0">
      <alignment vertical="center"/>
      <protection locked="0" hidden="0"/>
    </xf>
    <xf numFmtId="3" fontId="3" fillId="0" borderId="74" applyAlignment="1" pivotButton="0" quotePrefix="0" xfId="0">
      <alignment vertical="center"/>
    </xf>
    <xf numFmtId="3" fontId="3" fillId="0" borderId="74" applyAlignment="1" applyProtection="1" pivotButton="0" quotePrefix="0" xfId="0">
      <alignment vertical="center"/>
      <protection locked="0" hidden="0"/>
    </xf>
    <xf numFmtId="3" fontId="46" fillId="0" borderId="54" applyAlignment="1" applyProtection="1" pivotButton="0" quotePrefix="0" xfId="0">
      <alignment vertical="center"/>
      <protection locked="0" hidden="0"/>
    </xf>
    <xf numFmtId="0" fontId="23" fillId="0" borderId="17" applyAlignment="1" pivotButton="0" quotePrefix="0" xfId="0">
      <alignment horizontal="left" vertical="center" indent="1"/>
    </xf>
    <xf numFmtId="0" fontId="46" fillId="0" borderId="18" applyAlignment="1" pivotButton="0" quotePrefix="0" xfId="0">
      <alignment horizontal="left" vertical="center" indent="1"/>
    </xf>
    <xf numFmtId="0" fontId="23" fillId="0" borderId="20" applyAlignment="1" pivotButton="0" quotePrefix="0" xfId="0">
      <alignment horizontal="left" vertical="center" indent="1"/>
    </xf>
    <xf numFmtId="0" fontId="46" fillId="0" borderId="0" applyAlignment="1" pivotButton="0" quotePrefix="0" xfId="0">
      <alignment horizontal="left" vertical="center" indent="1"/>
    </xf>
    <xf numFmtId="0" fontId="0" fillId="0" borderId="20" applyAlignment="1" pivotButton="0" quotePrefix="0" xfId="0">
      <alignment horizontal="left" vertical="center" indent="1"/>
    </xf>
    <xf numFmtId="0" fontId="58" fillId="0" borderId="0" applyAlignment="1" pivotButton="0" quotePrefix="0" xfId="0">
      <alignment horizontal="left" vertical="center" indent="1"/>
    </xf>
    <xf numFmtId="0" fontId="23" fillId="0" borderId="18" applyAlignment="1" pivotButton="0" quotePrefix="0" xfId="0">
      <alignment vertical="center"/>
    </xf>
    <xf numFmtId="0" fontId="23" fillId="0" borderId="19" applyAlignment="1" pivotButton="0" quotePrefix="0" xfId="0">
      <alignment vertical="center"/>
    </xf>
    <xf numFmtId="0" fontId="23" fillId="0" borderId="0" applyAlignment="1" pivotButton="0" quotePrefix="0" xfId="0">
      <alignment vertical="center"/>
    </xf>
    <xf numFmtId="0" fontId="23" fillId="0" borderId="21" applyAlignment="1" pivotButton="0" quotePrefix="0" xfId="0">
      <alignment vertical="center"/>
    </xf>
    <xf numFmtId="164" fontId="23" fillId="0" borderId="88" applyAlignment="1" applyProtection="1" pivotButton="0" quotePrefix="0" xfId="0">
      <alignment vertical="center"/>
      <protection locked="0" hidden="0"/>
    </xf>
    <xf numFmtId="164" fontId="23" fillId="0" borderId="89" applyAlignment="1" applyProtection="1" pivotButton="0" quotePrefix="0" xfId="0">
      <alignment vertical="center"/>
      <protection locked="0" hidden="0"/>
    </xf>
    <xf numFmtId="3" fontId="4" fillId="0" borderId="55" applyAlignment="1" applyProtection="1" pivotButton="0" quotePrefix="0" xfId="0">
      <alignment horizontal="center" vertical="center"/>
      <protection locked="0" hidden="0"/>
    </xf>
    <xf numFmtId="3" fontId="4" fillId="0" borderId="49" applyAlignment="1" applyProtection="1" pivotButton="0" quotePrefix="0" xfId="0">
      <alignment horizontal="center" vertical="center"/>
      <protection locked="0" hidden="0"/>
    </xf>
    <xf numFmtId="3" fontId="4" fillId="0" borderId="58" applyAlignment="1" applyProtection="1" pivotButton="0" quotePrefix="0" xfId="0">
      <alignment horizontal="center" vertical="center"/>
      <protection locked="0" hidden="0"/>
    </xf>
    <xf numFmtId="0" fontId="3" fillId="11" borderId="49" applyAlignment="1" pivotButton="0" quotePrefix="0" xfId="0">
      <alignment horizontal="center" vertical="center"/>
    </xf>
    <xf numFmtId="0" fontId="16" fillId="0" borderId="60" applyAlignment="1" pivotButton="0" quotePrefix="0" xfId="0">
      <alignment horizontal="center" vertical="center"/>
    </xf>
    <xf numFmtId="0" fontId="1" fillId="0" borderId="40" applyAlignment="1" pivotButton="0" quotePrefix="0" xfId="0">
      <alignment vertical="center"/>
    </xf>
    <xf numFmtId="0" fontId="1" fillId="0" borderId="41" applyAlignment="1" pivotButton="0" quotePrefix="0" xfId="0">
      <alignment vertical="center"/>
    </xf>
    <xf numFmtId="0" fontId="16" fillId="0" borderId="91" applyAlignment="1" pivotButton="0" quotePrefix="0" xfId="0">
      <alignment horizontal="center" vertical="center"/>
    </xf>
    <xf numFmtId="0" fontId="1" fillId="0" borderId="0" applyAlignment="1" pivotButton="0" quotePrefix="0" xfId="0">
      <alignment horizontal="left" vertical="center"/>
    </xf>
    <xf numFmtId="0" fontId="16" fillId="0" borderId="0" applyAlignment="1" pivotButton="0" quotePrefix="0" xfId="0">
      <alignment horizontal="left" vertical="center"/>
    </xf>
    <xf numFmtId="0" fontId="16" fillId="0" borderId="60" applyAlignment="1" pivotButton="0" quotePrefix="0" xfId="0">
      <alignment horizontal="left" vertical="center"/>
    </xf>
    <xf numFmtId="0" fontId="1" fillId="0" borderId="0" applyAlignment="1" pivotButton="0" quotePrefix="0" xfId="0">
      <alignment horizontal="left"/>
    </xf>
    <xf numFmtId="0" fontId="75" fillId="0" borderId="38" applyAlignment="1" pivotButton="0" quotePrefix="0" xfId="0">
      <alignment horizontal="left" vertical="center" indent="1"/>
    </xf>
    <xf numFmtId="0" fontId="51" fillId="0" borderId="60" applyAlignment="1" pivotButton="0" quotePrefix="0" xfId="0">
      <alignment horizontal="left" vertical="top" indent="1"/>
    </xf>
    <xf numFmtId="0" fontId="75" fillId="0" borderId="33" applyAlignment="1" pivotButton="0" quotePrefix="0" xfId="0">
      <alignment horizontal="left" vertical="center" indent="1"/>
    </xf>
    <xf numFmtId="0" fontId="18" fillId="0" borderId="49" applyAlignment="1" pivotButton="0" quotePrefix="0" xfId="0">
      <alignment horizontal="center" vertical="center" wrapText="1"/>
    </xf>
    <xf numFmtId="0" fontId="4" fillId="11" borderId="37" applyAlignment="1" pivotButton="0" quotePrefix="0" xfId="0">
      <alignment horizontal="center" vertical="center" wrapText="1"/>
    </xf>
    <xf numFmtId="0" fontId="4" fillId="0" borderId="49" applyAlignment="1" pivotButton="0" quotePrefix="0" xfId="0">
      <alignment horizontal="center" vertical="center" wrapText="1"/>
    </xf>
    <xf numFmtId="0" fontId="18" fillId="2" borderId="49" applyAlignment="1" pivotButton="0" quotePrefix="0" xfId="0">
      <alignment horizontal="center" vertical="center" wrapText="1"/>
    </xf>
    <xf numFmtId="0" fontId="18" fillId="9" borderId="49" applyAlignment="1" pivotButton="0" quotePrefix="0" xfId="0">
      <alignment horizontal="center" vertical="center" wrapText="1"/>
    </xf>
    <xf numFmtId="10" fontId="4" fillId="0" borderId="49" applyAlignment="1" pivotButton="0" quotePrefix="0" xfId="0">
      <alignment horizontal="right" vertical="center" wrapText="1"/>
    </xf>
    <xf numFmtId="10" fontId="18" fillId="7" borderId="49" applyAlignment="1" pivotButton="0" quotePrefix="0" xfId="0">
      <alignment horizontal="right" vertical="center" wrapText="1"/>
    </xf>
    <xf numFmtId="10" fontId="18" fillId="6" borderId="49" applyAlignment="1" pivotButton="0" quotePrefix="0" xfId="0">
      <alignment horizontal="right" vertical="center" wrapText="1"/>
    </xf>
    <xf numFmtId="0" fontId="19" fillId="0" borderId="0" applyAlignment="1" pivotButton="0" quotePrefix="0" xfId="0">
      <alignment horizontal="center" vertical="center" wrapText="1"/>
    </xf>
    <xf numFmtId="0" fontId="19" fillId="0" borderId="0" applyAlignment="1" pivotButton="0" quotePrefix="0" xfId="0">
      <alignment horizontal="center" vertical="center"/>
    </xf>
    <xf numFmtId="0" fontId="5" fillId="0" borderId="24" applyAlignment="1" pivotButton="0" quotePrefix="0" xfId="0">
      <alignment horizontal="center" vertical="center"/>
    </xf>
    <xf numFmtId="0" fontId="0" fillId="0" borderId="25" pivotButton="0" quotePrefix="0" xfId="0"/>
    <xf numFmtId="0" fontId="12" fillId="0" borderId="0" pivotButton="0" quotePrefix="0" xfId="0"/>
    <xf numFmtId="0" fontId="9" fillId="0" borderId="0" applyAlignment="1" pivotButton="0" quotePrefix="0" xfId="0">
      <alignment horizontal="center"/>
    </xf>
    <xf numFmtId="0" fontId="4" fillId="0" borderId="23" applyAlignment="1" pivotButton="0" quotePrefix="0" xfId="0">
      <alignment horizontal="left" vertical="center" indent="1"/>
    </xf>
    <xf numFmtId="0" fontId="0" fillId="0" borderId="24" applyAlignment="1" pivotButton="0" quotePrefix="0" xfId="0">
      <alignment vertical="center"/>
    </xf>
    <xf numFmtId="0" fontId="0" fillId="0" borderId="21" applyAlignment="1" pivotButton="0" quotePrefix="0" xfId="0">
      <alignment vertical="center"/>
    </xf>
    <xf numFmtId="0" fontId="14" fillId="0" borderId="20" pivotButton="0" quotePrefix="0" xfId="0"/>
    <xf numFmtId="0" fontId="0" fillId="0" borderId="30" pivotButton="0" quotePrefix="0" xfId="0"/>
    <xf numFmtId="0" fontId="4" fillId="0" borderId="26" applyAlignment="1" pivotButton="0" quotePrefix="0" xfId="0">
      <alignment horizontal="left" vertical="center" indent="1"/>
    </xf>
    <xf numFmtId="0" fontId="0" fillId="0" borderId="0" applyProtection="1" pivotButton="0" quotePrefix="0" xfId="0">
      <protection locked="0" hidden="0"/>
    </xf>
    <xf numFmtId="0" fontId="61" fillId="0" borderId="0" pivotButton="0" quotePrefix="0" xfId="0"/>
    <xf numFmtId="0" fontId="18" fillId="0" borderId="92" applyAlignment="1" pivotButton="0" quotePrefix="0" xfId="0">
      <alignment horizontal="center" vertical="center"/>
    </xf>
    <xf numFmtId="0" fontId="25" fillId="0" borderId="92" applyAlignment="1" pivotButton="0" quotePrefix="0" xfId="0">
      <alignment horizontal="center" vertical="center"/>
    </xf>
    <xf numFmtId="0" fontId="4" fillId="0" borderId="92" applyAlignment="1" pivotButton="0" quotePrefix="0" xfId="0">
      <alignment horizontal="center" vertical="center"/>
    </xf>
    <xf numFmtId="0" fontId="8" fillId="0" borderId="0" applyAlignment="1" pivotButton="0" quotePrefix="0" xfId="0">
      <alignment horizontal="center"/>
    </xf>
    <xf numFmtId="0" fontId="4" fillId="0" borderId="92" applyAlignment="1" pivotButton="0" quotePrefix="0" xfId="0">
      <alignment horizontal="right" vertical="center"/>
    </xf>
    <xf numFmtId="0" fontId="4" fillId="0" borderId="53" applyAlignment="1" pivotButton="0" quotePrefix="0" xfId="0">
      <alignment horizontal="center" vertical="center"/>
    </xf>
    <xf numFmtId="0" fontId="4" fillId="0" borderId="0" applyAlignment="1" pivotButton="0" quotePrefix="0" xfId="0">
      <alignment horizontal="right"/>
    </xf>
    <xf numFmtId="0" fontId="8" fillId="0" borderId="0" applyAlignment="1" pivotButton="0" quotePrefix="0" xfId="0">
      <alignment horizontal="center" vertical="center"/>
    </xf>
    <xf numFmtId="0" fontId="16" fillId="0" borderId="104" applyAlignment="1" pivotButton="0" quotePrefix="0" xfId="0">
      <alignment horizontal="center" vertical="center"/>
    </xf>
    <xf numFmtId="0" fontId="1" fillId="0" borderId="104" applyAlignment="1" pivotButton="0" quotePrefix="0" xfId="0">
      <alignment vertical="center"/>
    </xf>
    <xf numFmtId="0" fontId="1" fillId="0" borderId="104" applyAlignment="1" pivotButton="0" quotePrefix="0" xfId="0">
      <alignment horizontal="right" vertical="center"/>
    </xf>
    <xf numFmtId="0" fontId="18" fillId="11" borderId="100" applyAlignment="1" pivotButton="0" quotePrefix="0" xfId="0">
      <alignment horizontal="center" vertical="center"/>
    </xf>
    <xf numFmtId="0" fontId="18" fillId="11" borderId="112" applyAlignment="1" pivotButton="0" quotePrefix="0" xfId="0">
      <alignment horizontal="center" vertical="center"/>
    </xf>
    <xf numFmtId="1" fontId="24" fillId="0" borderId="113" applyAlignment="1" pivotButton="0" quotePrefix="0" xfId="0">
      <alignment horizontal="center" vertical="center"/>
    </xf>
    <xf numFmtId="0" fontId="24" fillId="0" borderId="114" applyAlignment="1" pivotButton="0" quotePrefix="0" xfId="0">
      <alignment horizontal="left" vertical="center"/>
    </xf>
    <xf numFmtId="0" fontId="1" fillId="0" borderId="107" applyAlignment="1" pivotButton="0" quotePrefix="0" xfId="0">
      <alignment vertical="center"/>
    </xf>
    <xf numFmtId="0" fontId="1" fillId="0" borderId="115" applyAlignment="1" pivotButton="0" quotePrefix="0" xfId="0">
      <alignment vertical="center"/>
    </xf>
    <xf numFmtId="3" fontId="1" fillId="0" borderId="113" applyAlignment="1" applyProtection="1" pivotButton="0" quotePrefix="0" xfId="0">
      <alignment vertical="center"/>
      <protection locked="0" hidden="0"/>
    </xf>
    <xf numFmtId="3" fontId="1" fillId="0" borderId="99" applyAlignment="1" applyProtection="1" pivotButton="0" quotePrefix="0" xfId="0">
      <alignment vertical="center"/>
      <protection locked="0" hidden="0"/>
    </xf>
    <xf numFmtId="3" fontId="1" fillId="0" borderId="99" applyAlignment="1" pivotButton="0" quotePrefix="0" xfId="0">
      <alignment vertical="center"/>
    </xf>
    <xf numFmtId="10" fontId="1" fillId="0" borderId="99" applyAlignment="1" pivotButton="0" quotePrefix="0" xfId="0">
      <alignment horizontal="right" vertical="center"/>
    </xf>
    <xf numFmtId="1" fontId="24" fillId="0" borderId="99" applyAlignment="1" pivotButton="0" quotePrefix="0" xfId="0">
      <alignment horizontal="center" vertical="center"/>
    </xf>
    <xf numFmtId="0" fontId="24" fillId="0" borderId="97" applyAlignment="1" pivotButton="0" quotePrefix="0" xfId="0">
      <alignment horizontal="left" vertical="center"/>
    </xf>
    <xf numFmtId="0" fontId="1" fillId="0" borderId="98" applyAlignment="1" pivotButton="0" quotePrefix="0" xfId="0">
      <alignment vertical="center"/>
    </xf>
    <xf numFmtId="3" fontId="1" fillId="0" borderId="116" applyAlignment="1" applyProtection="1" pivotButton="0" quotePrefix="0" xfId="0">
      <alignment vertical="center"/>
      <protection locked="0" hidden="0"/>
    </xf>
    <xf numFmtId="3" fontId="1" fillId="0" borderId="116" applyAlignment="1" pivotButton="0" quotePrefix="0" xfId="0">
      <alignment vertical="center"/>
    </xf>
    <xf numFmtId="10" fontId="1" fillId="0" borderId="116" applyAlignment="1" pivotButton="0" quotePrefix="0" xfId="0">
      <alignment horizontal="right" vertical="center"/>
    </xf>
    <xf numFmtId="1" fontId="41" fillId="0" borderId="99" applyAlignment="1" pivotButton="0" quotePrefix="0" xfId="0">
      <alignment horizontal="center" vertical="center"/>
    </xf>
    <xf numFmtId="0" fontId="41" fillId="0" borderId="97" applyAlignment="1" pivotButton="0" quotePrefix="0" xfId="0">
      <alignment horizontal="left" vertical="center"/>
    </xf>
    <xf numFmtId="3" fontId="16" fillId="0" borderId="117" applyAlignment="1" pivotButton="0" quotePrefix="0" xfId="0">
      <alignment vertical="center"/>
    </xf>
    <xf numFmtId="3" fontId="1" fillId="0" borderId="117" applyAlignment="1" applyProtection="1" pivotButton="0" quotePrefix="0" xfId="0">
      <alignment vertical="center"/>
      <protection locked="0" hidden="0"/>
    </xf>
    <xf numFmtId="3" fontId="1" fillId="0" borderId="117" applyAlignment="1" pivotButton="0" quotePrefix="0" xfId="0">
      <alignment vertical="center"/>
    </xf>
    <xf numFmtId="1" fontId="24" fillId="0" borderId="96" applyAlignment="1" pivotButton="0" quotePrefix="0" xfId="0">
      <alignment horizontal="center" vertical="center"/>
    </xf>
    <xf numFmtId="0" fontId="24" fillId="0" borderId="118" applyAlignment="1" pivotButton="0" quotePrefix="0" xfId="0">
      <alignment horizontal="left" vertical="center"/>
    </xf>
    <xf numFmtId="0" fontId="1" fillId="0" borderId="111" applyAlignment="1" pivotButton="0" quotePrefix="0" xfId="0">
      <alignment vertical="center"/>
    </xf>
    <xf numFmtId="0" fontId="1" fillId="0" borderId="119" applyAlignment="1" pivotButton="0" quotePrefix="0" xfId="0">
      <alignment vertical="center"/>
    </xf>
    <xf numFmtId="3" fontId="1" fillId="0" borderId="120" applyAlignment="1" applyProtection="1" pivotButton="0" quotePrefix="0" xfId="0">
      <alignment vertical="center"/>
      <protection locked="0" hidden="0"/>
    </xf>
    <xf numFmtId="3" fontId="1" fillId="0" borderId="121" applyAlignment="1" applyProtection="1" pivotButton="0" quotePrefix="0" xfId="0">
      <alignment vertical="center"/>
      <protection locked="0" hidden="0"/>
    </xf>
    <xf numFmtId="3" fontId="1" fillId="0" borderId="121" applyAlignment="1" pivotButton="0" quotePrefix="0" xfId="0">
      <alignment vertical="center"/>
    </xf>
    <xf numFmtId="10" fontId="1" fillId="0" borderId="121" applyAlignment="1" pivotButton="0" quotePrefix="0" xfId="0">
      <alignment horizontal="right" vertical="center"/>
    </xf>
    <xf numFmtId="1" fontId="24" fillId="0" borderId="0" applyAlignment="1" pivotButton="0" quotePrefix="0" xfId="0">
      <alignment horizontal="center" vertical="center"/>
    </xf>
    <xf numFmtId="3" fontId="1" fillId="0" borderId="0" applyAlignment="1" pivotButton="0" quotePrefix="0" xfId="0">
      <alignment vertical="center"/>
    </xf>
    <xf numFmtId="10" fontId="1" fillId="0" borderId="0" applyAlignment="1" pivotButton="0" quotePrefix="0" xfId="0">
      <alignment horizontal="right" vertical="center"/>
    </xf>
    <xf numFmtId="3" fontId="1" fillId="0" borderId="124" applyAlignment="1" applyProtection="1" pivotButton="0" quotePrefix="0" xfId="0">
      <alignment vertical="center"/>
      <protection locked="0" hidden="0"/>
    </xf>
    <xf numFmtId="3" fontId="1" fillId="0" borderId="124" applyAlignment="1" pivotButton="0" quotePrefix="0" xfId="0">
      <alignment vertical="center"/>
    </xf>
    <xf numFmtId="0" fontId="31" fillId="0" borderId="98" pivotButton="0" quotePrefix="0" xfId="0"/>
    <xf numFmtId="0" fontId="1" fillId="0" borderId="125" applyAlignment="1" pivotButton="0" quotePrefix="0" xfId="0">
      <alignment vertical="center"/>
    </xf>
    <xf numFmtId="0" fontId="31" fillId="0" borderId="125" pivotButton="0" quotePrefix="0" xfId="0"/>
    <xf numFmtId="0" fontId="31" fillId="0" borderId="126" pivotButton="0" quotePrefix="0" xfId="0"/>
    <xf numFmtId="0" fontId="24" fillId="0" borderId="96" applyProtection="1" pivotButton="0" quotePrefix="0" xfId="0">
      <protection locked="0" hidden="0"/>
    </xf>
    <xf numFmtId="0" fontId="24" fillId="0" borderId="96" pivotButton="0" quotePrefix="0" xfId="0"/>
    <xf numFmtId="1" fontId="41" fillId="0" borderId="0" applyAlignment="1" pivotButton="0" quotePrefix="0" xfId="0">
      <alignment horizontal="center" vertical="center"/>
    </xf>
    <xf numFmtId="3" fontId="16" fillId="0" borderId="0" applyAlignment="1" pivotButton="0" quotePrefix="0" xfId="0">
      <alignment vertical="center"/>
    </xf>
    <xf numFmtId="10" fontId="16" fillId="0" borderId="0" applyAlignment="1" pivotButton="0" quotePrefix="0" xfId="0">
      <alignment horizontal="right" vertical="center"/>
    </xf>
    <xf numFmtId="0" fontId="71" fillId="0" borderId="97" applyAlignment="1" pivotButton="0" quotePrefix="0" xfId="0">
      <alignment horizontal="left" vertical="center"/>
    </xf>
    <xf numFmtId="0" fontId="41" fillId="0" borderId="97" applyAlignment="1" pivotButton="0" quotePrefix="0" xfId="0">
      <alignment vertical="center"/>
    </xf>
    <xf numFmtId="0" fontId="24" fillId="0" borderId="0" applyAlignment="1" pivotButton="0" quotePrefix="0" xfId="0">
      <alignment horizontal="left" vertical="center" wrapText="1"/>
    </xf>
    <xf numFmtId="0" fontId="24" fillId="0" borderId="98" applyAlignment="1" pivotButton="0" quotePrefix="0" xfId="0">
      <alignment horizontal="left" vertical="center" wrapText="1"/>
    </xf>
    <xf numFmtId="3" fontId="1" fillId="0" borderId="127" applyAlignment="1" applyProtection="1" pivotButton="0" quotePrefix="0" xfId="0">
      <alignment vertical="center"/>
      <protection locked="0" hidden="0"/>
    </xf>
    <xf numFmtId="0" fontId="24" fillId="0" borderId="125" applyProtection="1" pivotButton="0" quotePrefix="0" xfId="0">
      <protection locked="0" hidden="0"/>
    </xf>
    <xf numFmtId="0" fontId="41" fillId="0" borderId="97" applyAlignment="1" pivotButton="0" quotePrefix="0" xfId="0">
      <alignment horizontal="left" vertical="center" indent="4"/>
    </xf>
    <xf numFmtId="3" fontId="1" fillId="0" borderId="127" applyAlignment="1" pivotButton="0" quotePrefix="0" xfId="0">
      <alignment vertical="center"/>
    </xf>
    <xf numFmtId="0" fontId="0" fillId="0" borderId="100" pivotButton="0" quotePrefix="0" xfId="0"/>
    <xf numFmtId="0" fontId="0" fillId="0" borderId="103" pivotButton="0" quotePrefix="0" xfId="0"/>
    <xf numFmtId="10" fontId="1" fillId="0" borderId="129" applyAlignment="1" pivotButton="0" quotePrefix="0" xfId="0">
      <alignment horizontal="right" vertical="center"/>
    </xf>
    <xf numFmtId="3" fontId="61" fillId="7" borderId="130" applyAlignment="1" pivotButton="0" quotePrefix="0" xfId="0">
      <alignment vertical="center"/>
    </xf>
    <xf numFmtId="10" fontId="16" fillId="7" borderId="93" applyAlignment="1" pivotButton="0" quotePrefix="0" xfId="0">
      <alignment horizontal="right" vertical="center"/>
    </xf>
    <xf numFmtId="10" fontId="16" fillId="0" borderId="117" applyAlignment="1" pivotButton="0" quotePrefix="0" xfId="0">
      <alignment horizontal="right" vertical="center"/>
    </xf>
    <xf numFmtId="0" fontId="24" fillId="0" borderId="20" applyAlignment="1" pivotButton="0" quotePrefix="0" xfId="2">
      <alignment horizontal="center" vertical="center"/>
    </xf>
    <xf numFmtId="0" fontId="26" fillId="3" borderId="0" applyAlignment="1" pivotButton="0" quotePrefix="0" xfId="2">
      <alignment vertical="center"/>
    </xf>
    <xf numFmtId="49" fontId="26" fillId="3" borderId="0" applyAlignment="1" pivotButton="0" quotePrefix="0" xfId="2">
      <alignment horizontal="center" vertical="center"/>
    </xf>
    <xf numFmtId="0" fontId="26" fillId="3" borderId="20" applyAlignment="1" pivotButton="0" quotePrefix="0" xfId="2">
      <alignment vertical="center"/>
    </xf>
    <xf numFmtId="0" fontId="26" fillId="0" borderId="21" applyAlignment="1" pivotButton="0" quotePrefix="0" xfId="2">
      <alignment vertical="center"/>
    </xf>
    <xf numFmtId="0" fontId="26" fillId="0" borderId="0" applyAlignment="1" pivotButton="0" quotePrefix="0" xfId="2">
      <alignment vertical="center"/>
    </xf>
    <xf numFmtId="0" fontId="26" fillId="0" borderId="20" applyAlignment="1" pivotButton="0" quotePrefix="0" xfId="2">
      <alignment vertical="center"/>
    </xf>
    <xf numFmtId="0" fontId="26" fillId="0" borderId="17" applyAlignment="1" pivotButton="0" quotePrefix="0" xfId="2">
      <alignment vertical="center"/>
    </xf>
    <xf numFmtId="0" fontId="26" fillId="3" borderId="18" applyAlignment="1" pivotButton="0" quotePrefix="0" xfId="2">
      <alignment vertical="center"/>
    </xf>
    <xf numFmtId="0" fontId="26" fillId="3" borderId="17" applyAlignment="1" pivotButton="0" quotePrefix="0" xfId="2">
      <alignment vertical="center"/>
    </xf>
    <xf numFmtId="0" fontId="26" fillId="0" borderId="19" applyAlignment="1" pivotButton="0" quotePrefix="0" xfId="2">
      <alignment vertical="center"/>
    </xf>
    <xf numFmtId="0" fontId="26" fillId="0" borderId="18" applyAlignment="1" pivotButton="0" quotePrefix="0" xfId="2">
      <alignment vertical="center"/>
    </xf>
    <xf numFmtId="0" fontId="25" fillId="0" borderId="0" applyAlignment="1" pivotButton="0" quotePrefix="0" xfId="2">
      <alignment vertical="center"/>
    </xf>
    <xf numFmtId="0" fontId="24" fillId="0" borderId="23" applyAlignment="1" pivotButton="0" quotePrefix="0" xfId="2">
      <alignment vertical="center"/>
    </xf>
    <xf numFmtId="0" fontId="26" fillId="0" borderId="24" applyAlignment="1" pivotButton="0" quotePrefix="0" xfId="2">
      <alignment vertical="center"/>
    </xf>
    <xf numFmtId="0" fontId="26" fillId="0" borderId="25" applyAlignment="1" pivotButton="0" quotePrefix="0" xfId="2">
      <alignment vertical="center"/>
    </xf>
    <xf numFmtId="0" fontId="21" fillId="0" borderId="26" applyAlignment="1" pivotButton="0" quotePrefix="0" xfId="2">
      <alignment vertical="center"/>
    </xf>
    <xf numFmtId="0" fontId="21" fillId="0" borderId="27" applyAlignment="1" pivotButton="0" quotePrefix="0" xfId="2">
      <alignment vertical="center"/>
    </xf>
    <xf numFmtId="0" fontId="21" fillId="0" borderId="0" applyAlignment="1" pivotButton="0" quotePrefix="0" xfId="2">
      <alignment vertical="center"/>
    </xf>
    <xf numFmtId="0" fontId="21" fillId="0" borderId="21" applyAlignment="1" pivotButton="0" quotePrefix="0" xfId="2">
      <alignment vertical="center"/>
    </xf>
    <xf numFmtId="0" fontId="21" fillId="0" borderId="20" applyAlignment="1" pivotButton="0" quotePrefix="0" xfId="2">
      <alignment vertical="center"/>
    </xf>
    <xf numFmtId="0" fontId="21" fillId="0" borderId="28" applyAlignment="1" pivotButton="0" quotePrefix="0" xfId="2">
      <alignment vertical="center"/>
    </xf>
    <xf numFmtId="0" fontId="21" fillId="0" borderId="18" applyAlignment="1" pivotButton="0" quotePrefix="0" xfId="2">
      <alignment vertical="center"/>
    </xf>
    <xf numFmtId="0" fontId="21" fillId="0" borderId="19" applyAlignment="1" pivotButton="0" quotePrefix="0" xfId="2">
      <alignment vertical="center"/>
    </xf>
    <xf numFmtId="0" fontId="21" fillId="0" borderId="17" applyAlignment="1" pivotButton="0" quotePrefix="0" xfId="2">
      <alignment vertical="center"/>
    </xf>
    <xf numFmtId="1" fontId="26" fillId="3" borderId="37" applyAlignment="1" applyProtection="1" pivotButton="0" quotePrefix="0" xfId="2">
      <alignment horizontal="center" vertical="center"/>
      <protection locked="0" hidden="0"/>
    </xf>
    <xf numFmtId="0" fontId="26" fillId="0" borderId="28" applyAlignment="1" pivotButton="0" quotePrefix="0" xfId="2">
      <alignment vertical="center"/>
    </xf>
    <xf numFmtId="0" fontId="26" fillId="0" borderId="27" applyAlignment="1" pivotButton="0" quotePrefix="0" xfId="2">
      <alignment vertical="center"/>
    </xf>
    <xf numFmtId="0" fontId="24" fillId="3" borderId="0" applyAlignment="1" pivotButton="0" quotePrefix="0" xfId="2">
      <alignment vertical="center"/>
    </xf>
    <xf numFmtId="0" fontId="24" fillId="3" borderId="21" applyAlignment="1" pivotButton="0" quotePrefix="0" xfId="2">
      <alignment vertical="center"/>
    </xf>
    <xf numFmtId="0" fontId="24" fillId="3" borderId="18" applyAlignment="1" pivotButton="0" quotePrefix="0" xfId="2">
      <alignment vertical="center"/>
    </xf>
    <xf numFmtId="0" fontId="24" fillId="3" borderId="19" applyAlignment="1" pivotButton="0" quotePrefix="0" xfId="2">
      <alignment vertical="center"/>
    </xf>
    <xf numFmtId="0" fontId="53" fillId="0" borderId="49" applyAlignment="1" applyProtection="1" pivotButton="0" quotePrefix="0" xfId="0">
      <alignment horizontal="left" vertical="center" indent="1"/>
      <protection locked="0" hidden="0"/>
    </xf>
    <xf numFmtId="3" fontId="1" fillId="0" borderId="49" applyAlignment="1" applyProtection="1" pivotButton="0" quotePrefix="0" xfId="0">
      <alignment horizontal="center" vertical="center" wrapText="1"/>
      <protection locked="0" hidden="0"/>
    </xf>
    <xf numFmtId="3" fontId="1" fillId="0" borderId="49" applyAlignment="1" pivotButton="0" quotePrefix="0" xfId="0">
      <alignment horizontal="right" vertical="center" wrapText="1"/>
    </xf>
    <xf numFmtId="0" fontId="1" fillId="15" borderId="49" applyAlignment="1" pivotButton="0" quotePrefix="0" xfId="0">
      <alignment horizontal="center" vertical="center" wrapText="1"/>
    </xf>
    <xf numFmtId="0" fontId="47" fillId="0" borderId="29" applyAlignment="1" pivotButton="0" quotePrefix="0" xfId="0">
      <alignment horizontal="center" vertical="center" wrapText="1"/>
    </xf>
    <xf numFmtId="0" fontId="44" fillId="0" borderId="29" applyAlignment="1" applyProtection="1" pivotButton="0" quotePrefix="0" xfId="0">
      <alignment horizontal="center" vertical="center" wrapText="1"/>
      <protection locked="0" hidden="0"/>
    </xf>
    <xf numFmtId="0" fontId="4" fillId="0" borderId="29" applyAlignment="1" applyProtection="1" pivotButton="0" quotePrefix="0" xfId="0">
      <alignment horizontal="center" vertical="center" wrapText="1"/>
      <protection locked="0" hidden="0"/>
    </xf>
    <xf numFmtId="0" fontId="18" fillId="0" borderId="31" applyAlignment="1" pivotButton="0" quotePrefix="0" xfId="0">
      <alignment horizontal="center" vertical="center"/>
    </xf>
    <xf numFmtId="0" fontId="4" fillId="0" borderId="30" applyAlignment="1" pivotButton="0" quotePrefix="0" xfId="0">
      <alignment horizontal="center"/>
    </xf>
    <xf numFmtId="0" fontId="18" fillId="0" borderId="30" applyAlignment="1" pivotButton="0" quotePrefix="0" xfId="0">
      <alignment horizontal="center" vertical="center"/>
    </xf>
    <xf numFmtId="0" fontId="4" fillId="7" borderId="29" applyAlignment="1" pivotButton="0" quotePrefix="0" xfId="0">
      <alignment horizontal="center"/>
    </xf>
    <xf numFmtId="0" fontId="4" fillId="7" borderId="29" applyAlignment="1" pivotButton="0" quotePrefix="0" xfId="0">
      <alignment horizontal="center" vertical="center" wrapText="1"/>
    </xf>
    <xf numFmtId="0" fontId="4" fillId="7" borderId="29" applyAlignment="1" applyProtection="1" pivotButton="0" quotePrefix="0" xfId="0">
      <alignment horizontal="center" vertical="center" wrapText="1"/>
      <protection locked="0" hidden="0"/>
    </xf>
    <xf numFmtId="0" fontId="4" fillId="12" borderId="49" applyAlignment="1" pivotButton="0" quotePrefix="0" xfId="0">
      <alignment vertical="center" wrapText="1"/>
    </xf>
    <xf numFmtId="0" fontId="4" fillId="0" borderId="48" applyAlignment="1" pivotButton="0" quotePrefix="0" xfId="0">
      <alignment horizontal="right" vertical="center"/>
    </xf>
    <xf numFmtId="0" fontId="11" fillId="0" borderId="22" applyAlignment="1" pivotButton="0" quotePrefix="0" xfId="0">
      <alignment vertical="center"/>
    </xf>
    <xf numFmtId="0" fontId="0" fillId="0" borderId="22" applyAlignment="1" pivotButton="0" quotePrefix="0" xfId="0">
      <alignment vertical="center"/>
    </xf>
    <xf numFmtId="0" fontId="0" fillId="0" borderId="32" pivotButton="0" quotePrefix="0" xfId="0"/>
    <xf numFmtId="0" fontId="15" fillId="0" borderId="0" applyAlignment="1" applyProtection="1" pivotButton="0" quotePrefix="0" xfId="0">
      <alignment horizontal="center" vertical="center"/>
      <protection locked="0" hidden="0"/>
    </xf>
    <xf numFmtId="0" fontId="77" fillId="0" borderId="0" pivotButton="0" quotePrefix="0" xfId="0"/>
    <xf numFmtId="0" fontId="79" fillId="0" borderId="0" pivotButton="0" quotePrefix="0" xfId="0"/>
    <xf numFmtId="0" fontId="12" fillId="0" borderId="0" applyAlignment="1" pivotButton="0" quotePrefix="0" xfId="0">
      <alignment horizontal="left" indent="1"/>
    </xf>
    <xf numFmtId="3" fontId="18" fillId="17" borderId="49" applyAlignment="1" pivotButton="0" quotePrefix="0" xfId="0">
      <alignment horizontal="right" vertical="center" wrapText="1"/>
    </xf>
    <xf numFmtId="3" fontId="4" fillId="18" borderId="49" applyAlignment="1" pivotButton="0" quotePrefix="0" xfId="0">
      <alignment horizontal="right" vertical="center" wrapText="1"/>
    </xf>
    <xf numFmtId="3" fontId="18" fillId="19" borderId="49" applyAlignment="1" pivotButton="0" quotePrefix="0" xfId="0">
      <alignment vertical="center" wrapText="1"/>
    </xf>
    <xf numFmtId="0" fontId="80" fillId="0" borderId="0" applyAlignment="1" pivotButton="0" quotePrefix="0" xfId="0">
      <alignment horizontal="left" vertical="center" indent="1"/>
    </xf>
    <xf numFmtId="0" fontId="80" fillId="0" borderId="0" applyAlignment="1" pivotButton="0" quotePrefix="0" xfId="0">
      <alignment horizontal="left" vertical="center"/>
    </xf>
    <xf numFmtId="3" fontId="18" fillId="19" borderId="49" applyAlignment="1" pivotButton="0" quotePrefix="0" xfId="0">
      <alignment horizontal="right" vertical="center" wrapText="1"/>
    </xf>
    <xf numFmtId="3" fontId="4" fillId="20" borderId="49" applyAlignment="1" pivotButton="0" quotePrefix="0" xfId="0">
      <alignment horizontal="right" vertical="center" wrapText="1"/>
    </xf>
    <xf numFmtId="0" fontId="53" fillId="0" borderId="0" applyAlignment="1" pivotButton="0" quotePrefix="0" xfId="0">
      <alignment vertical="center"/>
    </xf>
    <xf numFmtId="3" fontId="1" fillId="0" borderId="0" applyAlignment="1" applyProtection="1" pivotButton="0" quotePrefix="0" xfId="0">
      <alignment horizontal="right" vertical="center" wrapText="1"/>
      <protection locked="0" hidden="0"/>
    </xf>
    <xf numFmtId="4" fontId="1" fillId="0" borderId="0" applyAlignment="1" applyProtection="1" pivotButton="0" quotePrefix="0" xfId="0">
      <alignment horizontal="right" vertical="center" wrapText="1"/>
      <protection locked="0" hidden="0"/>
    </xf>
    <xf numFmtId="3" fontId="1" fillId="0" borderId="0" applyAlignment="1" pivotButton="0" quotePrefix="0" xfId="0">
      <alignment horizontal="right" vertical="center" wrapText="1"/>
    </xf>
    <xf numFmtId="0" fontId="53" fillId="0" borderId="0" applyAlignment="1" pivotButton="0" quotePrefix="0" xfId="0">
      <alignment horizontal="left" indent="1"/>
    </xf>
    <xf numFmtId="0" fontId="80" fillId="0" borderId="0" pivotButton="0" quotePrefix="0" xfId="0"/>
    <xf numFmtId="0" fontId="4" fillId="0" borderId="49" applyAlignment="1" applyProtection="1" pivotButton="0" quotePrefix="0" xfId="0">
      <alignment horizontal="left" vertical="center" wrapText="1" indent="1"/>
      <protection locked="0" hidden="0"/>
    </xf>
    <xf numFmtId="0" fontId="77" fillId="0" borderId="0" applyAlignment="1" pivotButton="0" quotePrefix="0" xfId="0">
      <alignment horizontal="left" wrapText="1" indent="1"/>
    </xf>
    <xf numFmtId="0" fontId="77" fillId="0" borderId="0" applyAlignment="1" pivotButton="0" quotePrefix="0" xfId="0">
      <alignment horizontal="left" indent="1"/>
    </xf>
    <xf numFmtId="0" fontId="79" fillId="0" borderId="0" applyAlignment="1" pivotButton="0" quotePrefix="0" xfId="0">
      <alignment horizontal="left" indent="1"/>
    </xf>
    <xf numFmtId="0" fontId="16" fillId="0" borderId="0" applyAlignment="1" pivotButton="0" quotePrefix="0" xfId="0">
      <alignment horizontal="left" vertical="center" wrapText="1" indent="1"/>
    </xf>
    <xf numFmtId="3" fontId="16" fillId="0" borderId="0" applyAlignment="1" applyProtection="1" pivotButton="0" quotePrefix="0" xfId="0">
      <alignment horizontal="right" vertical="center" wrapText="1"/>
      <protection locked="0" hidden="0"/>
    </xf>
    <xf numFmtId="0" fontId="67" fillId="0" borderId="0" applyAlignment="1" pivotButton="0" quotePrefix="0" xfId="0">
      <alignment horizontal="left" vertical="center" indent="1"/>
    </xf>
    <xf numFmtId="0" fontId="24" fillId="0" borderId="98" applyAlignment="1" pivotButton="0" quotePrefix="0" xfId="0">
      <alignment vertical="center"/>
    </xf>
    <xf numFmtId="3" fontId="24" fillId="0" borderId="99" applyAlignment="1" applyProtection="1" pivotButton="0" quotePrefix="0" xfId="0">
      <alignment vertical="center"/>
      <protection locked="0" hidden="0"/>
    </xf>
    <xf numFmtId="3" fontId="24" fillId="0" borderId="99" applyAlignment="1" pivotButton="0" quotePrefix="0" xfId="0">
      <alignment vertical="center"/>
    </xf>
    <xf numFmtId="10" fontId="24" fillId="0" borderId="116" applyAlignment="1" pivotButton="0" quotePrefix="0" xfId="0">
      <alignment horizontal="right" vertical="center"/>
    </xf>
    <xf numFmtId="3" fontId="24" fillId="0" borderId="116" applyAlignment="1" applyProtection="1" pivotButton="0" quotePrefix="0" xfId="0">
      <alignment vertical="center"/>
      <protection locked="0" hidden="0"/>
    </xf>
    <xf numFmtId="3" fontId="24" fillId="0" borderId="116" applyAlignment="1" pivotButton="0" quotePrefix="0" xfId="0">
      <alignment vertical="center"/>
    </xf>
    <xf numFmtId="3" fontId="24" fillId="0" borderId="123" applyAlignment="1" applyProtection="1" pivotButton="0" quotePrefix="0" xfId="0">
      <alignment vertical="center"/>
      <protection locked="0" hidden="0"/>
    </xf>
    <xf numFmtId="0" fontId="18" fillId="7" borderId="29" applyAlignment="1" pivotButton="0" quotePrefix="0" xfId="0">
      <alignment horizontal="center" vertical="center" wrapText="1"/>
    </xf>
    <xf numFmtId="3" fontId="4" fillId="7" borderId="29" applyAlignment="1" applyProtection="1" pivotButton="0" quotePrefix="0" xfId="0">
      <alignment horizontal="center" vertical="center" wrapText="1"/>
      <protection locked="0" hidden="0"/>
    </xf>
    <xf numFmtId="3" fontId="18" fillId="0" borderId="56" applyAlignment="1" pivotButton="0" quotePrefix="0" xfId="0">
      <alignment horizontal="right" vertical="center" wrapText="1" indent="1"/>
    </xf>
    <xf numFmtId="0" fontId="5" fillId="0" borderId="0" applyAlignment="1" applyProtection="1" pivotButton="0" quotePrefix="0" xfId="0">
      <alignment horizontal="center"/>
      <protection locked="0" hidden="0"/>
    </xf>
    <xf numFmtId="0" fontId="0" fillId="0" borderId="47" pivotButton="0" quotePrefix="0" xfId="0"/>
    <xf numFmtId="0" fontId="0" fillId="7" borderId="47" pivotButton="0" quotePrefix="0" xfId="0"/>
    <xf numFmtId="3" fontId="18" fillId="5" borderId="49" applyAlignment="1" applyProtection="1" pivotButton="0" quotePrefix="0" xfId="0">
      <alignment horizontal="right" vertical="center" wrapText="1"/>
      <protection locked="0" hidden="0"/>
    </xf>
    <xf numFmtId="0" fontId="18" fillId="0" borderId="42" applyAlignment="1" applyProtection="1" pivotButton="0" quotePrefix="0" xfId="0">
      <alignment horizontal="center" vertical="center"/>
      <protection locked="0" hidden="0"/>
    </xf>
    <xf numFmtId="0" fontId="18" fillId="0" borderId="22" applyAlignment="1" applyProtection="1" pivotButton="0" quotePrefix="0" xfId="0">
      <alignment horizontal="center" vertical="center"/>
      <protection locked="0" hidden="0"/>
    </xf>
    <xf numFmtId="3" fontId="4" fillId="12" borderId="49" applyAlignment="1" pivotButton="0" quotePrefix="0" xfId="0">
      <alignment vertical="center" wrapText="1"/>
    </xf>
    <xf numFmtId="3" fontId="0" fillId="0" borderId="0" pivotButton="0" quotePrefix="0" xfId="0"/>
    <xf numFmtId="0" fontId="18" fillId="0" borderId="33" applyAlignment="1" pivotButton="0" quotePrefix="0" xfId="0">
      <alignment vertical="center" wrapText="1"/>
    </xf>
    <xf numFmtId="0" fontId="18" fillId="0" borderId="34" applyAlignment="1" pivotButton="0" quotePrefix="0" xfId="0">
      <alignment vertical="center" wrapText="1"/>
    </xf>
    <xf numFmtId="0" fontId="18" fillId="0" borderId="35" applyAlignment="1" pivotButton="0" quotePrefix="0" xfId="0">
      <alignment vertical="center" wrapText="1"/>
    </xf>
    <xf numFmtId="0" fontId="18" fillId="0" borderId="38" applyAlignment="1" pivotButton="0" quotePrefix="0" xfId="0">
      <alignment vertical="center" wrapText="1"/>
    </xf>
    <xf numFmtId="0" fontId="18" fillId="0" borderId="0" applyAlignment="1" pivotButton="0" quotePrefix="0" xfId="0">
      <alignment vertical="center" wrapText="1"/>
    </xf>
    <xf numFmtId="0" fontId="18" fillId="0" borderId="60" applyAlignment="1" pivotButton="0" quotePrefix="0" xfId="0">
      <alignment vertical="center" wrapText="1"/>
    </xf>
    <xf numFmtId="0" fontId="4" fillId="0" borderId="33" applyAlignment="1" pivotButton="0" quotePrefix="0" xfId="0">
      <alignment vertical="center" wrapText="1"/>
    </xf>
    <xf numFmtId="0" fontId="4" fillId="0" borderId="34" applyAlignment="1" pivotButton="0" quotePrefix="0" xfId="0">
      <alignment vertical="center" wrapText="1"/>
    </xf>
    <xf numFmtId="0" fontId="4" fillId="0" borderId="35" applyAlignment="1" pivotButton="0" quotePrefix="0" xfId="0">
      <alignment vertical="center" wrapText="1"/>
    </xf>
    <xf numFmtId="0" fontId="4" fillId="0" borderId="38" applyAlignment="1" pivotButton="0" quotePrefix="0" xfId="0">
      <alignment vertical="center" wrapText="1"/>
    </xf>
    <xf numFmtId="0" fontId="4" fillId="0" borderId="0" applyAlignment="1" pivotButton="0" quotePrefix="0" xfId="0">
      <alignment vertical="center" wrapText="1"/>
    </xf>
    <xf numFmtId="0" fontId="4" fillId="0" borderId="60" applyAlignment="1" pivotButton="0" quotePrefix="0" xfId="0">
      <alignment vertical="center" wrapText="1"/>
    </xf>
    <xf numFmtId="3" fontId="23" fillId="0" borderId="49" applyAlignment="1" pivotButton="0" quotePrefix="0" xfId="0">
      <alignment horizontal="right" vertical="center" wrapText="1"/>
    </xf>
    <xf numFmtId="2" fontId="9" fillId="0" borderId="0" pivotButton="0" quotePrefix="0" xfId="0"/>
    <xf numFmtId="0" fontId="4" fillId="7" borderId="29" applyAlignment="1" pivotButton="0" quotePrefix="0" xfId="0">
      <alignment vertical="center"/>
    </xf>
    <xf numFmtId="10" fontId="18" fillId="7" borderId="29" applyAlignment="1" applyProtection="1" pivotButton="0" quotePrefix="0" xfId="0">
      <alignment horizontal="center" vertical="center"/>
      <protection locked="0" hidden="0"/>
    </xf>
    <xf numFmtId="0" fontId="4" fillId="7" borderId="0" applyAlignment="1" pivotButton="0" quotePrefix="0" xfId="0">
      <alignment vertical="center"/>
    </xf>
    <xf numFmtId="0" fontId="81" fillId="0" borderId="0" applyAlignment="1" pivotButton="0" quotePrefix="0" xfId="0">
      <alignment horizontal="left" vertical="center" indent="2"/>
    </xf>
    <xf numFmtId="0" fontId="12" fillId="0" borderId="0" applyAlignment="1" pivotButton="0" quotePrefix="0" xfId="0">
      <alignment horizontal="left" vertical="center" indent="4"/>
    </xf>
    <xf numFmtId="0" fontId="12" fillId="0" borderId="0" applyAlignment="1" pivotButton="0" quotePrefix="0" xfId="0">
      <alignment horizontal="left"/>
    </xf>
    <xf numFmtId="0" fontId="80" fillId="0" borderId="0" applyAlignment="1" pivotButton="0" quotePrefix="0" xfId="0">
      <alignment horizontal="left"/>
    </xf>
    <xf numFmtId="0" fontId="81" fillId="0" borderId="0" applyAlignment="1" pivotButton="0" quotePrefix="0" xfId="0">
      <alignment horizontal="left" vertical="center" indent="1"/>
    </xf>
    <xf numFmtId="0" fontId="81" fillId="0" borderId="0" applyAlignment="1" pivotButton="0" quotePrefix="1" xfId="0">
      <alignment horizontal="left" vertical="center" indent="3"/>
    </xf>
    <xf numFmtId="0" fontId="81" fillId="0" borderId="0" applyAlignment="1" pivotButton="0" quotePrefix="0" xfId="0">
      <alignment horizontal="left" vertical="center"/>
    </xf>
    <xf numFmtId="0" fontId="81" fillId="0" borderId="0" applyAlignment="1" pivotButton="0" quotePrefix="0" xfId="0">
      <alignment horizontal="left" vertical="center" indent="6"/>
    </xf>
    <xf numFmtId="0" fontId="12" fillId="0" borderId="0" applyAlignment="1" pivotButton="0" quotePrefix="0" xfId="0">
      <alignment horizontal="left" vertical="center" indent="1"/>
    </xf>
    <xf numFmtId="0" fontId="12" fillId="0" borderId="0" applyAlignment="1" pivotButton="0" quotePrefix="0" xfId="0">
      <alignment horizontal="left" vertical="center"/>
    </xf>
    <xf numFmtId="49" fontId="42" fillId="21" borderId="0" applyAlignment="1" pivotButton="0" quotePrefix="1" xfId="0">
      <alignment horizontal="left" vertical="center"/>
    </xf>
    <xf numFmtId="49" fontId="42" fillId="21" borderId="0" applyAlignment="1" pivotButton="0" quotePrefix="0" xfId="0">
      <alignment horizontal="left" vertical="center"/>
    </xf>
    <xf numFmtId="0" fontId="12" fillId="0" borderId="0" applyAlignment="1" pivotButton="0" quotePrefix="0" xfId="0">
      <alignment vertical="center"/>
    </xf>
    <xf numFmtId="49" fontId="12" fillId="0" borderId="0" applyAlignment="1" pivotButton="0" quotePrefix="0" xfId="0">
      <alignment horizontal="left" indent="1"/>
    </xf>
    <xf numFmtId="49" fontId="12" fillId="0" borderId="0" applyAlignment="1" pivotButton="0" quotePrefix="0" xfId="0">
      <alignment horizontal="left" indent="3"/>
    </xf>
    <xf numFmtId="0" fontId="42" fillId="0" borderId="0" applyAlignment="1" pivotButton="0" quotePrefix="0" xfId="0">
      <alignment horizontal="left" indent="2"/>
    </xf>
    <xf numFmtId="0" fontId="42" fillId="0" borderId="0" applyAlignment="1" pivotButton="0" quotePrefix="0" xfId="0">
      <alignment horizontal="left" vertical="center" indent="1"/>
    </xf>
    <xf numFmtId="0" fontId="53" fillId="0" borderId="0" applyAlignment="1" pivotButton="0" quotePrefix="0" xfId="0">
      <alignment horizontal="left" vertical="center" indent="1"/>
    </xf>
    <xf numFmtId="0" fontId="0" fillId="0" borderId="1" applyProtection="1" pivotButton="0" quotePrefix="0" xfId="0">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10" applyProtection="1" pivotButton="0" quotePrefix="0" xfId="0">
      <protection locked="0" hidden="0"/>
    </xf>
    <xf numFmtId="0" fontId="9" fillId="0" borderId="0" applyProtection="1" pivotButton="0" quotePrefix="0" xfId="0">
      <protection locked="0" hidden="0"/>
    </xf>
    <xf numFmtId="0" fontId="0" fillId="0" borderId="9" applyProtection="1" pivotButton="0" quotePrefix="0" xfId="0">
      <protection locked="0" hidden="0"/>
    </xf>
    <xf numFmtId="0" fontId="83" fillId="23" borderId="9" applyProtection="1" pivotButton="0" quotePrefix="0" xfId="0">
      <protection locked="0" hidden="0"/>
    </xf>
    <xf numFmtId="0" fontId="83" fillId="23" borderId="0"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0" fontId="0" fillId="0" borderId="15" applyProtection="1" pivotButton="0" quotePrefix="0" xfId="0">
      <protection locked="0" hidden="0"/>
    </xf>
    <xf numFmtId="0" fontId="0" fillId="0" borderId="16" applyProtection="1" pivotButton="0" quotePrefix="0" xfId="0">
      <protection locked="0" hidden="0"/>
    </xf>
    <xf numFmtId="0" fontId="0" fillId="0" borderId="11" applyProtection="1" pivotButton="0" quotePrefix="0" xfId="0">
      <protection locked="0" hidden="0"/>
    </xf>
    <xf numFmtId="0" fontId="2" fillId="0" borderId="0" applyAlignment="1" pivotButton="0" quotePrefix="0" xfId="0">
      <alignment horizontal="left" vertical="top"/>
    </xf>
    <xf numFmtId="0" fontId="23" fillId="0" borderId="22" pivotButton="0" quotePrefix="0" xfId="0"/>
    <xf numFmtId="3" fontId="23" fillId="23" borderId="49" applyAlignment="1" applyProtection="1" pivotButton="0" quotePrefix="0" xfId="3">
      <alignment horizontal="right" vertical="center"/>
      <protection locked="0" hidden="0"/>
    </xf>
    <xf numFmtId="0" fontId="0" fillId="23" borderId="0" pivotButton="0" quotePrefix="0" xfId="0"/>
    <xf numFmtId="0" fontId="88" fillId="0" borderId="0" pivotButton="0" quotePrefix="1" xfId="3"/>
    <xf numFmtId="0" fontId="23" fillId="0" borderId="138" applyAlignment="1" pivotButton="0" quotePrefix="0" xfId="0">
      <alignment wrapText="1"/>
    </xf>
    <xf numFmtId="3" fontId="22" fillId="0" borderId="138" pivotButton="0" quotePrefix="0" xfId="0"/>
    <xf numFmtId="0" fontId="22" fillId="0" borderId="139" pivotButton="0" quotePrefix="0" xfId="0"/>
    <xf numFmtId="0" fontId="23" fillId="0" borderId="140" applyAlignment="1" pivotButton="0" quotePrefix="0" xfId="0">
      <alignment wrapText="1"/>
    </xf>
    <xf numFmtId="3" fontId="22" fillId="0" borderId="139" pivotButton="0" quotePrefix="0" xfId="0"/>
    <xf numFmtId="0" fontId="23" fillId="0" borderId="140" pivotButton="0" quotePrefix="0" xfId="0"/>
    <xf numFmtId="0" fontId="22" fillId="0" borderId="140" pivotButton="0" quotePrefix="0" xfId="0"/>
    <xf numFmtId="0" fontId="22" fillId="0" borderId="136" pivotButton="0" quotePrefix="0" xfId="0"/>
    <xf numFmtId="0" fontId="22" fillId="0" borderId="137" pivotButton="0" quotePrefix="0" xfId="0"/>
    <xf numFmtId="3" fontId="27" fillId="0" borderId="142" pivotButton="0" quotePrefix="0" xfId="0"/>
    <xf numFmtId="0" fontId="19" fillId="0" borderId="0" applyAlignment="1" pivotButton="0" quotePrefix="0" xfId="0">
      <alignment vertical="center"/>
    </xf>
    <xf numFmtId="0" fontId="26" fillId="0" borderId="135" applyAlignment="1" pivotButton="0" quotePrefix="0" xfId="0">
      <alignment horizontal="center" vertical="center" wrapText="1"/>
    </xf>
    <xf numFmtId="0" fontId="26" fillId="0" borderId="136" applyAlignment="1" pivotButton="0" quotePrefix="0" xfId="0">
      <alignment horizontal="center" vertical="center" wrapText="1"/>
    </xf>
    <xf numFmtId="49" fontId="18" fillId="0" borderId="0" applyAlignment="1" pivotButton="0" quotePrefix="0" xfId="0">
      <alignment horizontal="center" vertical="center" wrapText="1"/>
    </xf>
    <xf numFmtId="3" fontId="22" fillId="0" borderId="141" pivotButton="0" quotePrefix="0" xfId="0"/>
    <xf numFmtId="3" fontId="27" fillId="0" borderId="143" pivotButton="0" quotePrefix="0" xfId="0"/>
    <xf numFmtId="0" fontId="0" fillId="0" borderId="139" pivotButton="0" quotePrefix="0" xfId="0"/>
    <xf numFmtId="0" fontId="24" fillId="11" borderId="46" applyAlignment="1" pivotButton="0" quotePrefix="0" xfId="0">
      <alignment horizontal="center" vertical="center" wrapText="1"/>
    </xf>
    <xf numFmtId="0" fontId="24" fillId="11" borderId="147" applyAlignment="1" pivotButton="0" quotePrefix="0" xfId="0">
      <alignment horizontal="center" vertical="center" wrapText="1"/>
    </xf>
    <xf numFmtId="0" fontId="22" fillId="0" borderId="63" pivotButton="0" quotePrefix="0" xfId="0"/>
    <xf numFmtId="0" fontId="22" fillId="0" borderId="151" pivotButton="0" quotePrefix="0" xfId="0"/>
    <xf numFmtId="0" fontId="18" fillId="0" borderId="57" applyAlignment="1" pivotButton="0" quotePrefix="0" xfId="0">
      <alignment vertical="center"/>
    </xf>
    <xf numFmtId="0" fontId="23" fillId="0" borderId="153" applyAlignment="1" pivotButton="0" quotePrefix="0" xfId="0">
      <alignment wrapText="1"/>
    </xf>
    <xf numFmtId="0" fontId="23" fillId="0" borderId="153" pivotButton="0" quotePrefix="0" xfId="0"/>
    <xf numFmtId="0" fontId="22" fillId="0" borderId="153" pivotButton="0" quotePrefix="0" xfId="0"/>
    <xf numFmtId="0" fontId="22" fillId="0" borderId="149" pivotButton="0" quotePrefix="0" xfId="0"/>
    <xf numFmtId="0" fontId="27" fillId="0" borderId="144" pivotButton="0" quotePrefix="0" xfId="0"/>
    <xf numFmtId="0" fontId="18" fillId="0" borderId="48" applyAlignment="1" pivotButton="0" quotePrefix="0" xfId="0">
      <alignment vertical="center"/>
    </xf>
    <xf numFmtId="49" fontId="93" fillId="23" borderId="0" applyAlignment="1" applyProtection="1" pivotButton="0" quotePrefix="0" xfId="0">
      <alignment vertical="center"/>
      <protection locked="0" hidden="0"/>
    </xf>
    <xf numFmtId="49" fontId="93" fillId="23" borderId="0" applyAlignment="1" pivotButton="0" quotePrefix="0" xfId="0">
      <alignment vertical="center"/>
    </xf>
    <xf numFmtId="0" fontId="90" fillId="23" borderId="0" applyAlignment="1" pivotButton="0" quotePrefix="0" xfId="0">
      <alignment vertical="center"/>
    </xf>
    <xf numFmtId="0" fontId="90" fillId="23" borderId="0" applyAlignment="1" pivotButton="0" quotePrefix="0" xfId="0">
      <alignment horizontal="center" vertical="center" wrapText="1"/>
    </xf>
    <xf numFmtId="0" fontId="90" fillId="23" borderId="0" applyAlignment="1" pivotButton="0" quotePrefix="0" xfId="0">
      <alignment horizontal="center" vertical="center"/>
    </xf>
    <xf numFmtId="0" fontId="94" fillId="23" borderId="0" applyAlignment="1" pivotButton="0" quotePrefix="0" xfId="2">
      <alignment vertical="center" wrapText="1"/>
    </xf>
    <xf numFmtId="0" fontId="93" fillId="23" borderId="0" pivotButton="0" quotePrefix="0" xfId="0"/>
    <xf numFmtId="0" fontId="95" fillId="23" borderId="0" applyAlignment="1" pivotButton="0" quotePrefix="0" xfId="2">
      <alignment vertical="center"/>
    </xf>
    <xf numFmtId="49" fontId="95" fillId="23" borderId="0" applyAlignment="1" pivotButton="0" quotePrefix="0" xfId="2">
      <alignment horizontal="center" vertical="center"/>
    </xf>
    <xf numFmtId="0" fontId="95" fillId="23" borderId="0" applyAlignment="1" pivotButton="0" quotePrefix="0" xfId="2">
      <alignment horizontal="center" vertical="center"/>
    </xf>
    <xf numFmtId="0" fontId="94" fillId="23" borderId="0" applyAlignment="1" pivotButton="0" quotePrefix="0" xfId="2">
      <alignment horizontal="center"/>
    </xf>
    <xf numFmtId="0" fontId="95" fillId="23" borderId="0" pivotButton="0" quotePrefix="0" xfId="2"/>
    <xf numFmtId="49" fontId="95" fillId="23" borderId="0" applyAlignment="1" pivotButton="0" quotePrefix="1" xfId="2">
      <alignment horizontal="center" vertical="center"/>
    </xf>
    <xf numFmtId="0" fontId="94" fillId="23" borderId="0" pivotButton="0" quotePrefix="0" xfId="2"/>
    <xf numFmtId="0" fontId="95" fillId="23" borderId="0" applyAlignment="1" pivotButton="0" quotePrefix="0" xfId="2">
      <alignment horizontal="center"/>
    </xf>
    <xf numFmtId="0" fontId="94" fillId="23" borderId="0" applyAlignment="1" pivotButton="0" quotePrefix="0" xfId="2">
      <alignment vertical="center"/>
    </xf>
    <xf numFmtId="0" fontId="19" fillId="0" borderId="50" applyAlignment="1" pivotButton="0" quotePrefix="0" xfId="0">
      <alignment vertical="center"/>
    </xf>
    <xf numFmtId="0" fontId="19" fillId="0" borderId="47" applyAlignment="1" pivotButton="0" quotePrefix="0" xfId="0">
      <alignment vertical="center"/>
    </xf>
    <xf numFmtId="0" fontId="99" fillId="0" borderId="0" pivotButton="0" quotePrefix="0" xfId="0"/>
    <xf numFmtId="0" fontId="0" fillId="0" borderId="157" applyAlignment="1" pivotButton="0" quotePrefix="0" xfId="0">
      <alignment horizontal="left" vertical="top" wrapText="1"/>
    </xf>
    <xf numFmtId="0" fontId="0" fillId="0" borderId="158" applyAlignment="1" pivotButton="0" quotePrefix="0" xfId="0">
      <alignment horizontal="left" vertical="top" wrapText="1"/>
    </xf>
    <xf numFmtId="0" fontId="0" fillId="0" borderId="156" applyAlignment="1" pivotButton="0" quotePrefix="0" xfId="0">
      <alignment horizontal="left" vertical="top" wrapText="1"/>
    </xf>
    <xf numFmtId="0" fontId="0" fillId="0" borderId="0" applyAlignment="1" pivotButton="0" quotePrefix="0" xfId="0">
      <alignment horizontal="left" vertical="top"/>
    </xf>
    <xf numFmtId="0" fontId="0" fillId="0" borderId="160" applyAlignment="1" pivotButton="0" quotePrefix="0" xfId="0">
      <alignment horizontal="left" vertical="top" wrapText="1"/>
    </xf>
    <xf numFmtId="0" fontId="9" fillId="0" borderId="0" applyAlignment="1" pivotButton="0" quotePrefix="0" xfId="0">
      <alignment horizontal="left" vertical="top"/>
    </xf>
    <xf numFmtId="0" fontId="0" fillId="0" borderId="156" applyAlignment="1" pivotButton="0" quotePrefix="0" xfId="0">
      <alignment vertical="top"/>
    </xf>
    <xf numFmtId="0" fontId="0" fillId="0" borderId="159" applyAlignment="1" pivotButton="0" quotePrefix="0" xfId="0">
      <alignment vertical="top"/>
    </xf>
    <xf numFmtId="0" fontId="0" fillId="0" borderId="156" applyAlignment="1" pivotButton="0" quotePrefix="0" xfId="0">
      <alignment horizontal="center" vertical="top"/>
    </xf>
    <xf numFmtId="0" fontId="0" fillId="0" borderId="63" pivotButton="0" quotePrefix="0" xfId="0"/>
    <xf numFmtId="0" fontId="0" fillId="0" borderId="64" pivotButton="0" quotePrefix="0" xfId="0"/>
    <xf numFmtId="0" fontId="27" fillId="0" borderId="65" pivotButton="0" quotePrefix="0" xfId="0"/>
    <xf numFmtId="0" fontId="27" fillId="0" borderId="64" pivotButton="0" quotePrefix="0" xfId="0"/>
    <xf numFmtId="0" fontId="0" fillId="0" borderId="65" pivotButton="0" quotePrefix="0" xfId="0"/>
    <xf numFmtId="49" fontId="0" fillId="0" borderId="64" pivotButton="0" quotePrefix="0" xfId="0"/>
    <xf numFmtId="0" fontId="106" fillId="0" borderId="5" pivotButton="0" quotePrefix="0" xfId="0"/>
    <xf numFmtId="165" fontId="107" fillId="0" borderId="0" applyAlignment="1" pivotButton="0" quotePrefix="0" xfId="5">
      <alignment horizontal="center"/>
    </xf>
    <xf numFmtId="49" fontId="0" fillId="0" borderId="9" applyAlignment="1" pivotButton="0" quotePrefix="0" xfId="0">
      <alignment horizontal="center"/>
    </xf>
    <xf numFmtId="0" fontId="108" fillId="0" borderId="0" pivotButton="0" quotePrefix="0" xfId="0"/>
    <xf numFmtId="165" fontId="107" fillId="0" borderId="65" applyAlignment="1" pivotButton="0" quotePrefix="0" xfId="5">
      <alignment horizontal="center"/>
    </xf>
    <xf numFmtId="0" fontId="0" fillId="0" borderId="0" applyAlignment="1" pivotButton="0" quotePrefix="0" xfId="0">
      <alignment horizontal="left"/>
    </xf>
    <xf numFmtId="165" fontId="107" fillId="0" borderId="64" applyAlignment="1" pivotButton="0" quotePrefix="0" xfId="5">
      <alignment horizontal="center"/>
    </xf>
    <xf numFmtId="165" fontId="107" fillId="0" borderId="6" applyAlignment="1" pivotButton="0" quotePrefix="0" xfId="5">
      <alignment horizontal="center"/>
    </xf>
    <xf numFmtId="165" fontId="107" fillId="0" borderId="7" applyAlignment="1" pivotButton="0" quotePrefix="0" xfId="5">
      <alignment horizontal="center"/>
    </xf>
    <xf numFmtId="165" fontId="107" fillId="0" borderId="10" applyAlignment="1" pivotButton="0" quotePrefix="0" xfId="5">
      <alignment horizontal="center"/>
    </xf>
    <xf numFmtId="0" fontId="109" fillId="0" borderId="0" applyAlignment="1" pivotButton="0" quotePrefix="0" xfId="0">
      <alignment horizontal="left"/>
    </xf>
    <xf numFmtId="49" fontId="101" fillId="0" borderId="9" applyAlignment="1" pivotButton="0" quotePrefix="0" xfId="0">
      <alignment horizontal="center"/>
    </xf>
    <xf numFmtId="0" fontId="101" fillId="0" borderId="0" applyAlignment="1" pivotButton="0" quotePrefix="0" xfId="0">
      <alignment horizontal="left"/>
    </xf>
    <xf numFmtId="49" fontId="0" fillId="0" borderId="11" applyAlignment="1" pivotButton="0" quotePrefix="0" xfId="0">
      <alignment horizontal="center"/>
    </xf>
    <xf numFmtId="0" fontId="0" fillId="0" borderId="12" applyAlignment="1" pivotButton="0" quotePrefix="0" xfId="0">
      <alignment horizontal="center"/>
    </xf>
    <xf numFmtId="49" fontId="0" fillId="0" borderId="0" applyAlignment="1" pivotButton="0" quotePrefix="0" xfId="0">
      <alignment horizontal="center"/>
    </xf>
    <xf numFmtId="49" fontId="0" fillId="0" borderId="0" applyAlignment="1" pivotButton="0" quotePrefix="0" xfId="0">
      <alignment horizontal="left"/>
    </xf>
    <xf numFmtId="0" fontId="27" fillId="0" borderId="0" applyAlignment="1" pivotButton="0" quotePrefix="0" xfId="0">
      <alignment horizontal="center"/>
    </xf>
    <xf numFmtId="0" fontId="22" fillId="0" borderId="139" applyAlignment="1" pivotButton="0" quotePrefix="0" xfId="6">
      <alignment horizontal="left"/>
    </xf>
    <xf numFmtId="0" fontId="22" fillId="0" borderId="139" applyAlignment="1" pivotButton="0" quotePrefix="0" xfId="6">
      <alignment horizontal="center"/>
    </xf>
    <xf numFmtId="0" fontId="22" fillId="0" borderId="139" pivotButton="0" quotePrefix="0" xfId="6"/>
    <xf numFmtId="0" fontId="22" fillId="0" borderId="10" pivotButton="0" quotePrefix="0" xfId="6"/>
    <xf numFmtId="0" fontId="22" fillId="0" borderId="9" pivotButton="0" quotePrefix="0" xfId="6"/>
    <xf numFmtId="0" fontId="22" fillId="0" borderId="11" pivotButton="0" quotePrefix="0" xfId="6"/>
    <xf numFmtId="0" fontId="22" fillId="0" borderId="13" pivotButton="0" quotePrefix="0" xfId="6"/>
    <xf numFmtId="0" fontId="22" fillId="0" borderId="0" applyAlignment="1" pivotButton="0" quotePrefix="0" xfId="6">
      <alignment horizontal="left"/>
    </xf>
    <xf numFmtId="0" fontId="112" fillId="0" borderId="0" applyAlignment="1" pivotButton="0" quotePrefix="0" xfId="0">
      <alignment horizontal="left"/>
    </xf>
    <xf numFmtId="0" fontId="26" fillId="0" borderId="9" applyAlignment="1" pivotButton="0" quotePrefix="0" xfId="6">
      <alignment horizontal="left"/>
    </xf>
    <xf numFmtId="0" fontId="3" fillId="0" borderId="50" applyAlignment="1" applyProtection="1" pivotButton="0" quotePrefix="0" xfId="0">
      <alignment horizontal="left" vertical="center" wrapText="1"/>
      <protection locked="0" hidden="0"/>
    </xf>
    <xf numFmtId="0" fontId="3" fillId="0" borderId="46" applyAlignment="1" applyProtection="1" pivotButton="0" quotePrefix="0" xfId="0">
      <alignment horizontal="left" vertical="center"/>
      <protection locked="0" hidden="0"/>
    </xf>
    <xf numFmtId="0" fontId="0" fillId="0" borderId="164" applyAlignment="1" pivotButton="0" quotePrefix="0" xfId="0">
      <alignment horizontal="left" vertical="top" wrapText="1"/>
    </xf>
    <xf numFmtId="0" fontId="0" fillId="0" borderId="165" applyAlignment="1" pivotButton="0" quotePrefix="0" xfId="0">
      <alignment horizontal="left" vertical="top" wrapText="1"/>
    </xf>
    <xf numFmtId="0" fontId="0" fillId="0" borderId="167" applyAlignment="1" pivotButton="0" quotePrefix="0" xfId="0">
      <alignment horizontal="left" vertical="top" wrapText="1"/>
    </xf>
    <xf numFmtId="0" fontId="0" fillId="0" borderId="169" applyAlignment="1" pivotButton="0" quotePrefix="0" xfId="0">
      <alignment horizontal="left" vertical="top" wrapText="1"/>
    </xf>
    <xf numFmtId="0" fontId="0" fillId="0" borderId="168" applyAlignment="1" pivotButton="0" quotePrefix="0" xfId="0">
      <alignment vertical="top"/>
    </xf>
    <xf numFmtId="166" fontId="100" fillId="0" borderId="169" applyAlignment="1" pivotButton="0" quotePrefix="0" xfId="0">
      <alignment horizontal="left" vertical="top" wrapText="1"/>
    </xf>
    <xf numFmtId="0" fontId="0" fillId="0" borderId="171" applyAlignment="1" pivotButton="0" quotePrefix="0" xfId="0">
      <alignment vertical="top"/>
    </xf>
    <xf numFmtId="0" fontId="0" fillId="0" borderId="172" applyAlignment="1" pivotButton="0" quotePrefix="0" xfId="0">
      <alignment vertical="top"/>
    </xf>
    <xf numFmtId="0" fontId="0" fillId="0" borderId="173" applyAlignment="1" pivotButton="0" quotePrefix="0" xfId="0">
      <alignment horizontal="left" vertical="top"/>
    </xf>
    <xf numFmtId="0" fontId="0" fillId="0" borderId="173" applyAlignment="1" pivotButton="0" quotePrefix="0" xfId="0">
      <alignment horizontal="left" vertical="top" wrapText="1"/>
    </xf>
    <xf numFmtId="0" fontId="0" fillId="0" borderId="174" applyAlignment="1" pivotButton="0" quotePrefix="0" xfId="0">
      <alignment horizontal="left" vertical="top" wrapText="1"/>
    </xf>
    <xf numFmtId="0" fontId="0" fillId="0" borderId="175" applyAlignment="1" pivotButton="0" quotePrefix="0" xfId="0">
      <alignment horizontal="left" vertical="top" wrapText="1"/>
    </xf>
    <xf numFmtId="0" fontId="4" fillId="0" borderId="4" pivotButton="0" quotePrefix="0" xfId="0"/>
    <xf numFmtId="0" fontId="3" fillId="0" borderId="177" applyAlignment="1" applyProtection="1" pivotButton="0" quotePrefix="0" xfId="0">
      <alignment horizontal="center"/>
      <protection locked="0" hidden="0"/>
    </xf>
    <xf numFmtId="0" fontId="46" fillId="0" borderId="178" pivotButton="0" quotePrefix="0" xfId="0"/>
    <xf numFmtId="0" fontId="24" fillId="11" borderId="180" applyAlignment="1" pivotButton="0" quotePrefix="0" xfId="0">
      <alignment horizontal="center" vertical="center" wrapText="1"/>
    </xf>
    <xf numFmtId="0" fontId="42" fillId="0" borderId="4" pivotButton="0" quotePrefix="0" xfId="0"/>
    <xf numFmtId="0" fontId="12" fillId="0" borderId="4" pivotButton="0" quotePrefix="0" xfId="0"/>
    <xf numFmtId="0" fontId="12" fillId="0" borderId="8" pivotButton="0" quotePrefix="0" xfId="0"/>
    <xf numFmtId="0" fontId="31" fillId="0" borderId="4" pivotButton="0" quotePrefix="0" xfId="0"/>
    <xf numFmtId="0" fontId="23" fillId="11" borderId="180" applyAlignment="1" pivotButton="0" quotePrefix="0" xfId="0">
      <alignment horizontal="center" vertical="center" wrapText="1"/>
    </xf>
    <xf numFmtId="0" fontId="4" fillId="11" borderId="193" applyAlignment="1" pivotButton="0" quotePrefix="0" xfId="0">
      <alignment horizontal="center" vertical="center" wrapText="1"/>
    </xf>
    <xf numFmtId="0" fontId="44" fillId="0" borderId="194" applyAlignment="1" pivotButton="0" quotePrefix="0" xfId="0">
      <alignment horizontal="center" vertical="center" wrapText="1"/>
    </xf>
    <xf numFmtId="3" fontId="4" fillId="0" borderId="193" applyAlignment="1" applyProtection="1" pivotButton="0" quotePrefix="0" xfId="0">
      <alignment vertical="center" wrapText="1"/>
      <protection locked="0" hidden="0"/>
    </xf>
    <xf numFmtId="0" fontId="44" fillId="0" borderId="195" applyAlignment="1" pivotButton="0" quotePrefix="0" xfId="0">
      <alignment horizontal="center" vertical="center" wrapText="1"/>
    </xf>
    <xf numFmtId="0" fontId="47" fillId="0" borderId="192" applyAlignment="1" pivotButton="0" quotePrefix="0" xfId="0">
      <alignment horizontal="center" vertical="center" wrapText="1"/>
    </xf>
    <xf numFmtId="3" fontId="18" fillId="7" borderId="193" applyAlignment="1" pivotButton="0" quotePrefix="0" xfId="0">
      <alignment vertical="center" wrapText="1"/>
    </xf>
    <xf numFmtId="0" fontId="47" fillId="0" borderId="196" applyAlignment="1" pivotButton="0" quotePrefix="0" xfId="0">
      <alignment horizontal="center" vertical="center" wrapText="1"/>
    </xf>
    <xf numFmtId="0" fontId="4" fillId="7" borderId="198" applyAlignment="1" pivotButton="0" quotePrefix="0" xfId="0">
      <alignment horizontal="center"/>
    </xf>
    <xf numFmtId="0" fontId="4" fillId="7" borderId="198" applyAlignment="1" pivotButton="0" quotePrefix="0" xfId="0">
      <alignment horizontal="center" vertical="center" wrapText="1"/>
    </xf>
    <xf numFmtId="0" fontId="4" fillId="7" borderId="198" applyAlignment="1" applyProtection="1" pivotButton="0" quotePrefix="0" xfId="0">
      <alignment horizontal="center" vertical="center" wrapText="1"/>
      <protection locked="0" hidden="0"/>
    </xf>
    <xf numFmtId="3" fontId="18" fillId="7" borderId="198" applyAlignment="1" pivotButton="0" quotePrefix="0" xfId="0">
      <alignment vertical="center" wrapText="1"/>
    </xf>
    <xf numFmtId="3" fontId="18" fillId="7" borderId="199" applyAlignment="1" pivotButton="0" quotePrefix="0" xfId="0">
      <alignment vertical="center" wrapText="1"/>
    </xf>
    <xf numFmtId="0" fontId="23" fillId="11" borderId="201" applyAlignment="1" pivotButton="0" quotePrefix="0" xfId="0">
      <alignment horizontal="center" vertical="center" wrapText="1"/>
    </xf>
    <xf numFmtId="0" fontId="23" fillId="11" borderId="202" applyAlignment="1" pivotButton="0" quotePrefix="0" xfId="0">
      <alignment horizontal="center" vertical="center"/>
    </xf>
    <xf numFmtId="0" fontId="4" fillId="11" borderId="204" applyAlignment="1" pivotButton="0" quotePrefix="0" xfId="0">
      <alignment horizontal="center" vertical="center" wrapText="1"/>
    </xf>
    <xf numFmtId="0" fontId="18" fillId="0" borderId="192" applyAlignment="1" pivotButton="0" quotePrefix="0" xfId="0">
      <alignment horizontal="center" vertical="center" wrapText="1"/>
    </xf>
    <xf numFmtId="3" fontId="18" fillId="2" borderId="193" applyAlignment="1" applyProtection="1" pivotButton="0" quotePrefix="0" xfId="0">
      <alignment horizontal="right" vertical="center" wrapText="1"/>
      <protection locked="0" hidden="0"/>
    </xf>
    <xf numFmtId="0" fontId="4" fillId="0" borderId="195" applyAlignment="1" pivotButton="0" quotePrefix="0" xfId="0">
      <alignment horizontal="center" vertical="center" wrapText="1"/>
    </xf>
    <xf numFmtId="3" fontId="4" fillId="4" borderId="193" applyAlignment="1" pivotButton="0" quotePrefix="0" xfId="0">
      <alignment horizontal="right" vertical="center" wrapText="1"/>
    </xf>
    <xf numFmtId="3" fontId="4" fillId="0" borderId="193" applyAlignment="1" applyProtection="1" pivotButton="0" quotePrefix="0" xfId="0">
      <alignment horizontal="right" vertical="center" wrapText="1"/>
      <protection locked="0" hidden="0"/>
    </xf>
    <xf numFmtId="3" fontId="4" fillId="0" borderId="205" applyAlignment="1" applyProtection="1" pivotButton="0" quotePrefix="0" xfId="0">
      <alignment horizontal="right" vertical="center" wrapText="1"/>
      <protection locked="0" hidden="0"/>
    </xf>
    <xf numFmtId="3" fontId="4" fillId="0" borderId="205" applyAlignment="1" pivotButton="0" quotePrefix="0" xfId="0">
      <alignment horizontal="right" vertical="center" wrapText="1"/>
    </xf>
    <xf numFmtId="3" fontId="4" fillId="0" borderId="204" applyAlignment="1" pivotButton="0" quotePrefix="0" xfId="0">
      <alignment horizontal="right" vertical="center" wrapText="1"/>
    </xf>
    <xf numFmtId="3" fontId="18" fillId="2" borderId="204" applyAlignment="1" pivotButton="0" quotePrefix="0" xfId="0">
      <alignment horizontal="right" vertical="center" wrapText="1"/>
    </xf>
    <xf numFmtId="3" fontId="18" fillId="2" borderId="193" applyAlignment="1" pivotButton="0" quotePrefix="0" xfId="0">
      <alignment horizontal="right" vertical="center" wrapText="1"/>
    </xf>
    <xf numFmtId="0" fontId="18" fillId="0" borderId="194" applyAlignment="1" pivotButton="0" quotePrefix="0" xfId="0">
      <alignment horizontal="center" vertical="center" wrapText="1"/>
    </xf>
    <xf numFmtId="0" fontId="18" fillId="0" borderId="206" applyAlignment="1" pivotButton="0" quotePrefix="0" xfId="0">
      <alignment horizontal="center" vertical="center" wrapText="1"/>
    </xf>
    <xf numFmtId="0" fontId="18" fillId="2" borderId="209" applyAlignment="1" pivotButton="0" quotePrefix="0" xfId="0">
      <alignment horizontal="center" vertical="center" wrapText="1"/>
    </xf>
    <xf numFmtId="3" fontId="4" fillId="2" borderId="209" applyAlignment="1" pivotButton="0" quotePrefix="0" xfId="0">
      <alignment horizontal="center" vertical="center" wrapText="1"/>
    </xf>
    <xf numFmtId="3" fontId="18" fillId="2" borderId="209" applyAlignment="1" pivotButton="0" quotePrefix="0" xfId="0">
      <alignment horizontal="right" vertical="center" wrapText="1"/>
    </xf>
    <xf numFmtId="3" fontId="18" fillId="2" borderId="210" applyAlignment="1" pivotButton="0" quotePrefix="0" xfId="0">
      <alignment horizontal="right" vertical="center" wrapText="1"/>
    </xf>
    <xf numFmtId="0" fontId="4" fillId="11" borderId="212" applyAlignment="1" pivotButton="0" quotePrefix="0" xfId="0">
      <alignment horizontal="center" vertical="center" wrapText="1"/>
    </xf>
    <xf numFmtId="0" fontId="4" fillId="11" borderId="217" applyAlignment="1" pivotButton="0" quotePrefix="0" xfId="0">
      <alignment horizontal="center" vertical="center" wrapText="1"/>
    </xf>
    <xf numFmtId="3" fontId="4" fillId="0" borderId="180" applyAlignment="1" pivotButton="0" quotePrefix="0" xfId="0">
      <alignment horizontal="right" vertical="center" wrapText="1"/>
    </xf>
    <xf numFmtId="3" fontId="4" fillId="0" borderId="180" applyAlignment="1" applyProtection="1" pivotButton="0" quotePrefix="0" xfId="0">
      <alignment horizontal="right" vertical="center" wrapText="1"/>
      <protection locked="0" hidden="0"/>
    </xf>
    <xf numFmtId="3" fontId="18" fillId="17" borderId="180" applyAlignment="1" pivotButton="0" quotePrefix="0" xfId="0">
      <alignment horizontal="right" vertical="center" wrapText="1"/>
    </xf>
    <xf numFmtId="0" fontId="18" fillId="0" borderId="180" applyAlignment="1" pivotButton="0" quotePrefix="0" xfId="0">
      <alignment horizontal="center" vertical="center" wrapText="1"/>
    </xf>
    <xf numFmtId="3" fontId="18" fillId="9" borderId="219" applyAlignment="1" pivotButton="0" quotePrefix="0" xfId="0">
      <alignment vertical="center" wrapText="1"/>
    </xf>
    <xf numFmtId="3" fontId="18" fillId="9" borderId="219" applyAlignment="1" pivotButton="0" quotePrefix="0" xfId="0">
      <alignment horizontal="right" vertical="center" wrapText="1"/>
    </xf>
    <xf numFmtId="3" fontId="18" fillId="9" borderId="220" applyAlignment="1" pivotButton="0" quotePrefix="0" xfId="0">
      <alignment horizontal="right" vertical="center" wrapText="1"/>
    </xf>
    <xf numFmtId="0" fontId="16" fillId="11" borderId="223" applyAlignment="1" pivotButton="0" quotePrefix="0" xfId="0">
      <alignment horizontal="center" vertical="center"/>
    </xf>
    <xf numFmtId="0" fontId="16" fillId="11" borderId="225" applyAlignment="1" pivotButton="0" quotePrefix="0" xfId="0">
      <alignment horizontal="center" vertical="center"/>
    </xf>
    <xf numFmtId="3" fontId="18" fillId="5" borderId="228" applyAlignment="1" pivotButton="0" quotePrefix="0" xfId="0">
      <alignment horizontal="right" vertical="center" wrapText="1"/>
    </xf>
    <xf numFmtId="3" fontId="4" fillId="0" borderId="228" applyAlignment="1" pivotButton="0" quotePrefix="0" xfId="0">
      <alignment horizontal="right" vertical="center" wrapText="1"/>
    </xf>
    <xf numFmtId="3" fontId="18" fillId="6" borderId="229" applyAlignment="1" pivotButton="0" quotePrefix="0" xfId="0">
      <alignment horizontal="right" vertical="center" wrapText="1"/>
    </xf>
    <xf numFmtId="3" fontId="18" fillId="6" borderId="220" applyAlignment="1" pivotButton="0" quotePrefix="0" xfId="0">
      <alignment horizontal="right" vertical="center" wrapText="1"/>
    </xf>
    <xf numFmtId="0" fontId="53" fillId="0" borderId="0" pivotButton="0" quotePrefix="0" xfId="0"/>
    <xf numFmtId="0" fontId="2" fillId="11" borderId="212" pivotButton="0" quotePrefix="0" xfId="0"/>
    <xf numFmtId="0" fontId="1" fillId="11" borderId="230" applyAlignment="1" pivotButton="0" quotePrefix="0" xfId="0">
      <alignment horizontal="center" vertical="center" wrapText="1"/>
    </xf>
    <xf numFmtId="0" fontId="1" fillId="11" borderId="231" applyAlignment="1" pivotButton="0" quotePrefix="0" xfId="0">
      <alignment horizontal="center" vertical="center" wrapText="1"/>
    </xf>
    <xf numFmtId="3" fontId="4" fillId="0" borderId="180" applyAlignment="1" pivotButton="0" quotePrefix="0" xfId="0">
      <alignment vertical="center" wrapText="1"/>
    </xf>
    <xf numFmtId="3" fontId="18" fillId="6" borderId="219" applyAlignment="1" pivotButton="0" quotePrefix="0" xfId="0">
      <alignment horizontal="center" vertical="center" wrapText="1"/>
    </xf>
    <xf numFmtId="3" fontId="18" fillId="6" borderId="219" applyAlignment="1" pivotButton="0" quotePrefix="0" xfId="0">
      <alignment vertical="center" wrapText="1"/>
    </xf>
    <xf numFmtId="3" fontId="18" fillId="6" borderId="220" applyAlignment="1" pivotButton="0" quotePrefix="0" xfId="0">
      <alignment vertical="center" wrapText="1"/>
    </xf>
    <xf numFmtId="0" fontId="1" fillId="11" borderId="212" applyAlignment="1" pivotButton="0" quotePrefix="0" xfId="0">
      <alignment horizontal="center" vertical="center" wrapText="1"/>
    </xf>
    <xf numFmtId="0" fontId="1" fillId="11" borderId="240" applyAlignment="1" pivotButton="0" quotePrefix="0" xfId="0">
      <alignment horizontal="center" vertical="center" wrapText="1"/>
    </xf>
    <xf numFmtId="0" fontId="1" fillId="11" borderId="180" applyAlignment="1" pivotButton="0" quotePrefix="0" xfId="0">
      <alignment horizontal="center" vertical="center" wrapText="1"/>
    </xf>
    <xf numFmtId="3" fontId="18" fillId="2" borderId="180" applyAlignment="1" pivotButton="0" quotePrefix="0" xfId="0">
      <alignment vertical="center" wrapText="1"/>
    </xf>
    <xf numFmtId="3" fontId="18" fillId="7" borderId="180" applyAlignment="1" applyProtection="1" pivotButton="0" quotePrefix="0" xfId="0">
      <alignment horizontal="right" vertical="center" wrapText="1"/>
      <protection locked="0" hidden="0"/>
    </xf>
    <xf numFmtId="0" fontId="12" fillId="0" borderId="0" applyAlignment="1" pivotButton="0" quotePrefix="1" xfId="0">
      <alignment horizontal="left"/>
    </xf>
    <xf numFmtId="0" fontId="12" fillId="0" borderId="0" applyAlignment="1" pivotButton="0" quotePrefix="1" xfId="0">
      <alignment horizontal="left" indent="2"/>
    </xf>
    <xf numFmtId="3" fontId="18" fillId="5" borderId="180" applyAlignment="1" applyProtection="1" pivotButton="0" quotePrefix="0" xfId="0">
      <alignment horizontal="right" vertical="center" wrapText="1"/>
      <protection locked="0" hidden="0"/>
    </xf>
    <xf numFmtId="3" fontId="4" fillId="18" borderId="180" applyAlignment="1" pivotButton="0" quotePrefix="0" xfId="0">
      <alignment horizontal="right" vertical="center" wrapText="1"/>
    </xf>
    <xf numFmtId="3" fontId="18" fillId="19" borderId="180" applyAlignment="1" pivotButton="0" quotePrefix="0" xfId="0">
      <alignment vertical="center" wrapText="1"/>
    </xf>
    <xf numFmtId="3" fontId="45" fillId="0" borderId="219" applyAlignment="1" applyProtection="1" pivotButton="0" quotePrefix="0" xfId="0">
      <alignment vertical="center" wrapText="1"/>
      <protection locked="0" hidden="0"/>
    </xf>
    <xf numFmtId="10" fontId="4" fillId="0" borderId="219" applyAlignment="1" applyProtection="1" pivotButton="0" quotePrefix="0" xfId="0">
      <alignment horizontal="right" vertical="center" wrapText="1"/>
      <protection locked="0" hidden="0"/>
    </xf>
    <xf numFmtId="3" fontId="4" fillId="0" borderId="219" applyAlignment="1" applyProtection="1" pivotButton="0" quotePrefix="0" xfId="0">
      <alignment horizontal="right" vertical="center" wrapText="1"/>
      <protection locked="0" hidden="0"/>
    </xf>
    <xf numFmtId="3" fontId="4" fillId="0" borderId="220" applyAlignment="1" applyProtection="1" pivotButton="0" quotePrefix="0" xfId="0">
      <alignment horizontal="right" vertical="center" wrapText="1"/>
      <protection locked="0" hidden="0"/>
    </xf>
    <xf numFmtId="0" fontId="4" fillId="11" borderId="230" applyAlignment="1" pivotButton="0" quotePrefix="0" xfId="0">
      <alignment horizontal="center" vertical="center" wrapText="1"/>
    </xf>
    <xf numFmtId="0" fontId="4" fillId="11" borderId="231" applyAlignment="1" pivotButton="0" quotePrefix="0" xfId="0">
      <alignment horizontal="center" vertical="center" wrapText="1"/>
    </xf>
    <xf numFmtId="10" fontId="4" fillId="0" borderId="180" applyAlignment="1" pivotButton="0" quotePrefix="0" xfId="0">
      <alignment horizontal="right" vertical="center" wrapText="1"/>
    </xf>
    <xf numFmtId="10" fontId="18" fillId="7" borderId="180" applyAlignment="1" pivotButton="0" quotePrefix="0" xfId="0">
      <alignment horizontal="right" vertical="center" wrapText="1"/>
    </xf>
    <xf numFmtId="3" fontId="18" fillId="5" borderId="219" applyAlignment="1" pivotButton="0" quotePrefix="0" xfId="0">
      <alignment horizontal="right" vertical="center" wrapText="1"/>
    </xf>
    <xf numFmtId="10" fontId="18" fillId="7" borderId="220" applyAlignment="1" pivotButton="0" quotePrefix="0" xfId="0">
      <alignment horizontal="right" vertical="center" wrapText="1"/>
    </xf>
    <xf numFmtId="3" fontId="18" fillId="2" borderId="219" applyAlignment="1" pivotButton="0" quotePrefix="0" xfId="0">
      <alignment horizontal="right" vertical="center" wrapText="1"/>
    </xf>
    <xf numFmtId="3" fontId="18" fillId="7" borderId="219" applyAlignment="1" pivotButton="0" quotePrefix="0" xfId="0">
      <alignment horizontal="right" vertical="center" wrapText="1"/>
    </xf>
    <xf numFmtId="3" fontId="18" fillId="5" borderId="180" applyAlignment="1" pivotButton="0" quotePrefix="0" xfId="0">
      <alignment horizontal="right" vertical="center" wrapText="1"/>
    </xf>
    <xf numFmtId="3" fontId="18" fillId="19" borderId="180" applyAlignment="1" pivotButton="0" quotePrefix="0" xfId="0">
      <alignment horizontal="right" vertical="center" wrapText="1"/>
    </xf>
    <xf numFmtId="10" fontId="18" fillId="7" borderId="219" applyAlignment="1" pivotButton="0" quotePrefix="0" xfId="0">
      <alignment horizontal="right" vertical="center" wrapText="1"/>
    </xf>
    <xf numFmtId="3" fontId="18" fillId="5" borderId="220" applyAlignment="1" pivotButton="0" quotePrefix="0" xfId="0">
      <alignment horizontal="right" vertical="center" wrapText="1"/>
    </xf>
    <xf numFmtId="0" fontId="4" fillId="11" borderId="240" applyAlignment="1" pivotButton="0" quotePrefix="0" xfId="0">
      <alignment horizontal="center" vertical="center" wrapText="1"/>
    </xf>
    <xf numFmtId="3" fontId="4" fillId="20" borderId="180" applyAlignment="1" pivotButton="0" quotePrefix="0" xfId="0">
      <alignment horizontal="right" vertical="center" wrapText="1"/>
    </xf>
    <xf numFmtId="3" fontId="18" fillId="19" borderId="219" applyAlignment="1" pivotButton="0" quotePrefix="0" xfId="0">
      <alignment horizontal="right" vertical="center" wrapText="1"/>
    </xf>
    <xf numFmtId="3" fontId="18" fillId="19" borderId="220" applyAlignment="1" pivotButton="0" quotePrefix="0" xfId="0">
      <alignment horizontal="right" vertical="center" wrapText="1"/>
    </xf>
    <xf numFmtId="3" fontId="4" fillId="0" borderId="55" applyAlignment="1" applyProtection="1" pivotButton="0" quotePrefix="0" xfId="0">
      <alignment horizontal="right" vertical="center" wrapText="1"/>
      <protection locked="0" hidden="0"/>
    </xf>
    <xf numFmtId="10" fontId="4" fillId="0" borderId="55" applyAlignment="1" pivotButton="0" quotePrefix="0" xfId="0">
      <alignment horizontal="right" vertical="center" wrapText="1"/>
    </xf>
    <xf numFmtId="0" fontId="23" fillId="11" borderId="230" applyAlignment="1" pivotButton="0" quotePrefix="0" xfId="0">
      <alignment horizontal="center" vertical="center" wrapText="1"/>
    </xf>
    <xf numFmtId="0" fontId="24" fillId="11" borderId="230" applyAlignment="1" pivotButton="0" quotePrefix="0" xfId="0">
      <alignment horizontal="center" vertical="center" wrapText="1"/>
    </xf>
    <xf numFmtId="0" fontId="23" fillId="11" borderId="231" applyAlignment="1" pivotButton="0" quotePrefix="0" xfId="0">
      <alignment horizontal="center" vertical="center" wrapText="1"/>
    </xf>
    <xf numFmtId="4" fontId="4" fillId="0" borderId="180" applyAlignment="1" pivotButton="0" quotePrefix="0" xfId="0">
      <alignment horizontal="right" vertical="center" wrapText="1"/>
    </xf>
    <xf numFmtId="0" fontId="50" fillId="0" borderId="219" applyAlignment="1" applyProtection="1" pivotButton="0" quotePrefix="0" xfId="0">
      <alignment horizontal="center" vertical="center" wrapText="1"/>
      <protection locked="0" hidden="0"/>
    </xf>
    <xf numFmtId="4" fontId="4" fillId="0" borderId="219" applyAlignment="1" applyProtection="1" pivotButton="0" quotePrefix="0" xfId="0">
      <alignment horizontal="right" vertical="center" wrapText="1"/>
      <protection locked="0" hidden="0"/>
    </xf>
    <xf numFmtId="3" fontId="4" fillId="0" borderId="220" applyAlignment="1" pivotButton="0" quotePrefix="0" xfId="0">
      <alignment horizontal="right" vertical="center" wrapText="1"/>
    </xf>
    <xf numFmtId="10" fontId="4" fillId="0" borderId="180" applyAlignment="1" pivotButton="0" quotePrefix="0" xfId="0">
      <alignment horizontal="center" vertical="center" wrapText="1"/>
    </xf>
    <xf numFmtId="10" fontId="4" fillId="0" borderId="220" applyAlignment="1" pivotButton="0" quotePrefix="0" xfId="0">
      <alignment horizontal="center" vertical="center" wrapText="1"/>
    </xf>
    <xf numFmtId="0" fontId="46" fillId="0" borderId="4" applyAlignment="1" pivotButton="0" quotePrefix="0" xfId="0">
      <alignment vertical="center"/>
    </xf>
    <xf numFmtId="3" fontId="4" fillId="0" borderId="232" applyAlignment="1" applyProtection="1" pivotButton="0" quotePrefix="0" xfId="0">
      <alignment horizontal="right" vertical="center" wrapText="1"/>
      <protection locked="0" hidden="0"/>
    </xf>
    <xf numFmtId="3" fontId="1" fillId="0" borderId="180" applyAlignment="1" applyProtection="1" pivotButton="0" quotePrefix="0" xfId="0">
      <alignment horizontal="right" vertical="center" wrapText="1"/>
      <protection locked="0" hidden="0"/>
    </xf>
    <xf numFmtId="3" fontId="1" fillId="15" borderId="180" applyAlignment="1" pivotButton="0" quotePrefix="0" xfId="0">
      <alignment horizontal="right" vertical="center" wrapText="1"/>
    </xf>
    <xf numFmtId="0" fontId="16" fillId="6" borderId="219" applyAlignment="1" pivotButton="0" quotePrefix="0" xfId="0">
      <alignment horizontal="center" vertical="center" wrapText="1"/>
    </xf>
    <xf numFmtId="3" fontId="16" fillId="6" borderId="219" applyAlignment="1" pivotButton="0" quotePrefix="0" xfId="0">
      <alignment horizontal="right" vertical="center" wrapText="1"/>
    </xf>
    <xf numFmtId="3" fontId="16" fillId="6" borderId="220" applyAlignment="1" pivotButton="0" quotePrefix="0" xfId="0">
      <alignment horizontal="right" vertical="center" wrapText="1"/>
    </xf>
    <xf numFmtId="3" fontId="18" fillId="0" borderId="180" applyAlignment="1" pivotButton="0" quotePrefix="0" xfId="0">
      <alignment horizontal="right" vertical="center" wrapText="1"/>
    </xf>
    <xf numFmtId="3" fontId="18" fillId="0" borderId="219" applyAlignment="1" applyProtection="1" pivotButton="0" quotePrefix="0" xfId="0">
      <alignment horizontal="right" vertical="center" wrapText="1"/>
      <protection locked="0" hidden="0"/>
    </xf>
    <xf numFmtId="3" fontId="18" fillId="0" borderId="220" applyAlignment="1" pivotButton="0" quotePrefix="0" xfId="0">
      <alignment horizontal="right" vertical="center" wrapText="1"/>
    </xf>
    <xf numFmtId="0" fontId="4" fillId="0" borderId="180" applyAlignment="1" applyProtection="1" pivotButton="0" quotePrefix="0" xfId="0">
      <alignment horizontal="center" vertical="center" wrapText="1"/>
      <protection locked="0" hidden="0"/>
    </xf>
    <xf numFmtId="0" fontId="25" fillId="6" borderId="219" applyAlignment="1" applyProtection="1" pivotButton="0" quotePrefix="0" xfId="0">
      <alignment horizontal="center" vertical="center" wrapText="1"/>
      <protection locked="0" hidden="0"/>
    </xf>
    <xf numFmtId="3" fontId="25" fillId="6" borderId="219" applyAlignment="1" pivotButton="0" quotePrefix="0" xfId="0">
      <alignment horizontal="right" vertical="center" wrapText="1"/>
    </xf>
    <xf numFmtId="3" fontId="18" fillId="6" borderId="219" applyAlignment="1" pivotButton="0" quotePrefix="0" xfId="0">
      <alignment horizontal="right" vertical="center" wrapText="1"/>
    </xf>
    <xf numFmtId="10" fontId="18" fillId="6" borderId="219" applyAlignment="1" pivotButton="0" quotePrefix="0" xfId="0">
      <alignment horizontal="right" vertical="center" wrapText="1"/>
    </xf>
    <xf numFmtId="3" fontId="25" fillId="6" borderId="220" applyAlignment="1" pivotButton="0" quotePrefix="0" xfId="0">
      <alignment horizontal="right" vertical="center" wrapText="1"/>
    </xf>
    <xf numFmtId="10" fontId="4" fillId="0" borderId="0" applyAlignment="1" pivotButton="0" quotePrefix="0" xfId="0">
      <alignment horizontal="right" vertical="center" wrapText="1"/>
    </xf>
    <xf numFmtId="0" fontId="18" fillId="5" borderId="219" applyAlignment="1" applyProtection="1" pivotButton="0" quotePrefix="0" xfId="0">
      <alignment horizontal="center" vertical="center" wrapText="1"/>
      <protection locked="0" hidden="0"/>
    </xf>
    <xf numFmtId="167" fontId="18" fillId="5" borderId="220" applyAlignment="1" pivotButton="0" quotePrefix="0" xfId="0">
      <alignment horizontal="right" vertical="center" wrapText="1"/>
    </xf>
    <xf numFmtId="0" fontId="4" fillId="16" borderId="242" applyAlignment="1" pivotButton="0" quotePrefix="0" xfId="0">
      <alignment vertical="center" wrapText="1"/>
    </xf>
    <xf numFmtId="0" fontId="4" fillId="16" borderId="8" applyAlignment="1" pivotButton="0" quotePrefix="0" xfId="0">
      <alignment vertical="center" wrapText="1"/>
    </xf>
    <xf numFmtId="0" fontId="4" fillId="16" borderId="244" applyAlignment="1" pivotButton="0" quotePrefix="0" xfId="0">
      <alignment vertical="center" wrapText="1"/>
    </xf>
    <xf numFmtId="0" fontId="4" fillId="16" borderId="15" applyAlignment="1" pivotButton="0" quotePrefix="0" xfId="0">
      <alignment vertical="center" wrapText="1"/>
    </xf>
    <xf numFmtId="0" fontId="4" fillId="16" borderId="16" applyAlignment="1" pivotButton="0" quotePrefix="0" xfId="0">
      <alignment vertical="center" wrapText="1"/>
    </xf>
    <xf numFmtId="3" fontId="18" fillId="0" borderId="180" applyAlignment="1" applyProtection="1" pivotButton="0" quotePrefix="0" xfId="0">
      <alignment horizontal="right" vertical="center" wrapText="1"/>
      <protection locked="0" hidden="0"/>
    </xf>
    <xf numFmtId="3" fontId="18" fillId="0" borderId="220" applyAlignment="1" applyProtection="1" pivotButton="0" quotePrefix="0" xfId="0">
      <alignment horizontal="right" vertical="center" wrapText="1"/>
      <protection locked="0" hidden="0"/>
    </xf>
    <xf numFmtId="0" fontId="4" fillId="2" borderId="180" applyAlignment="1" pivotButton="0" quotePrefix="0" xfId="0">
      <alignment horizontal="center" vertical="center" wrapText="1"/>
    </xf>
    <xf numFmtId="3" fontId="18" fillId="2" borderId="219" applyAlignment="1" applyProtection="1" pivotButton="0" quotePrefix="0" xfId="0">
      <alignment horizontal="right" vertical="center" wrapText="1"/>
      <protection locked="0" hidden="0"/>
    </xf>
    <xf numFmtId="3" fontId="18" fillId="2" borderId="220" applyAlignment="1" applyProtection="1" pivotButton="0" quotePrefix="0" xfId="0">
      <alignment horizontal="right" vertical="center" wrapText="1"/>
      <protection locked="0" hidden="0"/>
    </xf>
    <xf numFmtId="3" fontId="18" fillId="2" borderId="220" applyAlignment="1" pivotButton="0" quotePrefix="0" xfId="0">
      <alignment horizontal="right" vertical="center" wrapText="1"/>
    </xf>
    <xf numFmtId="3" fontId="18" fillId="5" borderId="180" applyAlignment="1" pivotButton="0" quotePrefix="0" xfId="0">
      <alignment vertical="center" wrapText="1"/>
    </xf>
    <xf numFmtId="3" fontId="18" fillId="2" borderId="180" applyAlignment="1" pivotButton="0" quotePrefix="0" xfId="0">
      <alignment horizontal="right" vertical="center" wrapText="1"/>
    </xf>
    <xf numFmtId="3" fontId="25" fillId="6" borderId="180" applyAlignment="1" pivotButton="0" quotePrefix="0" xfId="0">
      <alignment horizontal="right" vertical="center" wrapText="1"/>
    </xf>
    <xf numFmtId="3" fontId="4" fillId="0" borderId="219" applyAlignment="1" pivotButton="0" quotePrefix="0" xfId="0">
      <alignment horizontal="right" vertical="center" wrapText="1"/>
    </xf>
    <xf numFmtId="10" fontId="4" fillId="0" borderId="219" applyAlignment="1" pivotButton="0" quotePrefix="0" xfId="0">
      <alignment horizontal="right" vertical="center" wrapText="1"/>
    </xf>
    <xf numFmtId="10" fontId="18" fillId="6" borderId="220" applyAlignment="1" pivotButton="0" quotePrefix="0" xfId="0">
      <alignment horizontal="right" vertical="center" wrapText="1"/>
    </xf>
    <xf numFmtId="10" fontId="4" fillId="7" borderId="180" applyAlignment="1" pivotButton="0" quotePrefix="0" xfId="0">
      <alignment horizontal="right" vertical="center" wrapText="1"/>
    </xf>
    <xf numFmtId="3" fontId="25" fillId="9" borderId="219" applyAlignment="1" pivotButton="0" quotePrefix="0" xfId="0">
      <alignment horizontal="right" vertical="center" wrapText="1"/>
    </xf>
    <xf numFmtId="10" fontId="4" fillId="0" borderId="232" applyAlignment="1" pivotButton="0" quotePrefix="0" xfId="0">
      <alignment horizontal="right" vertical="center" wrapText="1"/>
    </xf>
    <xf numFmtId="0" fontId="23" fillId="11" borderId="247" applyAlignment="1" pivotButton="0" quotePrefix="0" xfId="0">
      <alignment horizontal="center" vertical="center" wrapText="1"/>
    </xf>
    <xf numFmtId="0" fontId="23" fillId="11" borderId="248" applyAlignment="1" pivotButton="0" quotePrefix="0" xfId="0">
      <alignment horizontal="center" vertical="center" wrapText="1"/>
    </xf>
    <xf numFmtId="0" fontId="24" fillId="11" borderId="231" applyAlignment="1" pivotButton="0" quotePrefix="0" xfId="0">
      <alignment horizontal="center" vertical="center" wrapText="1"/>
    </xf>
    <xf numFmtId="0" fontId="26" fillId="0" borderId="217" applyAlignment="1" pivotButton="0" quotePrefix="0" xfId="0">
      <alignment horizontal="center" vertical="center" wrapText="1"/>
    </xf>
    <xf numFmtId="3" fontId="33" fillId="0" borderId="180" applyAlignment="1" pivotButton="0" quotePrefix="0" xfId="0">
      <alignment horizontal="right" vertical="center" wrapText="1"/>
    </xf>
    <xf numFmtId="3" fontId="20" fillId="0" borderId="219" applyAlignment="1" applyProtection="1" pivotButton="0" quotePrefix="0" xfId="0">
      <alignment horizontal="center" vertical="center" wrapText="1"/>
      <protection locked="0" hidden="0"/>
    </xf>
    <xf numFmtId="3" fontId="33" fillId="0" borderId="219" applyAlignment="1" pivotButton="0" quotePrefix="0" xfId="0">
      <alignment horizontal="center" vertical="center" wrapText="1"/>
    </xf>
    <xf numFmtId="3" fontId="20" fillId="0" borderId="219" applyAlignment="1" applyProtection="1" pivotButton="0" quotePrefix="0" xfId="0">
      <alignment horizontal="right" vertical="center" wrapText="1"/>
      <protection locked="0" hidden="0"/>
    </xf>
    <xf numFmtId="3" fontId="20" fillId="0" borderId="219" applyAlignment="1" pivotButton="0" quotePrefix="0" xfId="0">
      <alignment horizontal="right" vertical="center" wrapText="1"/>
    </xf>
    <xf numFmtId="3" fontId="33" fillId="0" borderId="220" applyAlignment="1" pivotButton="0" quotePrefix="0" xfId="0">
      <alignment horizontal="right" vertical="center" wrapText="1"/>
    </xf>
    <xf numFmtId="0" fontId="16" fillId="7" borderId="250" applyAlignment="1" pivotButton="0" quotePrefix="0" xfId="0">
      <alignment horizontal="center" vertical="center" wrapText="1"/>
    </xf>
    <xf numFmtId="0" fontId="16" fillId="7" borderId="251" applyAlignment="1" pivotButton="0" quotePrefix="0" xfId="0">
      <alignment horizontal="center" vertical="center" wrapText="1"/>
    </xf>
    <xf numFmtId="0" fontId="16" fillId="7" borderId="252" applyAlignment="1" pivotButton="0" quotePrefix="0" xfId="0">
      <alignment horizontal="center" vertical="center" wrapText="1"/>
    </xf>
    <xf numFmtId="0" fontId="16" fillId="7" borderId="243" applyAlignment="1" pivotButton="0" quotePrefix="0" xfId="0">
      <alignment horizontal="center" vertical="center" wrapText="1"/>
    </xf>
    <xf numFmtId="3" fontId="20" fillId="0" borderId="230" applyAlignment="1" applyProtection="1" pivotButton="0" quotePrefix="0" xfId="0">
      <alignment horizontal="center" vertical="center" wrapText="1"/>
      <protection locked="0" hidden="0"/>
    </xf>
    <xf numFmtId="3" fontId="33" fillId="0" borderId="230" applyAlignment="1" pivotButton="0" quotePrefix="0" xfId="0">
      <alignment horizontal="center" vertical="center" wrapText="1"/>
    </xf>
    <xf numFmtId="3" fontId="20" fillId="0" borderId="230" applyAlignment="1" applyProtection="1" pivotButton="0" quotePrefix="0" xfId="0">
      <alignment horizontal="right" vertical="center" wrapText="1"/>
      <protection locked="0" hidden="0"/>
    </xf>
    <xf numFmtId="3" fontId="20" fillId="0" borderId="231" applyAlignment="1" applyProtection="1" pivotButton="0" quotePrefix="0" xfId="0">
      <alignment horizontal="right" vertical="center" wrapText="1"/>
      <protection locked="0" hidden="0"/>
    </xf>
    <xf numFmtId="0" fontId="16" fillId="7" borderId="179" applyAlignment="1" pivotButton="0" quotePrefix="0" xfId="0">
      <alignment horizontal="center" vertical="center" wrapText="1"/>
    </xf>
    <xf numFmtId="3" fontId="20" fillId="0" borderId="180" applyAlignment="1" applyProtection="1" pivotButton="0" quotePrefix="0" xfId="0">
      <alignment horizontal="right" vertical="center" wrapText="1"/>
      <protection locked="0" hidden="0"/>
    </xf>
    <xf numFmtId="3" fontId="33" fillId="0" borderId="180" applyAlignment="1" pivotButton="0" quotePrefix="0" xfId="0">
      <alignment horizontal="center" vertical="center" wrapText="1"/>
    </xf>
    <xf numFmtId="0" fontId="16" fillId="7" borderId="218" applyAlignment="1" pivotButton="0" quotePrefix="0" xfId="0">
      <alignment horizontal="center" vertical="center" wrapText="1"/>
    </xf>
    <xf numFmtId="0" fontId="2" fillId="0" borderId="180" applyAlignment="1" applyProtection="1" pivotButton="0" quotePrefix="0" xfId="0">
      <alignment horizontal="center" vertical="center"/>
      <protection locked="0" hidden="0"/>
    </xf>
    <xf numFmtId="3" fontId="16" fillId="0" borderId="219" applyAlignment="1" pivotButton="0" quotePrefix="0" xfId="0">
      <alignment horizontal="right" vertical="center" wrapText="1"/>
    </xf>
    <xf numFmtId="0" fontId="16" fillId="0" borderId="220" applyAlignment="1" pivotButton="0" quotePrefix="0" xfId="0">
      <alignment horizontal="center" vertical="center" wrapText="1"/>
    </xf>
    <xf numFmtId="10" fontId="23" fillId="0" borderId="180" applyAlignment="1" pivotButton="0" quotePrefix="0" xfId="0">
      <alignment horizontal="right" vertical="center" wrapText="1"/>
    </xf>
    <xf numFmtId="10" fontId="25" fillId="7" borderId="180" applyAlignment="1" pivotButton="0" quotePrefix="0" xfId="0">
      <alignment horizontal="right" vertical="center" wrapText="1"/>
    </xf>
    <xf numFmtId="10" fontId="25" fillId="9" borderId="220" applyAlignment="1" pivotButton="0" quotePrefix="0" xfId="0">
      <alignment horizontal="right" vertical="center" wrapText="1"/>
    </xf>
    <xf numFmtId="0" fontId="51" fillId="0" borderId="0" applyAlignment="1" pivotButton="0" quotePrefix="0" xfId="0">
      <alignment vertical="center"/>
    </xf>
    <xf numFmtId="10" fontId="25" fillId="7" borderId="220" applyAlignment="1" pivotButton="0" quotePrefix="0" xfId="0">
      <alignment horizontal="right" vertical="center" wrapText="1"/>
    </xf>
    <xf numFmtId="3" fontId="24" fillId="0" borderId="180" applyAlignment="1" applyProtection="1" pivotButton="0" quotePrefix="0" xfId="0">
      <alignment horizontal="right" vertical="center" wrapText="1"/>
      <protection locked="0" hidden="0"/>
    </xf>
    <xf numFmtId="3" fontId="16" fillId="0" borderId="180" applyAlignment="1" applyProtection="1" pivotButton="0" quotePrefix="0" xfId="0">
      <alignment horizontal="right" vertical="center" wrapText="1"/>
      <protection locked="0" hidden="0"/>
    </xf>
    <xf numFmtId="3" fontId="16" fillId="5" borderId="219" applyAlignment="1" pivotButton="0" quotePrefix="0" xfId="0">
      <alignment horizontal="right" vertical="center" wrapText="1"/>
    </xf>
    <xf numFmtId="3" fontId="16" fillId="5" borderId="220" applyAlignment="1" pivotButton="0" quotePrefix="0" xfId="0">
      <alignment horizontal="right" vertical="center" wrapText="1"/>
    </xf>
    <xf numFmtId="10" fontId="20" fillId="0" borderId="180" applyAlignment="1" pivotButton="0" quotePrefix="0" xfId="0">
      <alignment horizontal="center" vertical="center" wrapText="1"/>
    </xf>
    <xf numFmtId="10" fontId="20" fillId="22" borderId="180" applyAlignment="1" pivotButton="0" quotePrefix="0" xfId="0">
      <alignment horizontal="center" vertical="center" wrapText="1"/>
    </xf>
    <xf numFmtId="10" fontId="35" fillId="4" borderId="180" applyAlignment="1" pivotButton="0" quotePrefix="0" xfId="0">
      <alignment horizontal="right" vertical="center" wrapText="1"/>
    </xf>
    <xf numFmtId="10" fontId="33" fillId="4" borderId="180" applyAlignment="1" pivotButton="0" quotePrefix="0" xfId="0">
      <alignment horizontal="right" vertical="center" wrapText="1"/>
    </xf>
    <xf numFmtId="0" fontId="24" fillId="0" borderId="4" applyAlignment="1" pivotButton="0" quotePrefix="0" xfId="0">
      <alignment horizontal="left" vertical="center" wrapText="1" indent="1"/>
    </xf>
    <xf numFmtId="10" fontId="33" fillId="0" borderId="180" applyAlignment="1" pivotButton="0" quotePrefix="0" xfId="0">
      <alignment horizontal="right" vertical="center" wrapText="1"/>
    </xf>
    <xf numFmtId="3" fontId="33" fillId="4" borderId="219" applyAlignment="1" pivotButton="0" quotePrefix="0" xfId="0">
      <alignment horizontal="right" vertical="center" wrapText="1"/>
    </xf>
    <xf numFmtId="10" fontId="33" fillId="4" borderId="220" applyAlignment="1" pivotButton="0" quotePrefix="0" xfId="0">
      <alignment horizontal="right" vertical="center" wrapText="1"/>
    </xf>
    <xf numFmtId="0" fontId="18" fillId="11" borderId="1" pivotButton="0" quotePrefix="0" xfId="0"/>
    <xf numFmtId="0" fontId="13" fillId="11" borderId="2" pivotButton="0" quotePrefix="0" xfId="0"/>
    <xf numFmtId="0" fontId="13" fillId="11" borderId="259" applyAlignment="1" applyProtection="1" pivotButton="0" quotePrefix="0" xfId="0">
      <alignment horizontal="left"/>
      <protection locked="0" hidden="0"/>
    </xf>
    <xf numFmtId="0" fontId="13" fillId="11" borderId="3" pivotButton="0" quotePrefix="0" xfId="0"/>
    <xf numFmtId="0" fontId="13" fillId="11" borderId="4" pivotButton="0" quotePrefix="0" xfId="0"/>
    <xf numFmtId="0" fontId="13" fillId="11" borderId="8" pivotButton="0" quotePrefix="0" xfId="0"/>
    <xf numFmtId="0" fontId="18" fillId="11" borderId="4" pivotButton="0" quotePrefix="0" xfId="0"/>
    <xf numFmtId="0" fontId="13" fillId="11" borderId="260" pivotButton="0" quotePrefix="0" xfId="0"/>
    <xf numFmtId="0" fontId="13" fillId="11" borderId="261" pivotButton="0" quotePrefix="0" xfId="0"/>
    <xf numFmtId="0" fontId="18" fillId="9" borderId="262" applyAlignment="1" pivotButton="0" quotePrefix="0" xfId="0">
      <alignment horizontal="left" vertical="center" indent="1"/>
    </xf>
    <xf numFmtId="0" fontId="18" fillId="9" borderId="176" applyAlignment="1" pivotButton="0" quotePrefix="0" xfId="0">
      <alignment vertical="center"/>
    </xf>
    <xf numFmtId="0" fontId="4" fillId="0" borderId="263" applyAlignment="1" pivotButton="0" quotePrefix="0" xfId="0">
      <alignment horizontal="left" indent="1"/>
    </xf>
    <xf numFmtId="0" fontId="4" fillId="0" borderId="264" applyAlignment="1" pivotButton="0" quotePrefix="0" xfId="0">
      <alignment horizontal="left" indent="1"/>
    </xf>
    <xf numFmtId="0" fontId="18" fillId="0" borderId="4" applyAlignment="1" pivotButton="0" quotePrefix="0" xfId="0">
      <alignment horizontal="left" indent="1"/>
    </xf>
    <xf numFmtId="0" fontId="4" fillId="0" borderId="8" applyAlignment="1" pivotButton="0" quotePrefix="0" xfId="0">
      <alignment horizontal="left" indent="1"/>
    </xf>
    <xf numFmtId="0" fontId="4" fillId="0" borderId="4" applyAlignment="1" pivotButton="0" quotePrefix="0" xfId="0">
      <alignment horizontal="left" indent="1"/>
    </xf>
    <xf numFmtId="0" fontId="4" fillId="0" borderId="8" pivotButton="0" quotePrefix="0" xfId="0"/>
    <xf numFmtId="0" fontId="73" fillId="0" borderId="4" applyAlignment="1" pivotButton="0" quotePrefix="0" xfId="0">
      <alignment horizontal="left" indent="1"/>
    </xf>
    <xf numFmtId="0" fontId="4" fillId="0" borderId="14" pivotButton="0" quotePrefix="0" xfId="0"/>
    <xf numFmtId="0" fontId="4" fillId="0" borderId="15" pivotButton="0" quotePrefix="0" xfId="0"/>
    <xf numFmtId="0" fontId="4" fillId="0" borderId="16" pivotButton="0" quotePrefix="0" xfId="0"/>
    <xf numFmtId="0" fontId="1" fillId="7" borderId="243" applyAlignment="1" pivotButton="0" quotePrefix="0" xfId="0">
      <alignment horizontal="center" vertical="center"/>
    </xf>
    <xf numFmtId="0" fontId="1" fillId="7" borderId="179" applyAlignment="1" pivotButton="0" quotePrefix="0" xfId="0">
      <alignment horizontal="center" vertical="center"/>
    </xf>
    <xf numFmtId="0" fontId="18" fillId="11" borderId="221" applyAlignment="1" pivotButton="0" quotePrefix="0" xfId="0">
      <alignment horizontal="center" vertical="center"/>
    </xf>
    <xf numFmtId="0" fontId="3" fillId="0" borderId="179" applyAlignment="1" pivotButton="0" quotePrefix="0" xfId="0">
      <alignment horizontal="left" vertical="center"/>
    </xf>
    <xf numFmtId="0" fontId="18" fillId="11" borderId="269" applyAlignment="1" pivotButton="0" quotePrefix="0" xfId="0">
      <alignment horizontal="center" vertical="center"/>
    </xf>
    <xf numFmtId="1" fontId="24" fillId="0" borderId="270" applyAlignment="1" pivotButton="0" quotePrefix="0" xfId="0">
      <alignment horizontal="center" vertical="center"/>
    </xf>
    <xf numFmtId="10" fontId="1" fillId="0" borderId="271" applyAlignment="1" pivotButton="0" quotePrefix="0" xfId="0">
      <alignment horizontal="right" vertical="center"/>
    </xf>
    <xf numFmtId="0" fontId="0" fillId="0" borderId="272" pivotButton="0" quotePrefix="0" xfId="0"/>
    <xf numFmtId="10" fontId="1" fillId="0" borderId="273" applyAlignment="1" pivotButton="0" quotePrefix="0" xfId="0">
      <alignment horizontal="right" vertical="center"/>
    </xf>
    <xf numFmtId="3" fontId="61" fillId="7" borderId="275" applyAlignment="1" pivotButton="0" quotePrefix="0" xfId="0">
      <alignment vertical="center"/>
    </xf>
    <xf numFmtId="0" fontId="13" fillId="11" borderId="190" applyAlignment="1" pivotButton="0" quotePrefix="0" xfId="0">
      <alignment horizontal="center" vertical="center"/>
    </xf>
    <xf numFmtId="0" fontId="13" fillId="11" borderId="191" applyAlignment="1" pivotButton="0" quotePrefix="0" xfId="0">
      <alignment horizontal="center" vertical="center"/>
    </xf>
    <xf numFmtId="0" fontId="0" fillId="0" borderId="263" applyAlignment="1" pivotButton="0" quotePrefix="0" xfId="0">
      <alignment vertical="center"/>
    </xf>
    <xf numFmtId="3" fontId="46" fillId="0" borderId="205" applyAlignment="1" applyProtection="1" pivotButton="0" quotePrefix="0" xfId="0">
      <alignment vertical="center"/>
      <protection locked="0" hidden="0"/>
    </xf>
    <xf numFmtId="0" fontId="0" fillId="0" borderId="4" applyAlignment="1" pivotButton="0" quotePrefix="0" xfId="0">
      <alignment vertical="center"/>
    </xf>
    <xf numFmtId="3" fontId="46" fillId="0" borderId="277" applyAlignment="1" applyProtection="1" pivotButton="0" quotePrefix="0" xfId="0">
      <alignment vertical="center"/>
      <protection locked="0" hidden="0"/>
    </xf>
    <xf numFmtId="3" fontId="46" fillId="0" borderId="278" applyAlignment="1" applyProtection="1" pivotButton="0" quotePrefix="0" xfId="0">
      <alignment vertical="center"/>
      <protection locked="0" hidden="0"/>
    </xf>
    <xf numFmtId="0" fontId="58" fillId="0" borderId="4" applyAlignment="1" pivotButton="0" quotePrefix="0" xfId="0">
      <alignment horizontal="left" vertical="center"/>
    </xf>
    <xf numFmtId="3" fontId="3" fillId="0" borderId="279" applyAlignment="1" pivotButton="0" quotePrefix="0" xfId="0">
      <alignment vertical="center"/>
    </xf>
    <xf numFmtId="3" fontId="3" fillId="0" borderId="279" applyAlignment="1" applyProtection="1" pivotButton="0" quotePrefix="0" xfId="0">
      <alignment vertical="center"/>
      <protection locked="0" hidden="0"/>
    </xf>
    <xf numFmtId="3" fontId="46" fillId="0" borderId="280" applyAlignment="1" applyProtection="1" pivotButton="0" quotePrefix="0" xfId="0">
      <alignment vertical="center"/>
      <protection locked="0" hidden="0"/>
    </xf>
    <xf numFmtId="0" fontId="23" fillId="0" borderId="4" applyAlignment="1" pivotButton="0" quotePrefix="0" xfId="0">
      <alignment horizontal="left" vertical="center"/>
    </xf>
    <xf numFmtId="0" fontId="58" fillId="0" borderId="14" applyAlignment="1" pivotButton="0" quotePrefix="0" xfId="0">
      <alignment horizontal="left" vertical="center"/>
    </xf>
    <xf numFmtId="0" fontId="0" fillId="0" borderId="207" applyAlignment="1" pivotButton="0" quotePrefix="0" xfId="0">
      <alignment horizontal="left" vertical="center" indent="1"/>
    </xf>
    <xf numFmtId="0" fontId="58" fillId="0" borderId="15" applyAlignment="1" pivotButton="0" quotePrefix="0" xfId="0">
      <alignment horizontal="left" vertical="center" indent="1"/>
    </xf>
    <xf numFmtId="0" fontId="46" fillId="0" borderId="15" applyAlignment="1" pivotButton="0" quotePrefix="0" xfId="0">
      <alignment horizontal="left" vertical="center" indent="1"/>
    </xf>
    <xf numFmtId="0" fontId="46" fillId="0" borderId="208" applyAlignment="1" pivotButton="0" quotePrefix="0" xfId="0">
      <alignment vertical="center"/>
    </xf>
    <xf numFmtId="3" fontId="3" fillId="0" borderId="281" applyAlignment="1" pivotButton="0" quotePrefix="0" xfId="0">
      <alignment vertical="center"/>
    </xf>
    <xf numFmtId="3" fontId="3" fillId="0" borderId="282" applyAlignment="1" pivotButton="0" quotePrefix="0" xfId="0">
      <alignment vertical="center"/>
    </xf>
    <xf numFmtId="0" fontId="27" fillId="11" borderId="190" applyAlignment="1" pivotButton="0" quotePrefix="0" xfId="0">
      <alignment horizontal="center" vertical="center"/>
    </xf>
    <xf numFmtId="0" fontId="27" fillId="11" borderId="191" applyAlignment="1" pivotButton="0" quotePrefix="0" xfId="0">
      <alignment horizontal="center" vertical="center"/>
    </xf>
    <xf numFmtId="1" fontId="22" fillId="0" borderId="263" applyAlignment="1" pivotButton="0" quotePrefix="0" xfId="0">
      <alignment horizontal="center" vertical="center"/>
    </xf>
    <xf numFmtId="164" fontId="23" fillId="0" borderId="283" applyAlignment="1" applyProtection="1" pivotButton="0" quotePrefix="0" xfId="0">
      <alignment vertical="center"/>
      <protection locked="0" hidden="0"/>
    </xf>
    <xf numFmtId="1" fontId="22" fillId="0" borderId="4" applyAlignment="1" pivotButton="0" quotePrefix="0" xfId="0">
      <alignment horizontal="center" vertical="center"/>
    </xf>
    <xf numFmtId="164" fontId="23" fillId="0" borderId="284" applyAlignment="1" applyProtection="1" pivotButton="0" quotePrefix="0" xfId="0">
      <alignment vertical="center"/>
      <protection locked="0" hidden="0"/>
    </xf>
    <xf numFmtId="1" fontId="63" fillId="0" borderId="14" applyAlignment="1" pivotButton="0" quotePrefix="0" xfId="0">
      <alignment horizontal="center" vertical="center"/>
    </xf>
    <xf numFmtId="0" fontId="58" fillId="0" borderId="207" applyAlignment="1" pivotButton="0" quotePrefix="0" xfId="0">
      <alignment vertical="center"/>
    </xf>
    <xf numFmtId="0" fontId="58" fillId="0" borderId="15" applyAlignment="1" pivotButton="0" quotePrefix="0" xfId="0">
      <alignment vertical="center"/>
    </xf>
    <xf numFmtId="0" fontId="58" fillId="0" borderId="208" applyAlignment="1" pivotButton="0" quotePrefix="0" xfId="0">
      <alignment vertical="center"/>
    </xf>
    <xf numFmtId="164" fontId="25" fillId="10" borderId="198" applyAlignment="1" pivotButton="0" quotePrefix="0" xfId="0">
      <alignment vertical="center"/>
    </xf>
    <xf numFmtId="164" fontId="25" fillId="10" borderId="199" applyAlignment="1" pivotButton="0" quotePrefix="0" xfId="0">
      <alignment vertical="center"/>
    </xf>
    <xf numFmtId="0" fontId="24" fillId="0" borderId="4" applyAlignment="1" pivotButton="0" quotePrefix="0" xfId="0">
      <alignment vertical="center" wrapText="1"/>
    </xf>
    <xf numFmtId="0" fontId="2" fillId="0" borderId="4" pivotButton="0" quotePrefix="0" xfId="0"/>
    <xf numFmtId="0" fontId="24" fillId="0" borderId="8" applyAlignment="1" pivotButton="0" quotePrefix="0" xfId="0">
      <alignment vertical="center" wrapText="1"/>
    </xf>
    <xf numFmtId="0" fontId="26" fillId="4" borderId="179" applyAlignment="1" pivotButton="0" quotePrefix="0" xfId="0">
      <alignment horizontal="left" vertical="center" wrapText="1" indent="1"/>
    </xf>
    <xf numFmtId="0" fontId="24" fillId="0" borderId="179" applyAlignment="1" pivotButton="0" quotePrefix="0" xfId="0">
      <alignment horizontal="left" vertical="center" wrapText="1" indent="1"/>
    </xf>
    <xf numFmtId="0" fontId="24" fillId="0" borderId="218" applyAlignment="1" pivotButton="0" quotePrefix="0" xfId="0">
      <alignment horizontal="left" vertical="center" indent="1"/>
    </xf>
    <xf numFmtId="3" fontId="24" fillId="0" borderId="219" applyAlignment="1" applyProtection="1" pivotButton="0" quotePrefix="0" xfId="0">
      <alignment vertical="center"/>
      <protection locked="0" hidden="0"/>
    </xf>
    <xf numFmtId="0" fontId="54" fillId="0" borderId="179" applyAlignment="1" applyProtection="1" pivotButton="0" quotePrefix="0" xfId="0">
      <alignment horizontal="left" vertical="center" wrapText="1" indent="1"/>
      <protection locked="0" hidden="0"/>
    </xf>
    <xf numFmtId="3" fontId="26" fillId="4" borderId="219" applyAlignment="1" pivotButton="0" quotePrefix="0" xfId="0">
      <alignment horizontal="right" vertical="center" wrapText="1"/>
    </xf>
    <xf numFmtId="3" fontId="26" fillId="4" borderId="220" applyAlignment="1" pivotButton="0" quotePrefix="0" xfId="0">
      <alignment horizontal="right" vertical="center" wrapText="1"/>
    </xf>
    <xf numFmtId="0" fontId="24" fillId="0" borderId="221" applyAlignment="1" pivotButton="0" quotePrefix="0" xfId="0">
      <alignment horizontal="center" vertical="center" wrapText="1"/>
    </xf>
    <xf numFmtId="0" fontId="24" fillId="0" borderId="216" applyAlignment="1" pivotButton="0" quotePrefix="0" xfId="0">
      <alignment vertical="center"/>
    </xf>
    <xf numFmtId="3" fontId="2" fillId="0" borderId="180" applyAlignment="1" applyProtection="1" pivotButton="0" quotePrefix="0" xfId="0">
      <alignment horizontal="right" vertical="center"/>
      <protection locked="0" hidden="0"/>
    </xf>
    <xf numFmtId="3" fontId="32" fillId="4" borderId="219" applyAlignment="1" pivotButton="0" quotePrefix="0" xfId="0">
      <alignment horizontal="right" vertical="center"/>
    </xf>
    <xf numFmtId="3" fontId="32" fillId="4" borderId="220" applyAlignment="1" pivotButton="0" quotePrefix="0" xfId="0">
      <alignment horizontal="right" vertical="center"/>
    </xf>
    <xf numFmtId="0" fontId="4" fillId="11" borderId="221" pivotButton="0" quotePrefix="0" xfId="0"/>
    <xf numFmtId="0" fontId="4" fillId="11" borderId="214" pivotButton="0" quotePrefix="0" xfId="0"/>
    <xf numFmtId="0" fontId="46" fillId="11" borderId="214" pivotButton="0" quotePrefix="0" xfId="0"/>
    <xf numFmtId="0" fontId="55" fillId="0" borderId="182" applyAlignment="1" applyProtection="1" pivotButton="0" quotePrefix="0" xfId="0">
      <alignment horizontal="center" vertical="center"/>
      <protection locked="0" hidden="0"/>
    </xf>
    <xf numFmtId="0" fontId="55" fillId="0" borderId="186" applyAlignment="1" applyProtection="1" pivotButton="0" quotePrefix="0" xfId="0">
      <alignment horizontal="center" vertical="center"/>
      <protection locked="0" hidden="0"/>
    </xf>
    <xf numFmtId="0" fontId="23" fillId="11" borderId="230" applyAlignment="1" pivotButton="0" quotePrefix="0" xfId="3">
      <alignment horizontal="center" vertical="center" wrapText="1"/>
    </xf>
    <xf numFmtId="0" fontId="23" fillId="11" borderId="231" applyAlignment="1" pivotButton="0" quotePrefix="0" xfId="3">
      <alignment horizontal="center" vertical="center" wrapText="1"/>
    </xf>
    <xf numFmtId="3" fontId="23" fillId="23" borderId="180" applyAlignment="1" applyProtection="1" pivotButton="0" quotePrefix="0" xfId="3">
      <alignment horizontal="right" vertical="center"/>
      <protection locked="0" hidden="0"/>
    </xf>
    <xf numFmtId="3" fontId="23" fillId="0" borderId="180" applyAlignment="1" applyProtection="1" pivotButton="0" quotePrefix="0" xfId="3">
      <alignment horizontal="right" vertical="center"/>
      <protection locked="0" hidden="0"/>
    </xf>
    <xf numFmtId="3" fontId="25" fillId="4" borderId="219" applyAlignment="1" pivotButton="0" quotePrefix="0" xfId="3">
      <alignment horizontal="right" vertical="center"/>
    </xf>
    <xf numFmtId="3" fontId="25" fillId="4" borderId="220" applyAlignment="1" pivotButton="0" quotePrefix="0" xfId="3">
      <alignment horizontal="right" vertical="center"/>
    </xf>
    <xf numFmtId="0" fontId="3" fillId="8" borderId="230" applyAlignment="1" pivotButton="0" quotePrefix="0" xfId="0">
      <alignment horizontal="center" vertical="center"/>
    </xf>
    <xf numFmtId="0" fontId="3" fillId="8" borderId="231" applyAlignment="1" pivotButton="0" quotePrefix="0" xfId="0">
      <alignment horizontal="center" vertical="center"/>
    </xf>
    <xf numFmtId="3" fontId="4" fillId="0" borderId="232" applyAlignment="1" applyProtection="1" pivotButton="0" quotePrefix="0" xfId="0">
      <alignment horizontal="center" vertical="center"/>
      <protection locked="0" hidden="0"/>
    </xf>
    <xf numFmtId="3" fontId="4" fillId="0" borderId="180" applyAlignment="1" applyProtection="1" pivotButton="0" quotePrefix="0" xfId="0">
      <alignment horizontal="center" vertical="center"/>
      <protection locked="0" hidden="0"/>
    </xf>
    <xf numFmtId="3" fontId="4" fillId="0" borderId="217" applyAlignment="1" applyProtection="1" pivotButton="0" quotePrefix="0" xfId="0">
      <alignment horizontal="center" vertical="center"/>
      <protection locked="0" hidden="0"/>
    </xf>
    <xf numFmtId="0" fontId="3" fillId="11" borderId="180" applyAlignment="1" pivotButton="0" quotePrefix="0" xfId="0">
      <alignment horizontal="center" vertical="center"/>
    </xf>
    <xf numFmtId="3" fontId="4" fillId="0" borderId="180" applyAlignment="1" applyProtection="1" pivotButton="0" quotePrefix="0" xfId="0">
      <alignment horizontal="center" vertical="center" wrapText="1"/>
      <protection locked="0" hidden="0"/>
    </xf>
    <xf numFmtId="3" fontId="4" fillId="0" borderId="219" applyAlignment="1" applyProtection="1" pivotButton="0" quotePrefix="0" xfId="0">
      <alignment horizontal="center" vertical="center"/>
      <protection locked="0" hidden="0"/>
    </xf>
    <xf numFmtId="3" fontId="4" fillId="0" borderId="220" applyAlignment="1" applyProtection="1" pivotButton="0" quotePrefix="0" xfId="0">
      <alignment horizontal="center" vertical="center"/>
      <protection locked="0" hidden="0"/>
    </xf>
    <xf numFmtId="49" fontId="1" fillId="23" borderId="0" applyAlignment="1" pivotButton="0" quotePrefix="0" xfId="0">
      <alignment vertical="center"/>
    </xf>
    <xf numFmtId="49" fontId="8" fillId="23" borderId="0" applyAlignment="1" pivotButton="0" quotePrefix="0" xfId="0">
      <alignment horizontal="center" vertical="center"/>
    </xf>
    <xf numFmtId="0" fontId="4" fillId="23" borderId="0" applyAlignment="1" pivotButton="0" quotePrefix="0" xfId="0">
      <alignment vertical="center"/>
    </xf>
    <xf numFmtId="0" fontId="18" fillId="23" borderId="57" applyAlignment="1" pivotButton="0" quotePrefix="0" xfId="0">
      <alignment vertical="center"/>
    </xf>
    <xf numFmtId="0" fontId="4" fillId="23" borderId="0" applyAlignment="1" pivotButton="0" quotePrefix="0" xfId="0">
      <alignment horizontal="left" vertical="center"/>
    </xf>
    <xf numFmtId="0" fontId="18" fillId="23" borderId="42" applyAlignment="1" pivotButton="0" quotePrefix="0" xfId="0">
      <alignment horizontal="center" vertical="center"/>
    </xf>
    <xf numFmtId="0" fontId="59" fillId="23" borderId="0" pivotButton="0" quotePrefix="0" xfId="0"/>
    <xf numFmtId="0" fontId="18" fillId="23" borderId="48" applyAlignment="1" pivotButton="0" quotePrefix="0" xfId="0">
      <alignment vertical="center"/>
    </xf>
    <xf numFmtId="0" fontId="4" fillId="23" borderId="0" applyAlignment="1" pivotButton="0" quotePrefix="0" xfId="0">
      <alignment horizontal="center" vertical="center"/>
    </xf>
    <xf numFmtId="0" fontId="18" fillId="23" borderId="0" applyAlignment="1" pivotButton="0" quotePrefix="0" xfId="0">
      <alignment vertical="center"/>
    </xf>
    <xf numFmtId="0" fontId="4" fillId="23" borderId="0" applyAlignment="1" pivotButton="0" quotePrefix="0" xfId="0">
      <alignment horizontal="right" vertical="center"/>
    </xf>
    <xf numFmtId="0" fontId="18" fillId="23" borderId="0" applyAlignment="1" pivotButton="0" quotePrefix="0" xfId="0">
      <alignment horizontal="center" vertical="center"/>
    </xf>
    <xf numFmtId="0" fontId="26" fillId="23" borderId="132" applyAlignment="1" pivotButton="0" quotePrefix="0" xfId="0">
      <alignment horizontal="center" vertical="center" wrapText="1"/>
    </xf>
    <xf numFmtId="0" fontId="26" fillId="23" borderId="134" applyAlignment="1" pivotButton="0" quotePrefix="0" xfId="0">
      <alignment horizontal="center" vertical="center" wrapText="1"/>
    </xf>
    <xf numFmtId="0" fontId="89" fillId="23" borderId="140" applyAlignment="1" pivotButton="0" quotePrefix="0" xfId="0">
      <alignment horizontal="center" vertical="center" wrapText="1"/>
    </xf>
    <xf numFmtId="0" fontId="23" fillId="23" borderId="140" applyAlignment="1" pivotButton="0" quotePrefix="0" xfId="0">
      <alignment wrapText="1"/>
    </xf>
    <xf numFmtId="0" fontId="23" fillId="23" borderId="140" pivotButton="0" quotePrefix="0" xfId="0"/>
    <xf numFmtId="0" fontId="22" fillId="23" borderId="140" pivotButton="0" quotePrefix="0" xfId="0"/>
    <xf numFmtId="0" fontId="27" fillId="23" borderId="135" pivotButton="0" quotePrefix="0" xfId="0"/>
    <xf numFmtId="0" fontId="26" fillId="11" borderId="132" applyAlignment="1" pivotButton="0" quotePrefix="0" xfId="0">
      <alignment horizontal="center" vertical="center" wrapText="1"/>
    </xf>
    <xf numFmtId="0" fontId="26" fillId="11" borderId="133" applyAlignment="1" pivotButton="0" quotePrefix="0" xfId="0">
      <alignment horizontal="center" vertical="center" wrapText="1"/>
    </xf>
    <xf numFmtId="0" fontId="26" fillId="11" borderId="134" applyAlignment="1" pivotButton="0" quotePrefix="0" xfId="0">
      <alignment horizontal="center" vertical="center" wrapText="1"/>
    </xf>
    <xf numFmtId="0" fontId="27" fillId="0" borderId="135" pivotButton="0" quotePrefix="0" xfId="0"/>
    <xf numFmtId="3" fontId="27" fillId="0" borderId="136" pivotButton="0" quotePrefix="0" xfId="0"/>
    <xf numFmtId="0" fontId="27" fillId="0" borderId="136" pivotButton="0" quotePrefix="0" xfId="0"/>
    <xf numFmtId="3" fontId="27" fillId="0" borderId="137" pivotButton="0" quotePrefix="0" xfId="0"/>
    <xf numFmtId="0" fontId="24" fillId="11" borderId="133" applyAlignment="1" pivotButton="0" quotePrefix="0" xfId="0">
      <alignment horizontal="center" vertical="center" wrapText="1"/>
    </xf>
    <xf numFmtId="0" fontId="24" fillId="11" borderId="134" applyAlignment="1" pivotButton="0" quotePrefix="0" xfId="0">
      <alignment horizontal="center" vertical="center" wrapText="1"/>
    </xf>
    <xf numFmtId="0" fontId="18" fillId="11" borderId="191" applyAlignment="1" pivotButton="0" quotePrefix="0" xfId="0">
      <alignment horizontal="center" vertical="center"/>
    </xf>
    <xf numFmtId="3" fontId="18" fillId="7" borderId="193" applyAlignment="1" applyProtection="1" pivotButton="0" quotePrefix="0" xfId="0">
      <alignment horizontal="right" vertical="center"/>
      <protection locked="0" hidden="0"/>
    </xf>
    <xf numFmtId="3" fontId="4" fillId="0" borderId="193" applyAlignment="1" pivotButton="0" quotePrefix="0" xfId="0">
      <alignment horizontal="right" vertical="center"/>
    </xf>
    <xf numFmtId="3" fontId="18" fillId="7" borderId="193" applyAlignment="1" pivotButton="0" quotePrefix="0" xfId="0">
      <alignment horizontal="right" vertical="center"/>
    </xf>
    <xf numFmtId="3" fontId="4" fillId="0" borderId="193" applyAlignment="1" applyProtection="1" pivotButton="0" quotePrefix="0" xfId="0">
      <alignment horizontal="right" vertical="center"/>
      <protection locked="0" hidden="0"/>
    </xf>
    <xf numFmtId="0" fontId="4" fillId="7" borderId="192" applyAlignment="1" pivotButton="0" quotePrefix="0" xfId="0">
      <alignment horizontal="left" vertical="center" indent="1"/>
    </xf>
    <xf numFmtId="3" fontId="4" fillId="0" borderId="199" applyAlignment="1" pivotButton="0" quotePrefix="0" xfId="0">
      <alignment horizontal="right" vertical="center"/>
    </xf>
    <xf numFmtId="14" fontId="18" fillId="0" borderId="57" applyAlignment="1" pivotButton="0" quotePrefix="0" xfId="0">
      <alignment horizontal="center" vertical="center"/>
    </xf>
    <xf numFmtId="14" fontId="18" fillId="0" borderId="92" applyAlignment="1" pivotButton="0" quotePrefix="0" xfId="0">
      <alignment horizontal="center" vertical="center"/>
    </xf>
    <xf numFmtId="14" fontId="18" fillId="0" borderId="42" applyAlignment="1" pivotButton="0" quotePrefix="0" xfId="0">
      <alignment horizontal="center" vertical="center"/>
    </xf>
    <xf numFmtId="168" fontId="0" fillId="0" borderId="0" pivotButton="0" quotePrefix="0" xfId="7"/>
    <xf numFmtId="3" fontId="4" fillId="0" borderId="0" pivotButton="0" quotePrefix="0" xfId="0"/>
    <xf numFmtId="0" fontId="12" fillId="0" borderId="49" applyAlignment="1" applyProtection="1" pivotButton="0" quotePrefix="0" xfId="0">
      <alignment horizontal="left" vertical="center" indent="1"/>
      <protection locked="0" hidden="0"/>
    </xf>
    <xf numFmtId="0" fontId="12" fillId="0" borderId="49" applyAlignment="1" applyProtection="1" pivotButton="0" quotePrefix="0" xfId="0">
      <alignment vertical="center" wrapText="1"/>
      <protection locked="0" hidden="0"/>
    </xf>
    <xf numFmtId="0" fontId="12" fillId="0" borderId="49" applyAlignment="1" applyProtection="1" pivotButton="0" quotePrefix="0" xfId="0">
      <alignment horizontal="center" vertical="center" wrapText="1"/>
      <protection locked="0" hidden="0"/>
    </xf>
    <xf numFmtId="168" fontId="26" fillId="23" borderId="141" applyAlignment="1" pivotButton="0" quotePrefix="0" xfId="7">
      <alignment horizontal="center" vertical="center" wrapText="1"/>
    </xf>
    <xf numFmtId="168" fontId="22" fillId="23" borderId="141" pivotButton="0" quotePrefix="0" xfId="7"/>
    <xf numFmtId="168" fontId="27" fillId="23" borderId="137" pivotButton="0" quotePrefix="0" xfId="7"/>
    <xf numFmtId="168" fontId="22" fillId="0" borderId="139" pivotButton="0" quotePrefix="0" xfId="7"/>
    <xf numFmtId="168" fontId="22" fillId="0" borderId="141" pivotButton="0" quotePrefix="0" xfId="7"/>
    <xf numFmtId="168" fontId="27" fillId="0" borderId="136" pivotButton="0" quotePrefix="0" xfId="7"/>
    <xf numFmtId="168" fontId="27" fillId="0" borderId="137" pivotButton="0" quotePrefix="0" xfId="7"/>
    <xf numFmtId="168" fontId="0" fillId="0" borderId="139" pivotButton="0" quotePrefix="0" xfId="7"/>
    <xf numFmtId="14" fontId="16" fillId="0" borderId="42" applyAlignment="1" pivotButton="0" quotePrefix="0" xfId="0">
      <alignment horizontal="center" vertical="center"/>
    </xf>
    <xf numFmtId="14" fontId="16" fillId="0" borderId="105" applyAlignment="1" pivotButton="0" quotePrefix="0" xfId="0">
      <alignment horizontal="center" vertical="center"/>
    </xf>
    <xf numFmtId="14" fontId="18" fillId="23" borderId="57" applyAlignment="1" pivotButton="0" quotePrefix="0" xfId="0">
      <alignment horizontal="center" vertical="center"/>
    </xf>
    <xf numFmtId="0" fontId="89" fillId="0" borderId="139" applyAlignment="1" pivotButton="0" quotePrefix="0" xfId="0">
      <alignment horizontal="center" vertical="center" wrapText="1"/>
    </xf>
    <xf numFmtId="14" fontId="16" fillId="0" borderId="104" applyAlignment="1" pivotButton="0" quotePrefix="0" xfId="0">
      <alignment horizontal="center" vertical="center"/>
    </xf>
    <xf numFmtId="14" fontId="9" fillId="0" borderId="0" pivotButton="0" quotePrefix="0" xfId="0"/>
    <xf numFmtId="168" fontId="22" fillId="0" borderId="63" pivotButton="0" quotePrefix="0" xfId="7"/>
    <xf numFmtId="14" fontId="16" fillId="0" borderId="22" applyAlignment="1" pivotButton="0" quotePrefix="0" xfId="0">
      <alignment horizontal="center" vertical="center"/>
    </xf>
    <xf numFmtId="0" fontId="26" fillId="0" borderId="153" applyAlignment="1" pivotButton="0" quotePrefix="1" xfId="0">
      <alignment horizontal="center" vertical="center" wrapText="1"/>
    </xf>
    <xf numFmtId="168" fontId="27" fillId="0" borderId="155" pivotButton="0" quotePrefix="0" xfId="0"/>
    <xf numFmtId="0" fontId="1" fillId="0" borderId="49" applyAlignment="1" applyProtection="1" pivotButton="0" quotePrefix="0" xfId="0">
      <alignment horizontal="center" vertical="center" wrapText="1"/>
      <protection locked="0" hidden="0"/>
    </xf>
    <xf numFmtId="10" fontId="61" fillId="7" borderId="276" applyAlignment="1" pivotButton="0" quotePrefix="0" xfId="4">
      <alignment vertical="center"/>
    </xf>
    <xf numFmtId="3" fontId="4" fillId="0" borderId="0" applyAlignment="1" pivotButton="0" quotePrefix="0" xfId="0">
      <alignment vertical="center"/>
    </xf>
    <xf numFmtId="3" fontId="2" fillId="0" borderId="0" pivotButton="0" quotePrefix="0" xfId="0"/>
    <xf numFmtId="165" fontId="0" fillId="0" borderId="0" pivotButton="0" quotePrefix="0" xfId="0"/>
    <xf numFmtId="0" fontId="16" fillId="0" borderId="104" applyAlignment="1" pivotButton="0" quotePrefix="0" xfId="0">
      <alignment horizontal="left" vertical="center"/>
    </xf>
    <xf numFmtId="168" fontId="9" fillId="9" borderId="139" applyAlignment="1" pivotButton="0" quotePrefix="0" xfId="7">
      <alignment horizontal="center"/>
    </xf>
    <xf numFmtId="0" fontId="9" fillId="0" borderId="139" applyAlignment="1" pivotButton="0" quotePrefix="0" xfId="0">
      <alignment horizontal="center"/>
    </xf>
    <xf numFmtId="0" fontId="9" fillId="0" borderId="139" applyAlignment="1" pivotButton="0" quotePrefix="1" xfId="0">
      <alignment horizontal="center"/>
    </xf>
    <xf numFmtId="0" fontId="9" fillId="9" borderId="139" applyAlignment="1" pivotButton="0" quotePrefix="0" xfId="0">
      <alignment horizontal="center"/>
    </xf>
    <xf numFmtId="168" fontId="0" fillId="9" borderId="139" pivotButton="0" quotePrefix="0" xfId="7"/>
    <xf numFmtId="0" fontId="9" fillId="9" borderId="139" pivotButton="0" quotePrefix="0" xfId="0"/>
    <xf numFmtId="168" fontId="9" fillId="9" borderId="139" pivotButton="0" quotePrefix="0" xfId="7"/>
    <xf numFmtId="0" fontId="9" fillId="0" borderId="139" pivotButton="0" quotePrefix="0" xfId="0"/>
    <xf numFmtId="0" fontId="9" fillId="9" borderId="139" applyAlignment="1" pivotButton="0" quotePrefix="1" xfId="0">
      <alignment horizontal="center"/>
    </xf>
    <xf numFmtId="0" fontId="0" fillId="0" borderId="139" applyAlignment="1" pivotButton="0" quotePrefix="1" xfId="0">
      <alignment horizontal="center"/>
    </xf>
    <xf numFmtId="168" fontId="60" fillId="0" borderId="139" pivotButton="0" quotePrefix="0" xfId="7"/>
    <xf numFmtId="0" fontId="9" fillId="6" borderId="139" pivotButton="0" quotePrefix="0" xfId="0"/>
    <xf numFmtId="0" fontId="9" fillId="6" borderId="139" applyAlignment="1" pivotButton="0" quotePrefix="1" xfId="0">
      <alignment horizontal="center"/>
    </xf>
    <xf numFmtId="168" fontId="9" fillId="6" borderId="139" pivotButton="0" quotePrefix="0" xfId="7"/>
    <xf numFmtId="0" fontId="9" fillId="6" borderId="139" applyAlignment="1" pivotButton="0" quotePrefix="0" xfId="0">
      <alignment horizontal="center"/>
    </xf>
    <xf numFmtId="168" fontId="0" fillId="6" borderId="139" pivotButton="0" quotePrefix="0" xfId="7"/>
    <xf numFmtId="0" fontId="9" fillId="0" borderId="139" applyAlignment="1" pivotButton="0" quotePrefix="0" xfId="0">
      <alignment horizontal="right"/>
    </xf>
    <xf numFmtId="168" fontId="9" fillId="0" borderId="139" pivotButton="0" quotePrefix="0" xfId="7"/>
    <xf numFmtId="0" fontId="4" fillId="0" borderId="181" applyAlignment="1" applyProtection="1" pivotButton="0" quotePrefix="0" xfId="0">
      <alignment horizontal="left" vertical="center" indent="1"/>
      <protection locked="0" hidden="0"/>
    </xf>
    <xf numFmtId="0" fontId="4" fillId="0" borderId="50" applyAlignment="1" applyProtection="1" pivotButton="0" quotePrefix="0" xfId="0">
      <alignment horizontal="left" vertical="center" indent="1"/>
      <protection locked="0" hidden="0"/>
    </xf>
    <xf numFmtId="0" fontId="4" fillId="0" borderId="47" applyAlignment="1" applyProtection="1" pivotButton="0" quotePrefix="0" xfId="0">
      <alignment horizontal="left" vertical="center" indent="1"/>
      <protection locked="0" hidden="0"/>
    </xf>
    <xf numFmtId="3" fontId="23" fillId="0" borderId="47" applyAlignment="1" applyProtection="1" pivotButton="0" quotePrefix="0" xfId="0">
      <alignment horizontal="right" vertical="center" wrapText="1"/>
      <protection locked="0" hidden="0"/>
    </xf>
    <xf numFmtId="0" fontId="24" fillId="0" borderId="139" applyAlignment="1" pivotButton="0" quotePrefix="0" xfId="0">
      <alignment horizontal="center" vertical="center" wrapText="1"/>
    </xf>
    <xf numFmtId="168" fontId="24" fillId="0" borderId="139" applyAlignment="1" pivotButton="0" quotePrefix="0" xfId="7">
      <alignment horizontal="center" vertical="center" wrapText="1"/>
    </xf>
    <xf numFmtId="168" fontId="24" fillId="0" borderId="141" applyAlignment="1" pivotButton="0" quotePrefix="0" xfId="7">
      <alignment horizontal="center" vertical="center" wrapText="1"/>
    </xf>
    <xf numFmtId="0" fontId="24" fillId="0" borderId="140" applyAlignment="1" pivotButton="0" quotePrefix="0" xfId="0">
      <alignment horizontal="center" vertical="center" wrapText="1"/>
    </xf>
    <xf numFmtId="0" fontId="9" fillId="0" borderId="29" applyAlignment="1" applyProtection="1" pivotButton="0" quotePrefix="0" xfId="0">
      <alignment horizontal="center" vertical="center"/>
      <protection locked="0" hidden="0"/>
    </xf>
    <xf numFmtId="0" fontId="9" fillId="0" borderId="31" applyAlignment="1" applyProtection="1" pivotButton="0" quotePrefix="0" xfId="0">
      <alignment horizontal="center" vertical="center"/>
      <protection locked="0" hidden="0"/>
    </xf>
    <xf numFmtId="3" fontId="4" fillId="0" borderId="30" applyAlignment="1" applyProtection="1" pivotButton="0" quotePrefix="0" xfId="0">
      <alignment vertical="center" wrapText="1"/>
      <protection locked="0" hidden="0"/>
    </xf>
    <xf numFmtId="3" fontId="4" fillId="23" borderId="29" applyAlignment="1" applyProtection="1" pivotButton="0" quotePrefix="0" xfId="0">
      <alignment horizontal="right" vertical="center" wrapText="1"/>
      <protection locked="0" hidden="0"/>
    </xf>
    <xf numFmtId="3" fontId="4" fillId="23" borderId="31" applyAlignment="1" applyProtection="1" pivotButton="0" quotePrefix="0" xfId="0">
      <alignment horizontal="right" vertical="center" wrapText="1"/>
      <protection locked="0" hidden="0"/>
    </xf>
    <xf numFmtId="3" fontId="18" fillId="9" borderId="29" applyAlignment="1" applyProtection="1" pivotButton="0" quotePrefix="0" xfId="0">
      <alignment horizontal="right" vertical="center" wrapText="1"/>
      <protection locked="0" hidden="0"/>
    </xf>
    <xf numFmtId="3" fontId="18" fillId="9" borderId="193" applyAlignment="1" applyProtection="1" pivotButton="0" quotePrefix="0" xfId="0">
      <alignment horizontal="right" vertical="center" wrapText="1"/>
      <protection locked="0" hidden="0"/>
    </xf>
    <xf numFmtId="3" fontId="18" fillId="0" borderId="228" applyAlignment="1" pivotButton="0" quotePrefix="0" xfId="0">
      <alignment horizontal="right" vertical="center" wrapText="1"/>
    </xf>
    <xf numFmtId="0" fontId="18" fillId="0" borderId="92" applyAlignment="1" pivotButton="0" quotePrefix="0" xfId="0">
      <alignment horizontal="right" vertical="center"/>
    </xf>
    <xf numFmtId="0" fontId="0" fillId="0" borderId="139" applyAlignment="1" pivotButton="0" quotePrefix="0" xfId="0">
      <alignment vertical="top"/>
    </xf>
    <xf numFmtId="3" fontId="46" fillId="0" borderId="0" pivotButton="0" quotePrefix="0" xfId="0"/>
    <xf numFmtId="165" fontId="115" fillId="0" borderId="139" applyAlignment="1" pivotButton="0" quotePrefix="0" xfId="5">
      <alignment horizontal="right" vertical="center"/>
    </xf>
    <xf numFmtId="49" fontId="18" fillId="0" borderId="23" applyAlignment="1" applyProtection="1" pivotButton="0" quotePrefix="0" xfId="0">
      <alignment horizontal="left" vertical="center" indent="1"/>
      <protection locked="0" hidden="0"/>
    </xf>
    <xf numFmtId="49" fontId="18" fillId="0" borderId="24" applyAlignment="1" applyProtection="1" pivotButton="0" quotePrefix="0" xfId="0">
      <alignment horizontal="left" vertical="center" indent="1"/>
      <protection locked="0" hidden="0"/>
    </xf>
    <xf numFmtId="49" fontId="18" fillId="0" borderId="25" applyAlignment="1" applyProtection="1" pivotButton="0" quotePrefix="0" xfId="0">
      <alignment horizontal="left" vertical="center" indent="1"/>
      <protection locked="0" hidden="0"/>
    </xf>
    <xf numFmtId="0" fontId="18" fillId="0" borderId="23" applyAlignment="1" applyProtection="1" pivotButton="0" quotePrefix="0" xfId="0">
      <alignment horizontal="left" vertical="center" indent="1"/>
      <protection locked="0" hidden="0"/>
    </xf>
    <xf numFmtId="0" fontId="18" fillId="0" borderId="24" applyAlignment="1" applyProtection="1" pivotButton="0" quotePrefix="0" xfId="0">
      <alignment horizontal="left" vertical="center" indent="1"/>
      <protection locked="0" hidden="0"/>
    </xf>
    <xf numFmtId="0" fontId="18" fillId="0" borderId="25" applyAlignment="1" applyProtection="1" pivotButton="0" quotePrefix="0" xfId="0">
      <alignment horizontal="left" vertical="center" indent="1"/>
      <protection locked="0" hidden="0"/>
    </xf>
    <xf numFmtId="14" fontId="18" fillId="0" borderId="48" applyAlignment="1" pivotButton="0" quotePrefix="0" xfId="0">
      <alignment vertical="center"/>
    </xf>
    <xf numFmtId="0" fontId="27" fillId="23" borderId="139" applyAlignment="1" pivotButton="0" quotePrefix="0" xfId="0">
      <alignment wrapText="1"/>
    </xf>
    <xf numFmtId="168" fontId="27" fillId="23" borderId="139" applyAlignment="1" pivotButton="0" quotePrefix="0" xfId="7">
      <alignment wrapText="1"/>
    </xf>
    <xf numFmtId="0" fontId="26" fillId="23" borderId="140" applyAlignment="1" pivotButton="0" quotePrefix="0" xfId="0">
      <alignment horizontal="center" wrapText="1"/>
    </xf>
    <xf numFmtId="2" fontId="27" fillId="23" borderId="139" applyAlignment="1" pivotButton="0" quotePrefix="0" xfId="0">
      <alignment wrapText="1"/>
    </xf>
    <xf numFmtId="3" fontId="27" fillId="23" borderId="139" applyAlignment="1" pivotButton="0" quotePrefix="0" xfId="0">
      <alignment wrapText="1"/>
    </xf>
    <xf numFmtId="3" fontId="27" fillId="23" borderId="139" applyAlignment="1" pivotButton="0" quotePrefix="0" xfId="0">
      <alignment horizontal="center" wrapText="1"/>
    </xf>
    <xf numFmtId="0" fontId="27" fillId="23" borderId="139" applyAlignment="1" pivotButton="0" quotePrefix="0" xfId="0">
      <alignment horizontal="center" wrapText="1"/>
    </xf>
    <xf numFmtId="0" fontId="27" fillId="23" borderId="141" applyAlignment="1" pivotButton="0" quotePrefix="0" xfId="0">
      <alignment horizontal="center" wrapText="1"/>
    </xf>
    <xf numFmtId="14" fontId="0" fillId="23" borderId="139" applyAlignment="1" pivotButton="0" quotePrefix="0" xfId="0">
      <alignment vertical="top"/>
    </xf>
    <xf numFmtId="3" fontId="22" fillId="23" borderId="139" pivotButton="0" quotePrefix="0" xfId="0"/>
    <xf numFmtId="0" fontId="26" fillId="23" borderId="140" applyAlignment="1" pivotButton="0" quotePrefix="0" xfId="0">
      <alignment horizontal="right"/>
    </xf>
    <xf numFmtId="3" fontId="27" fillId="23" borderId="139" pivotButton="0" quotePrefix="0" xfId="0"/>
    <xf numFmtId="0" fontId="0" fillId="23" borderId="140" pivotButton="0" quotePrefix="0" xfId="0"/>
    <xf numFmtId="3" fontId="22" fillId="23" borderId="141" pivotButton="0" quotePrefix="0" xfId="0"/>
    <xf numFmtId="3" fontId="27" fillId="23" borderId="141" pivotButton="0" quotePrefix="0" xfId="0"/>
    <xf numFmtId="3" fontId="0" fillId="23" borderId="139" pivotButton="0" quotePrefix="0" xfId="0"/>
    <xf numFmtId="0" fontId="5" fillId="0" borderId="63" pivotButton="0" quotePrefix="1" xfId="0"/>
    <xf numFmtId="3" fontId="4" fillId="23" borderId="29" applyAlignment="1" applyProtection="1" pivotButton="0" quotePrefix="0" xfId="0">
      <alignment vertical="center" wrapText="1"/>
      <protection locked="0" hidden="0"/>
    </xf>
    <xf numFmtId="49" fontId="4" fillId="23" borderId="25" applyAlignment="1" applyProtection="1" pivotButton="0" quotePrefix="0" xfId="0">
      <alignment horizontal="center" vertical="center" wrapText="1"/>
      <protection locked="0" hidden="0"/>
    </xf>
    <xf numFmtId="3" fontId="18" fillId="23" borderId="29" applyAlignment="1" applyProtection="1" pivotButton="0" quotePrefix="0" xfId="0">
      <alignment vertical="center" wrapText="1"/>
      <protection locked="0" hidden="0"/>
    </xf>
    <xf numFmtId="3" fontId="18" fillId="23" borderId="29" applyAlignment="1" pivotButton="0" quotePrefix="0" xfId="0">
      <alignment vertical="center" wrapText="1"/>
    </xf>
    <xf numFmtId="49" fontId="3" fillId="0" borderId="177" applyAlignment="1" applyProtection="1" pivotButton="0" quotePrefix="0" xfId="0">
      <alignment horizontal="left"/>
      <protection locked="0" hidden="0"/>
    </xf>
    <xf numFmtId="0" fontId="52" fillId="0" borderId="0" applyAlignment="1" pivotButton="0" quotePrefix="0" xfId="0">
      <alignment vertical="center" wrapText="1"/>
    </xf>
    <xf numFmtId="0" fontId="18" fillId="23" borderId="42" applyAlignment="1" pivotButton="0" quotePrefix="0" xfId="0">
      <alignment horizontal="left" vertical="center"/>
    </xf>
    <xf numFmtId="0" fontId="23" fillId="0" borderId="139" applyAlignment="1" pivotButton="0" quotePrefix="0" xfId="0">
      <alignment wrapText="1"/>
    </xf>
    <xf numFmtId="3" fontId="23" fillId="0" borderId="193" applyAlignment="1" applyProtection="1" pivotButton="0" quotePrefix="0" xfId="0">
      <alignment horizontal="right" vertical="center"/>
      <protection locked="0" hidden="0"/>
    </xf>
    <xf numFmtId="3" fontId="0" fillId="0" borderId="0" applyAlignment="1" pivotButton="0" quotePrefix="0" xfId="0">
      <alignment horizontal="center"/>
    </xf>
    <xf numFmtId="0" fontId="16" fillId="0" borderId="57" applyAlignment="1" pivotButton="0" quotePrefix="0" xfId="0">
      <alignment horizontal="left" vertical="center"/>
    </xf>
    <xf numFmtId="0" fontId="0" fillId="0" borderId="0" pivotButton="0" quotePrefix="1" xfId="0"/>
    <xf numFmtId="0" fontId="0" fillId="25" borderId="0" applyAlignment="1" pivotButton="0" quotePrefix="0" xfId="0">
      <alignment vertical="top"/>
    </xf>
    <xf numFmtId="4" fontId="0" fillId="25" borderId="0" applyAlignment="1" pivotButton="0" quotePrefix="0" xfId="0">
      <alignment vertical="top"/>
    </xf>
    <xf numFmtId="3" fontId="24" fillId="0" borderId="96" applyProtection="1" pivotButton="0" quotePrefix="0" xfId="0">
      <protection locked="0" hidden="0"/>
    </xf>
    <xf numFmtId="168" fontId="24" fillId="0" borderId="96" pivotButton="0" quotePrefix="0" xfId="7"/>
    <xf numFmtId="165" fontId="115" fillId="0" borderId="294" applyAlignment="1" pivotButton="0" quotePrefix="0" xfId="5">
      <alignment horizontal="right" vertical="center"/>
    </xf>
    <xf numFmtId="165" fontId="9" fillId="0" borderId="139" pivotButton="0" quotePrefix="0" xfId="0"/>
    <xf numFmtId="0" fontId="114" fillId="0" borderId="139" applyAlignment="1" pivotButton="0" quotePrefix="0" xfId="6">
      <alignment horizontal="center"/>
    </xf>
    <xf numFmtId="0" fontId="114" fillId="0" borderId="294" applyAlignment="1" pivotButton="0" quotePrefix="0" xfId="6">
      <alignment horizontal="center"/>
    </xf>
    <xf numFmtId="0" fontId="0" fillId="0" borderId="139" applyAlignment="1" pivotButton="0" quotePrefix="0" xfId="0">
      <alignment horizontal="center"/>
    </xf>
    <xf numFmtId="4" fontId="0" fillId="0" borderId="0" applyAlignment="1" pivotButton="0" quotePrefix="0" xfId="0">
      <alignment vertical="top"/>
    </xf>
    <xf numFmtId="168" fontId="116" fillId="9" borderId="139" pivotButton="0" quotePrefix="0" xfId="7"/>
    <xf numFmtId="168" fontId="116" fillId="6" borderId="139" pivotButton="0" quotePrefix="0" xfId="7"/>
    <xf numFmtId="3" fontId="25" fillId="7" borderId="29" applyAlignment="1" pivotButton="0" quotePrefix="0" xfId="0">
      <alignment vertical="center" wrapText="1"/>
    </xf>
    <xf numFmtId="0" fontId="11" fillId="0" borderId="49" applyAlignment="1" applyProtection="1" pivotButton="0" quotePrefix="0" xfId="0">
      <alignment horizontal="left" vertical="center" indent="1"/>
      <protection locked="0" hidden="0"/>
    </xf>
    <xf numFmtId="0" fontId="11" fillId="0" borderId="49" applyAlignment="1" applyProtection="1" pivotButton="0" quotePrefix="0" xfId="0">
      <alignment vertical="center" wrapText="1"/>
      <protection locked="0" hidden="0"/>
    </xf>
    <xf numFmtId="10" fontId="11" fillId="0" borderId="49" applyAlignment="1" applyProtection="1" pivotButton="0" quotePrefix="0" xfId="4">
      <alignment horizontal="center" vertical="center" wrapText="1"/>
      <protection locked="0" hidden="0"/>
    </xf>
    <xf numFmtId="168" fontId="11" fillId="0" borderId="139" pivotButton="0" quotePrefix="0" xfId="7"/>
    <xf numFmtId="0" fontId="3" fillId="11" borderId="234" applyAlignment="1" pivotButton="0" quotePrefix="0" xfId="0">
      <alignment horizontal="center" vertical="center"/>
    </xf>
    <xf numFmtId="0" fontId="3" fillId="11" borderId="297" applyAlignment="1" pivotButton="0" quotePrefix="0" xfId="0">
      <alignment horizontal="center" vertical="center"/>
    </xf>
    <xf numFmtId="168" fontId="27" fillId="23" borderId="139" applyAlignment="1" pivotButton="0" quotePrefix="0" xfId="7">
      <alignment horizontal="center" vertical="center" wrapText="1"/>
    </xf>
    <xf numFmtId="2" fontId="27" fillId="23" borderId="139" applyAlignment="1" pivotButton="0" quotePrefix="0" xfId="0">
      <alignment horizontal="center" vertical="center" wrapText="1"/>
    </xf>
    <xf numFmtId="0" fontId="27" fillId="23" borderId="139" applyAlignment="1" pivotButton="0" quotePrefix="0" xfId="0">
      <alignment horizontal="center" vertical="center" wrapText="1"/>
    </xf>
    <xf numFmtId="3" fontId="27" fillId="23" borderId="139" applyAlignment="1" pivotButton="0" quotePrefix="0" xfId="0">
      <alignment horizontal="center" vertical="center" wrapText="1"/>
    </xf>
    <xf numFmtId="9" fontId="0" fillId="23" borderId="139" applyAlignment="1" pivotButton="0" quotePrefix="0" xfId="0">
      <alignment horizontal="center"/>
    </xf>
    <xf numFmtId="3" fontId="0" fillId="23" borderId="139" applyAlignment="1" pivotButton="0" quotePrefix="0" xfId="0">
      <alignment horizontal="center" vertical="top"/>
    </xf>
    <xf numFmtId="3" fontId="27" fillId="23" borderId="139" applyAlignment="1" pivotButton="0" quotePrefix="0" xfId="0">
      <alignment horizontal="center"/>
    </xf>
    <xf numFmtId="0" fontId="16" fillId="0" borderId="42" applyAlignment="1" pivotButton="0" quotePrefix="0" xfId="0">
      <alignment horizontal="left" vertical="center"/>
    </xf>
    <xf numFmtId="0" fontId="16" fillId="0" borderId="22" applyAlignment="1" pivotButton="0" quotePrefix="0" xfId="0">
      <alignment horizontal="left" vertical="center"/>
    </xf>
    <xf numFmtId="0" fontId="72" fillId="23" borderId="49" applyAlignment="1" applyProtection="1" pivotButton="0" quotePrefix="0" xfId="0">
      <alignment horizontal="center" vertical="center"/>
      <protection locked="0" hidden="0"/>
    </xf>
    <xf numFmtId="0" fontId="72" fillId="23" borderId="49" applyAlignment="1" applyProtection="1" pivotButton="0" quotePrefix="0" xfId="0">
      <alignment horizontal="center" vertical="center" wrapText="1"/>
      <protection locked="0" hidden="0"/>
    </xf>
    <xf numFmtId="168" fontId="11" fillId="0" borderId="49" applyAlignment="1" applyProtection="1" pivotButton="0" quotePrefix="0" xfId="7">
      <alignment vertical="center" wrapText="1"/>
      <protection locked="0" hidden="0"/>
    </xf>
    <xf numFmtId="14" fontId="18" fillId="0" borderId="57" applyAlignment="1" pivotButton="0" quotePrefix="0" xfId="0">
      <alignment vertical="center"/>
    </xf>
    <xf numFmtId="0" fontId="114" fillId="0" borderId="132" pivotButton="0" quotePrefix="0" xfId="6"/>
    <xf numFmtId="0" fontId="114" fillId="0" borderId="140" pivotButton="0" quotePrefix="0" xfId="6"/>
    <xf numFmtId="0" fontId="0" fillId="0" borderId="140" pivotButton="0" quotePrefix="0" xfId="0"/>
    <xf numFmtId="0" fontId="3" fillId="0" borderId="139" applyAlignment="1" applyProtection="1" pivotButton="0" quotePrefix="0" xfId="0">
      <alignment horizontal="center" vertical="center"/>
      <protection locked="0" hidden="0"/>
    </xf>
    <xf numFmtId="0" fontId="3" fillId="0" borderId="298" applyAlignment="1" applyProtection="1" pivotButton="0" quotePrefix="0" xfId="0">
      <alignment horizontal="center" vertical="center"/>
      <protection locked="0" hidden="0"/>
    </xf>
    <xf numFmtId="0" fontId="3" fillId="0" borderId="299" applyAlignment="1" applyProtection="1" pivotButton="0" quotePrefix="0" xfId="0">
      <alignment horizontal="center" vertical="center"/>
      <protection locked="0" hidden="0"/>
    </xf>
    <xf numFmtId="0" fontId="3" fillId="0" borderId="141" applyAlignment="1" applyProtection="1" pivotButton="0" quotePrefix="0" xfId="0">
      <alignment horizontal="center" vertical="center"/>
      <protection locked="0" hidden="0"/>
    </xf>
    <xf numFmtId="0" fontId="3" fillId="0" borderId="139" applyAlignment="1" applyProtection="1" pivotButton="0" quotePrefix="0" xfId="0">
      <alignment horizontal="center" vertical="center" wrapText="1"/>
      <protection locked="0" hidden="0"/>
    </xf>
    <xf numFmtId="0" fontId="3" fillId="0" borderId="136" applyAlignment="1" applyProtection="1" pivotButton="0" quotePrefix="0" xfId="0">
      <alignment horizontal="center" vertical="center"/>
      <protection locked="0" hidden="0"/>
    </xf>
    <xf numFmtId="0" fontId="3" fillId="0" borderId="300" applyAlignment="1" applyProtection="1" pivotButton="0" quotePrefix="0" xfId="0">
      <alignment horizontal="center" vertical="center"/>
      <protection locked="0" hidden="0"/>
    </xf>
    <xf numFmtId="0" fontId="72" fillId="0" borderId="49" applyAlignment="1" applyProtection="1" pivotButton="0" quotePrefix="0" xfId="0">
      <alignment horizontal="center" vertical="center"/>
      <protection locked="0" hidden="0"/>
    </xf>
    <xf numFmtId="3" fontId="22" fillId="23" borderId="139" applyAlignment="1" pivotButton="0" quotePrefix="0" xfId="0">
      <alignment horizontal="center" wrapText="1"/>
    </xf>
    <xf numFmtId="0" fontId="23" fillId="0" borderId="46" applyAlignment="1" applyProtection="1" pivotButton="0" quotePrefix="0" xfId="0">
      <alignment horizontal="center" vertical="center" wrapText="1"/>
      <protection locked="0" hidden="0"/>
    </xf>
    <xf numFmtId="0" fontId="23" fillId="0" borderId="47" applyAlignment="1" applyProtection="1" pivotButton="0" quotePrefix="0" xfId="0">
      <alignment horizontal="center" vertical="center" wrapText="1"/>
      <protection locked="0" hidden="0"/>
    </xf>
    <xf numFmtId="0" fontId="91" fillId="0" borderId="0" applyAlignment="1" pivotButton="0" quotePrefix="0" xfId="0">
      <alignment horizontal="center" vertical="center" wrapText="1"/>
    </xf>
    <xf numFmtId="0" fontId="0" fillId="0" borderId="0" pivotButton="0" quotePrefix="0" xfId="0"/>
    <xf numFmtId="0" fontId="0" fillId="0" borderId="5" applyProtection="1" pivotButton="0" quotePrefix="0" xfId="0">
      <protection locked="0" hidden="0"/>
    </xf>
    <xf numFmtId="0" fontId="0" fillId="0" borderId="6" applyProtection="1" pivotButton="0" quotePrefix="0" xfId="0">
      <protection locked="0" hidden="0"/>
    </xf>
    <xf numFmtId="0" fontId="0" fillId="0" borderId="9" applyProtection="1" pivotButton="0" quotePrefix="0" xfId="0">
      <protection locked="0" hidden="0"/>
    </xf>
    <xf numFmtId="0" fontId="0" fillId="0" borderId="0" applyProtection="1" pivotButton="0" quotePrefix="0" xfId="0">
      <protection locked="0" hidden="0"/>
    </xf>
    <xf numFmtId="0" fontId="86" fillId="0" borderId="0" applyAlignment="1" applyProtection="1" pivotButton="0" quotePrefix="0" xfId="0">
      <alignment horizontal="center"/>
      <protection locked="0" hidden="0"/>
    </xf>
    <xf numFmtId="0" fontId="84" fillId="0" borderId="9" applyAlignment="1" applyProtection="1" pivotButton="0" quotePrefix="0" xfId="0">
      <alignment horizontal="center"/>
      <protection locked="0" hidden="0"/>
    </xf>
    <xf numFmtId="0" fontId="84" fillId="0" borderId="0" applyAlignment="1" applyProtection="1" pivotButton="0" quotePrefix="0" xfId="0">
      <alignment horizontal="center"/>
      <protection locked="0" hidden="0"/>
    </xf>
    <xf numFmtId="0" fontId="6" fillId="0" borderId="0" applyAlignment="1" applyProtection="1" pivotButton="0" quotePrefix="0" xfId="0">
      <alignment horizontal="center" vertical="center" wrapText="1"/>
      <protection locked="0" hidden="0"/>
    </xf>
    <xf numFmtId="0" fontId="85" fillId="0" borderId="0" applyAlignment="1" applyProtection="1" pivotButton="0" quotePrefix="0" xfId="0">
      <alignment horizontal="center"/>
      <protection locked="0" hidden="0"/>
    </xf>
    <xf numFmtId="0" fontId="87" fillId="0" borderId="0" applyAlignment="1" applyProtection="1" pivotButton="0" quotePrefix="0" xfId="0">
      <alignment horizontal="center" vertical="center"/>
      <protection locked="0" hidden="0"/>
    </xf>
    <xf numFmtId="0" fontId="9" fillId="0" borderId="0" applyAlignment="1" pivotButton="0" quotePrefix="0" xfId="0">
      <alignment horizontal="center"/>
    </xf>
    <xf numFmtId="0" fontId="6" fillId="0" borderId="0" applyAlignment="1" pivotButton="0" quotePrefix="0" xfId="0">
      <alignment horizontal="center" vertical="center" wrapText="1"/>
    </xf>
    <xf numFmtId="0" fontId="9" fillId="0" borderId="22" applyAlignment="1" applyProtection="1" pivotButton="0" quotePrefix="0" xfId="0">
      <alignment horizontal="left" vertical="center"/>
      <protection locked="0" hidden="0"/>
    </xf>
    <xf numFmtId="0" fontId="0" fillId="0" borderId="22" applyProtection="1" pivotButton="0" quotePrefix="0" xfId="0">
      <protection locked="0" hidden="0"/>
    </xf>
    <xf numFmtId="0" fontId="13" fillId="0" borderId="0" applyAlignment="1" pivotButton="0" quotePrefix="0" xfId="0">
      <alignment horizontal="center"/>
    </xf>
    <xf numFmtId="0" fontId="0" fillId="0" borderId="37" applyAlignment="1" pivotButton="0" quotePrefix="0" xfId="0">
      <alignment horizontal="center"/>
    </xf>
    <xf numFmtId="0" fontId="0" fillId="0" borderId="21" pivotButton="0" quotePrefix="0" xfId="0"/>
    <xf numFmtId="0" fontId="0" fillId="0" borderId="26" pivotButton="0" quotePrefix="0" xfId="0"/>
    <xf numFmtId="0" fontId="0" fillId="0" borderId="27" pivotButton="0" quotePrefix="0" xfId="0"/>
    <xf numFmtId="0" fontId="0" fillId="0" borderId="28" pivotButton="0" quotePrefix="0" xfId="0"/>
    <xf numFmtId="0" fontId="13" fillId="0" borderId="0" applyAlignment="1" applyProtection="1" pivotButton="0" quotePrefix="0" xfId="0">
      <alignment horizontal="center" vertical="center"/>
      <protection locked="0" hidden="0"/>
    </xf>
    <xf numFmtId="0" fontId="1" fillId="0" borderId="31" applyAlignment="1" pivotButton="0" quotePrefix="0" xfId="0">
      <alignment horizontal="center" vertical="top"/>
    </xf>
    <xf numFmtId="0" fontId="0" fillId="0" borderId="18" pivotButton="0" quotePrefix="0" xfId="0"/>
    <xf numFmtId="0" fontId="0" fillId="0" borderId="19" pivotButton="0" quotePrefix="0" xfId="0"/>
    <xf numFmtId="14" fontId="9" fillId="0" borderId="22" applyAlignment="1" applyProtection="1" pivotButton="0" quotePrefix="0" xfId="0">
      <alignment horizontal="center" vertical="center"/>
      <protection locked="0" hidden="0"/>
    </xf>
    <xf numFmtId="0" fontId="1" fillId="0" borderId="31" applyAlignment="1" pivotButton="0" quotePrefix="0" xfId="0">
      <alignment horizontal="center" vertical="top" wrapText="1"/>
    </xf>
    <xf numFmtId="0" fontId="10" fillId="0" borderId="24" applyAlignment="1" pivotButton="0" quotePrefix="0" xfId="0">
      <alignment horizontal="center" vertical="center"/>
    </xf>
    <xf numFmtId="0" fontId="0" fillId="0" borderId="24" pivotButton="0" quotePrefix="0" xfId="0"/>
    <xf numFmtId="0" fontId="14" fillId="0" borderId="37" applyAlignment="1" applyProtection="1" pivotButton="0" quotePrefix="0" xfId="0">
      <alignment horizontal="center" vertical="center"/>
      <protection locked="0" hidden="0"/>
    </xf>
    <xf numFmtId="0" fontId="0" fillId="0" borderId="21" applyProtection="1" pivotButton="0" quotePrefix="0" xfId="0">
      <protection locked="0" hidden="0"/>
    </xf>
    <xf numFmtId="0" fontId="0" fillId="0" borderId="20" applyProtection="1" pivotButton="0" quotePrefix="0" xfId="0">
      <protection locked="0" hidden="0"/>
    </xf>
    <xf numFmtId="0" fontId="0" fillId="0" borderId="26" applyProtection="1" pivotButton="0" quotePrefix="0" xfId="0">
      <protection locked="0" hidden="0"/>
    </xf>
    <xf numFmtId="0" fontId="0" fillId="0" borderId="27" applyProtection="1" pivotButton="0" quotePrefix="0" xfId="0">
      <protection locked="0" hidden="0"/>
    </xf>
    <xf numFmtId="0" fontId="0" fillId="0" borderId="28" applyProtection="1" pivotButton="0" quotePrefix="0" xfId="0">
      <protection locked="0" hidden="0"/>
    </xf>
    <xf numFmtId="0" fontId="17" fillId="0" borderId="53" applyAlignment="1" pivotButton="0" quotePrefix="0" xfId="0">
      <alignment horizontal="center" vertical="center"/>
    </xf>
    <xf numFmtId="0" fontId="0" fillId="0" borderId="53" pivotButton="0" quotePrefix="0" xfId="0"/>
    <xf numFmtId="0" fontId="13" fillId="0" borderId="0" applyAlignment="1" applyProtection="1" pivotButton="0" quotePrefix="0" xfId="0">
      <alignment horizontal="center"/>
      <protection locked="0" hidden="0"/>
    </xf>
    <xf numFmtId="0" fontId="9" fillId="0" borderId="22" applyAlignment="1" applyProtection="1" pivotButton="0" quotePrefix="0" xfId="0">
      <alignment horizontal="center" vertical="center"/>
      <protection locked="0" hidden="0"/>
    </xf>
    <xf numFmtId="0" fontId="9" fillId="0" borderId="0" applyAlignment="1" pivotButton="0" quotePrefix="0" xfId="0">
      <alignment horizontal="center" vertical="center"/>
    </xf>
    <xf numFmtId="0" fontId="9" fillId="0" borderId="32" applyAlignment="1" applyProtection="1" pivotButton="0" quotePrefix="0" xfId="0">
      <alignment horizontal="left"/>
      <protection locked="0" hidden="0"/>
    </xf>
    <xf numFmtId="0" fontId="0" fillId="0" borderId="32" applyProtection="1" pivotButton="0" quotePrefix="0" xfId="0">
      <protection locked="0" hidden="0"/>
    </xf>
    <xf numFmtId="49" fontId="93" fillId="23" borderId="0" applyAlignment="1" pivotButton="0" quotePrefix="0" xfId="0">
      <alignment horizontal="center" vertical="center"/>
    </xf>
    <xf numFmtId="49" fontId="93" fillId="23" borderId="0" applyAlignment="1" applyProtection="1" pivotButton="0" quotePrefix="0" xfId="0">
      <alignment horizontal="center" vertical="center"/>
      <protection locked="0" hidden="0"/>
    </xf>
    <xf numFmtId="0" fontId="93" fillId="23" borderId="0" applyAlignment="1" pivotButton="0" quotePrefix="0" xfId="0">
      <alignment horizontal="left" wrapText="1"/>
    </xf>
    <xf numFmtId="0" fontId="94" fillId="23" borderId="0" applyAlignment="1" pivotButton="0" quotePrefix="0" xfId="2">
      <alignment horizontal="center" vertical="center" wrapText="1"/>
    </xf>
    <xf numFmtId="0" fontId="96" fillId="23" borderId="0" applyAlignment="1" pivotButton="0" quotePrefix="0" xfId="0">
      <alignment horizontal="center" vertical="center" wrapText="1"/>
    </xf>
    <xf numFmtId="0" fontId="94" fillId="23" borderId="0" applyAlignment="1" pivotButton="0" quotePrefix="0" xfId="2">
      <alignment horizontal="left" vertical="center" wrapText="1"/>
    </xf>
    <xf numFmtId="0" fontId="27" fillId="11" borderId="29" applyAlignment="1" pivotButton="0" quotePrefix="0" xfId="2">
      <alignment horizontal="center" vertical="center" wrapText="1"/>
    </xf>
    <xf numFmtId="0" fontId="0" fillId="0" borderId="25" pivotButton="0" quotePrefix="0" xfId="0"/>
    <xf numFmtId="49" fontId="8" fillId="0" borderId="0" applyAlignment="1" applyProtection="1" pivotButton="0" quotePrefix="0" xfId="0">
      <alignment horizontal="center" vertical="center"/>
      <protection locked="0" hidden="0"/>
    </xf>
    <xf numFmtId="0" fontId="18" fillId="0" borderId="42" applyAlignment="1" pivotButton="0" quotePrefix="0" xfId="0">
      <alignment horizontal="left" vertical="center"/>
    </xf>
    <xf numFmtId="0" fontId="0" fillId="0" borderId="42" pivotButton="0" quotePrefix="0" xfId="0"/>
    <xf numFmtId="0" fontId="16" fillId="0" borderId="57" applyAlignment="1" pivotButton="0" quotePrefix="0" xfId="0">
      <alignment horizontal="left" vertical="center"/>
    </xf>
    <xf numFmtId="0" fontId="0" fillId="0" borderId="57" pivotButton="0" quotePrefix="0" xfId="0"/>
    <xf numFmtId="0" fontId="18" fillId="0" borderId="57" applyAlignment="1" pivotButton="0" quotePrefix="0" xfId="0">
      <alignment horizontal="left" vertical="center"/>
    </xf>
    <xf numFmtId="0" fontId="59" fillId="0" borderId="0" applyAlignment="1" pivotButton="0" quotePrefix="0" xfId="0">
      <alignment horizontal="left" vertical="center"/>
    </xf>
    <xf numFmtId="0" fontId="4" fillId="0" borderId="48" applyAlignment="1" pivotButton="0" quotePrefix="0" xfId="0">
      <alignment horizontal="center" vertical="center"/>
    </xf>
    <xf numFmtId="0" fontId="0" fillId="0" borderId="48" pivotButton="0" quotePrefix="0" xfId="0"/>
    <xf numFmtId="0" fontId="19" fillId="0" borderId="0" applyAlignment="1" pivotButton="0" quotePrefix="0" xfId="0">
      <alignment horizontal="center" vertical="center" wrapText="1"/>
    </xf>
    <xf numFmtId="0" fontId="18" fillId="0" borderId="42" applyAlignment="1" pivotButton="0" quotePrefix="0" xfId="0">
      <alignment horizontal="center" vertical="center"/>
    </xf>
    <xf numFmtId="49" fontId="56" fillId="0" borderId="29" applyAlignment="1" pivotButton="0" quotePrefix="0" xfId="0">
      <alignment horizontal="center" vertical="center" wrapText="1"/>
    </xf>
    <xf numFmtId="0" fontId="62" fillId="0" borderId="22" applyAlignment="1" pivotButton="0" quotePrefix="0" xfId="0">
      <alignment horizontal="left" vertical="center"/>
    </xf>
    <xf numFmtId="0" fontId="0" fillId="0" borderId="22" pivotButton="0" quotePrefix="0" xfId="0"/>
    <xf numFmtId="0" fontId="0" fillId="0" borderId="306" applyAlignment="1" pivotButton="0" quotePrefix="0" xfId="0">
      <alignment horizontal="left" vertical="top" wrapText="1"/>
    </xf>
    <xf numFmtId="0" fontId="0" fillId="0" borderId="156" pivotButton="0" quotePrefix="0" xfId="0"/>
    <xf numFmtId="0" fontId="0" fillId="0" borderId="159" pivotButton="0" quotePrefix="0" xfId="0"/>
    <xf numFmtId="0" fontId="0" fillId="0" borderId="156" applyAlignment="1" pivotButton="0" quotePrefix="0" xfId="0">
      <alignment horizontal="left" vertical="top" wrapText="1"/>
    </xf>
    <xf numFmtId="0" fontId="0" fillId="0" borderId="163" applyAlignment="1" pivotButton="0" quotePrefix="0" xfId="0">
      <alignment horizontal="left" vertical="top" wrapText="1"/>
    </xf>
    <xf numFmtId="0" fontId="0" fillId="0" borderId="166" pivotButton="0" quotePrefix="0" xfId="0"/>
    <xf numFmtId="0" fontId="0" fillId="0" borderId="163" pivotButton="0" quotePrefix="0" xfId="0"/>
    <xf numFmtId="0" fontId="0" fillId="0" borderId="302" applyAlignment="1" pivotButton="0" quotePrefix="0" xfId="0">
      <alignment horizontal="center" vertical="top" wrapText="1"/>
    </xf>
    <xf numFmtId="0" fontId="0" fillId="0" borderId="161" pivotButton="0" quotePrefix="0" xfId="0"/>
    <xf numFmtId="0" fontId="0" fillId="0" borderId="162" pivotButton="0" quotePrefix="0" xfId="0"/>
    <xf numFmtId="0" fontId="32" fillId="0" borderId="301" applyAlignment="1" pivotButton="0" quotePrefix="0" xfId="0">
      <alignment horizontal="center" vertical="top" wrapText="1"/>
    </xf>
    <xf numFmtId="0" fontId="0" fillId="0" borderId="2" pivotButton="0" quotePrefix="0" xfId="0"/>
    <xf numFmtId="0" fontId="0" fillId="0" borderId="3"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172" applyAlignment="1" pivotButton="0" quotePrefix="0" xfId="0">
      <alignment horizontal="left" vertical="top" wrapText="1"/>
    </xf>
    <xf numFmtId="0" fontId="0" fillId="0" borderId="172" pivotButton="0" quotePrefix="0" xfId="0"/>
    <xf numFmtId="0" fontId="0" fillId="0" borderId="170" applyAlignment="1" pivotButton="0" quotePrefix="0" xfId="0">
      <alignment horizontal="left" vertical="top" wrapText="1"/>
    </xf>
    <xf numFmtId="0" fontId="0" fillId="0" borderId="170" pivotButton="0" quotePrefix="0" xfId="0"/>
    <xf numFmtId="0" fontId="0" fillId="24" borderId="305" applyAlignment="1" pivotButton="0" quotePrefix="0" xfId="0">
      <alignment horizontal="left" vertical="top" wrapText="1"/>
    </xf>
    <xf numFmtId="0" fontId="0" fillId="0" borderId="0" applyAlignment="1" pivotButton="0" quotePrefix="0" xfId="0">
      <alignment horizontal="left" vertical="top"/>
    </xf>
    <xf numFmtId="0" fontId="0" fillId="0" borderId="303" applyAlignment="1" pivotButton="0" quotePrefix="0" xfId="0">
      <alignment horizontal="left" vertical="top" wrapText="1"/>
    </xf>
    <xf numFmtId="0" fontId="0" fillId="0" borderId="156" applyAlignment="1" pivotButton="0" quotePrefix="0" xfId="0">
      <alignment horizontal="left" vertical="top"/>
    </xf>
    <xf numFmtId="49" fontId="18" fillId="0" borderId="29" applyAlignment="1" applyProtection="1" pivotButton="0" quotePrefix="0" xfId="0">
      <alignment horizontal="left" vertical="center" indent="1"/>
      <protection locked="0" hidden="0"/>
    </xf>
    <xf numFmtId="0" fontId="0" fillId="0" borderId="24" applyProtection="1" pivotButton="0" quotePrefix="0" xfId="0">
      <protection locked="0" hidden="0"/>
    </xf>
    <xf numFmtId="0" fontId="0" fillId="0" borderId="25" applyProtection="1" pivotButton="0" quotePrefix="0" xfId="0">
      <protection locked="0" hidden="0"/>
    </xf>
    <xf numFmtId="0" fontId="1" fillId="0" borderId="18" applyAlignment="1" pivotButton="0" quotePrefix="0" xfId="0">
      <alignment horizontal="center" vertical="center"/>
    </xf>
    <xf numFmtId="14" fontId="18" fillId="0" borderId="78" applyAlignment="1" applyProtection="1" pivotButton="0" quotePrefix="0" xfId="0">
      <alignment horizontal="center" vertical="center"/>
      <protection locked="0" hidden="0"/>
    </xf>
    <xf numFmtId="0" fontId="0" fillId="0" borderId="66" applyProtection="1" pivotButton="0" quotePrefix="0" xfId="0">
      <protection locked="0" hidden="0"/>
    </xf>
    <xf numFmtId="0" fontId="0" fillId="0" borderId="78" applyProtection="1" pivotButton="0" quotePrefix="0" xfId="0">
      <protection locked="0" hidden="0"/>
    </xf>
    <xf numFmtId="0" fontId="18" fillId="0" borderId="29" applyAlignment="1" applyProtection="1" pivotButton="0" quotePrefix="0" xfId="0">
      <alignment horizontal="left" vertical="center" indent="1"/>
      <protection locked="0" hidden="0"/>
    </xf>
    <xf numFmtId="0" fontId="18" fillId="0" borderId="37" applyAlignment="1" applyProtection="1" pivotButton="0" quotePrefix="0" xfId="0">
      <alignment horizontal="center" vertical="center"/>
      <protection locked="0" hidden="0"/>
    </xf>
    <xf numFmtId="0" fontId="1" fillId="0" borderId="19" applyAlignment="1" pivotButton="0" quotePrefix="0" xfId="0">
      <alignment horizontal="center" vertical="center"/>
    </xf>
    <xf numFmtId="0" fontId="4" fillId="0" borderId="21" applyAlignment="1" applyProtection="1" pivotButton="0" quotePrefix="0" xfId="0">
      <alignment horizontal="center" vertical="top"/>
      <protection locked="0" hidden="0"/>
    </xf>
    <xf numFmtId="0" fontId="16" fillId="10" borderId="112" applyAlignment="1" pivotButton="0" quotePrefix="0" xfId="0">
      <alignment horizontal="center" vertical="center"/>
    </xf>
    <xf numFmtId="0" fontId="0" fillId="0" borderId="77" pivotButton="0" quotePrefix="0" xfId="0"/>
    <xf numFmtId="49" fontId="18" fillId="0" borderId="37" applyAlignment="1" applyProtection="1" pivotButton="0" quotePrefix="0" xfId="0">
      <alignment horizontal="center" vertical="center"/>
      <protection locked="0" hidden="0"/>
    </xf>
    <xf numFmtId="14" fontId="18" fillId="0" borderId="66" applyAlignment="1" applyProtection="1" pivotButton="0" quotePrefix="0" xfId="0">
      <alignment horizontal="center" vertical="center"/>
      <protection locked="0" hidden="0"/>
    </xf>
    <xf numFmtId="49" fontId="1" fillId="0" borderId="29" applyAlignment="1" pivotButton="0" quotePrefix="0" xfId="0">
      <alignment horizontal="center" vertical="center" wrapText="1"/>
    </xf>
    <xf numFmtId="49" fontId="18" fillId="0" borderId="29" applyAlignment="1" applyProtection="1" pivotButton="0" quotePrefix="1" xfId="0">
      <alignment horizontal="left" vertical="center" indent="1"/>
      <protection locked="0" hidden="0"/>
    </xf>
    <xf numFmtId="49" fontId="25" fillId="0" borderId="29" applyAlignment="1" applyProtection="1" pivotButton="0" quotePrefix="0" xfId="0">
      <alignment horizontal="left" vertical="center" indent="1"/>
      <protection locked="0" hidden="0"/>
    </xf>
    <xf numFmtId="14" fontId="18" fillId="0" borderId="37" applyAlignment="1" applyProtection="1" pivotButton="0" quotePrefix="0" xfId="0">
      <alignment horizontal="center" vertical="center"/>
      <protection locked="0" hidden="0"/>
    </xf>
    <xf numFmtId="0" fontId="1" fillId="0" borderId="21" applyAlignment="1" pivotButton="0" quotePrefix="0" xfId="0">
      <alignment horizontal="center" vertical="center"/>
    </xf>
    <xf numFmtId="0" fontId="1" fillId="0" borderId="0" applyAlignment="1" pivotButton="0" quotePrefix="0" xfId="0">
      <alignment vertical="center"/>
    </xf>
    <xf numFmtId="10" fontId="18" fillId="0" borderId="37" applyAlignment="1" applyProtection="1" pivotButton="0" quotePrefix="0" xfId="0">
      <alignment horizontal="center" vertical="center"/>
      <protection locked="0" hidden="0"/>
    </xf>
    <xf numFmtId="0" fontId="18" fillId="0" borderId="22" applyAlignment="1" applyProtection="1" pivotButton="0" quotePrefix="0" xfId="0">
      <alignment horizontal="left"/>
      <protection locked="0" hidden="0"/>
    </xf>
    <xf numFmtId="0" fontId="113" fillId="0" borderId="37" applyAlignment="1" applyProtection="1" pivotButton="0" quotePrefix="0" xfId="1">
      <alignment horizontal="center" vertical="center"/>
      <protection locked="0" hidden="0"/>
    </xf>
    <xf numFmtId="14" fontId="18" fillId="0" borderId="22" applyAlignment="1" applyProtection="1" pivotButton="0" quotePrefix="0" xfId="0">
      <alignment horizontal="center"/>
      <protection locked="0" hidden="0"/>
    </xf>
    <xf numFmtId="0" fontId="16" fillId="0" borderId="29" applyAlignment="1" pivotButton="0" quotePrefix="0" xfId="0">
      <alignment horizontal="center" vertical="center"/>
    </xf>
    <xf numFmtId="0" fontId="18" fillId="0" borderId="32" applyAlignment="1" applyProtection="1" pivotButton="0" quotePrefix="0" xfId="0">
      <alignment horizontal="left"/>
      <protection locked="0" hidden="0"/>
    </xf>
    <xf numFmtId="0" fontId="18" fillId="0" borderId="37" applyAlignment="1" applyProtection="1" pivotButton="0" quotePrefix="1" xfId="0">
      <alignment horizontal="center" vertical="center"/>
      <protection locked="0" hidden="0"/>
    </xf>
    <xf numFmtId="0" fontId="19" fillId="0" borderId="0" applyAlignment="1" pivotButton="0" quotePrefix="0" xfId="0">
      <alignment horizontal="center" vertical="center"/>
    </xf>
    <xf numFmtId="0" fontId="14" fillId="0" borderId="0" pivotButton="0" quotePrefix="0" xfId="0"/>
    <xf numFmtId="0" fontId="18" fillId="0" borderId="32" applyAlignment="1" applyProtection="1" pivotButton="0" quotePrefix="0" xfId="0">
      <alignment horizontal="center"/>
      <protection locked="0" hidden="0"/>
    </xf>
    <xf numFmtId="0" fontId="1" fillId="0" borderId="21" applyAlignment="1" pivotButton="0" quotePrefix="0" xfId="0">
      <alignment horizontal="center" vertical="top"/>
    </xf>
    <xf numFmtId="0" fontId="18" fillId="0" borderId="32" applyAlignment="1" pivotButton="0" quotePrefix="0" xfId="0">
      <alignment horizontal="left"/>
    </xf>
    <xf numFmtId="0" fontId="0" fillId="0" borderId="32" pivotButton="0" quotePrefix="0" xfId="0"/>
    <xf numFmtId="0" fontId="1" fillId="0" borderId="29" applyAlignment="1" pivotButton="0" quotePrefix="0" xfId="0">
      <alignment horizontal="center" vertical="center"/>
    </xf>
    <xf numFmtId="0" fontId="1" fillId="0" borderId="21" applyAlignment="1" pivotButton="0" quotePrefix="0" xfId="0">
      <alignment horizontal="center" vertical="center" wrapText="1"/>
    </xf>
    <xf numFmtId="0" fontId="1" fillId="0" borderId="0" applyAlignment="1" pivotButton="0" quotePrefix="0" xfId="0">
      <alignment horizontal="center" vertical="center"/>
    </xf>
    <xf numFmtId="3" fontId="18" fillId="0" borderId="37" applyAlignment="1" applyProtection="1" pivotButton="0" quotePrefix="0" xfId="0">
      <alignment horizontal="center" vertical="center"/>
      <protection locked="0" hidden="0"/>
    </xf>
    <xf numFmtId="10" fontId="26" fillId="0" borderId="42" applyAlignment="1" applyProtection="1" pivotButton="0" quotePrefix="0" xfId="4">
      <alignment horizontal="center" vertical="center"/>
      <protection locked="0" hidden="0"/>
    </xf>
    <xf numFmtId="0" fontId="0" fillId="0" borderId="42" applyProtection="1" pivotButton="0" quotePrefix="0" xfId="0">
      <protection locked="0" hidden="0"/>
    </xf>
    <xf numFmtId="2" fontId="26" fillId="7" borderId="28" applyAlignment="1" pivotButton="0" quotePrefix="0" xfId="2">
      <alignment horizontal="center" vertical="center"/>
    </xf>
    <xf numFmtId="0" fontId="23" fillId="0" borderId="29" applyAlignment="1" pivotButton="0" quotePrefix="0" xfId="2">
      <alignment horizontal="center" vertical="center" wrapText="1"/>
    </xf>
    <xf numFmtId="0" fontId="0" fillId="0" borderId="20" pivotButton="0" quotePrefix="0" xfId="0"/>
    <xf numFmtId="0" fontId="2" fillId="0" borderId="0" pivotButton="0" quotePrefix="0" xfId="0"/>
    <xf numFmtId="2" fontId="19" fillId="0" borderId="0" applyAlignment="1" pivotButton="0" quotePrefix="0" xfId="2">
      <alignment horizontal="center" vertical="center"/>
    </xf>
    <xf numFmtId="3" fontId="26" fillId="3" borderId="43" applyAlignment="1" applyProtection="1" pivotButton="0" quotePrefix="0" xfId="2">
      <alignment horizontal="right" vertical="center"/>
      <protection locked="0" hidden="0"/>
    </xf>
    <xf numFmtId="0" fontId="0" fillId="0" borderId="43" applyProtection="1" pivotButton="0" quotePrefix="0" xfId="0">
      <protection locked="0" hidden="0"/>
    </xf>
    <xf numFmtId="0" fontId="24" fillId="3" borderId="44" applyAlignment="1" applyProtection="1" pivotButton="0" quotePrefix="0" xfId="2">
      <alignment horizontal="left" vertical="center"/>
      <protection locked="0" hidden="0"/>
    </xf>
    <xf numFmtId="0" fontId="0" fillId="0" borderId="44" applyProtection="1" pivotButton="0" quotePrefix="0" xfId="0">
      <protection locked="0" hidden="0"/>
    </xf>
    <xf numFmtId="2" fontId="26" fillId="7" borderId="25" applyAlignment="1" pivotButton="0" quotePrefix="0" xfId="2">
      <alignment horizontal="center" vertical="center"/>
    </xf>
    <xf numFmtId="0" fontId="24" fillId="3" borderId="44" applyAlignment="1" applyProtection="1" pivotButton="0" quotePrefix="0" xfId="2">
      <alignment horizontal="left" vertical="center" wrapText="1"/>
      <protection locked="0" hidden="0"/>
    </xf>
    <xf numFmtId="2" fontId="26" fillId="7" borderId="29" applyAlignment="1" pivotButton="0" quotePrefix="0" xfId="2">
      <alignment horizontal="center" vertical="center"/>
    </xf>
    <xf numFmtId="0" fontId="25" fillId="0" borderId="42" applyAlignment="1" applyProtection="1" pivotButton="0" quotePrefix="0" xfId="2">
      <alignment horizontal="left"/>
      <protection locked="0" hidden="0"/>
    </xf>
    <xf numFmtId="0" fontId="25" fillId="0" borderId="32" applyAlignment="1" applyProtection="1" pivotButton="0" quotePrefix="0" xfId="2">
      <alignment horizontal="left"/>
      <protection locked="0" hidden="0"/>
    </xf>
    <xf numFmtId="0" fontId="24" fillId="0" borderId="30" applyAlignment="1" pivotButton="0" quotePrefix="0" xfId="2">
      <alignment horizontal="left"/>
    </xf>
    <xf numFmtId="1" fontId="25" fillId="0" borderId="80" applyAlignment="1" applyProtection="1" pivotButton="0" quotePrefix="0" xfId="2">
      <alignment horizontal="center"/>
      <protection locked="0" hidden="0"/>
    </xf>
    <xf numFmtId="0" fontId="0" fillId="0" borderId="80" applyProtection="1" pivotButton="0" quotePrefix="0" xfId="0">
      <protection locked="0" hidden="0"/>
    </xf>
    <xf numFmtId="0" fontId="25" fillId="0" borderId="22" applyAlignment="1" applyProtection="1" pivotButton="0" quotePrefix="0" xfId="2">
      <alignment horizontal="left"/>
      <protection locked="0" hidden="0"/>
    </xf>
    <xf numFmtId="0" fontId="25" fillId="0" borderId="24" applyAlignment="1" pivotButton="0" quotePrefix="0" xfId="2">
      <alignment horizontal="right" vertical="center"/>
    </xf>
    <xf numFmtId="10" fontId="26" fillId="0" borderId="66" applyAlignment="1" applyProtection="1" pivotButton="0" quotePrefix="0" xfId="4">
      <alignment horizontal="center" vertical="center"/>
      <protection locked="0" hidden="0"/>
    </xf>
    <xf numFmtId="10" fontId="26" fillId="0" borderId="24" applyAlignment="1" pivotButton="0" quotePrefix="0" xfId="2">
      <alignment horizontal="center" vertical="center"/>
    </xf>
    <xf numFmtId="0" fontId="21" fillId="7" borderId="29" applyAlignment="1" pivotButton="0" quotePrefix="0" xfId="2">
      <alignment horizontal="center" vertical="center"/>
    </xf>
    <xf numFmtId="0" fontId="27" fillId="0" borderId="0" applyAlignment="1" pivotButton="0" quotePrefix="0" xfId="2">
      <alignment horizontal="center"/>
    </xf>
    <xf numFmtId="3" fontId="26" fillId="3" borderId="45" applyAlignment="1" applyProtection="1" pivotButton="0" quotePrefix="0" xfId="2">
      <alignment horizontal="right" vertical="center"/>
      <protection locked="0" hidden="0"/>
    </xf>
    <xf numFmtId="0" fontId="0" fillId="0" borderId="45" applyProtection="1" pivotButton="0" quotePrefix="0" xfId="0">
      <protection locked="0" hidden="0"/>
    </xf>
    <xf numFmtId="2" fontId="23" fillId="0" borderId="29" applyAlignment="1" pivotButton="0" quotePrefix="0" xfId="2">
      <alignment horizontal="center" vertical="center"/>
    </xf>
    <xf numFmtId="0" fontId="18" fillId="0" borderId="61" applyAlignment="1" applyProtection="1" pivotButton="0" quotePrefix="0" xfId="0">
      <alignment horizontal="left"/>
      <protection locked="0" hidden="0"/>
    </xf>
    <xf numFmtId="0" fontId="0" fillId="0" borderId="61" applyProtection="1" pivotButton="0" quotePrefix="0" xfId="0">
      <protection locked="0" hidden="0"/>
    </xf>
    <xf numFmtId="2" fontId="23" fillId="0" borderId="0" applyAlignment="1" pivotButton="0" quotePrefix="0" xfId="2">
      <alignment horizontal="center"/>
    </xf>
    <xf numFmtId="0" fontId="46" fillId="0" borderId="0" pivotButton="0" quotePrefix="0" xfId="0"/>
    <xf numFmtId="0" fontId="23" fillId="0" borderId="29" applyAlignment="1" pivotButton="0" quotePrefix="0" xfId="2">
      <alignment horizontal="center" vertical="center"/>
    </xf>
    <xf numFmtId="2" fontId="23" fillId="0" borderId="25" applyAlignment="1" pivotButton="0" quotePrefix="0" xfId="2">
      <alignment horizontal="center" vertical="center"/>
    </xf>
    <xf numFmtId="14" fontId="18" fillId="0" borderId="42" applyAlignment="1" applyProtection="1" pivotButton="0" quotePrefix="0" xfId="0">
      <alignment horizontal="center"/>
      <protection locked="0" hidden="0"/>
    </xf>
    <xf numFmtId="0" fontId="23" fillId="0" borderId="25" applyAlignment="1" pivotButton="0" quotePrefix="0" xfId="2">
      <alignment horizontal="center" vertical="center" wrapText="1"/>
    </xf>
    <xf numFmtId="3" fontId="26" fillId="0" borderId="24" applyAlignment="1" pivotButton="0" quotePrefix="0" xfId="2">
      <alignment horizontal="right" vertical="center"/>
    </xf>
    <xf numFmtId="0" fontId="23" fillId="0" borderId="220" applyAlignment="1" applyProtection="1" pivotButton="0" quotePrefix="0" xfId="0">
      <alignment horizontal="left" vertical="center" wrapText="1"/>
      <protection locked="0" hidden="0"/>
    </xf>
    <xf numFmtId="0" fontId="0" fillId="0" borderId="185" applyProtection="1" pivotButton="0" quotePrefix="0" xfId="0">
      <protection locked="0" hidden="0"/>
    </xf>
    <xf numFmtId="0" fontId="0" fillId="0" borderId="186" applyProtection="1" pivotButton="0" quotePrefix="0" xfId="0">
      <protection locked="0" hidden="0"/>
    </xf>
    <xf numFmtId="49" fontId="8" fillId="0" borderId="307" applyAlignment="1" applyProtection="1" pivotButton="0" quotePrefix="0" xfId="0">
      <alignment horizontal="center" vertical="center"/>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4" fillId="0" borderId="49" applyAlignment="1" applyProtection="1" pivotButton="0" quotePrefix="0" xfId="0">
      <alignment horizontal="left" vertical="center" wrapText="1"/>
      <protection locked="0" hidden="0"/>
    </xf>
    <xf numFmtId="0" fontId="0" fillId="0" borderId="50" applyProtection="1" pivotButton="0" quotePrefix="0" xfId="0">
      <protection locked="0" hidden="0"/>
    </xf>
    <xf numFmtId="0" fontId="0" fillId="0" borderId="47" applyProtection="1" pivotButton="0" quotePrefix="0" xfId="0">
      <protection locked="0" hidden="0"/>
    </xf>
    <xf numFmtId="49" fontId="18" fillId="0" borderId="42" applyAlignment="1" applyProtection="1" pivotButton="0" quotePrefix="0" xfId="0">
      <alignment horizontal="left"/>
      <protection locked="0" hidden="0"/>
    </xf>
    <xf numFmtId="0" fontId="23" fillId="0" borderId="180" applyAlignment="1" applyProtection="1" pivotButton="0" quotePrefix="0" xfId="0">
      <alignment horizontal="center" vertical="center" wrapText="1"/>
      <protection locked="0" hidden="0"/>
    </xf>
    <xf numFmtId="0" fontId="0" fillId="0" borderId="182" applyProtection="1" pivotButton="0" quotePrefix="0" xfId="0">
      <protection locked="0" hidden="0"/>
    </xf>
    <xf numFmtId="0" fontId="25" fillId="0" borderId="179" applyAlignment="1" applyProtection="1" pivotButton="0" quotePrefix="0" xfId="0">
      <alignment horizontal="left" vertical="center" wrapText="1" indent="1"/>
      <protection locked="0" hidden="0"/>
    </xf>
    <xf numFmtId="0" fontId="23" fillId="0" borderId="179" applyAlignment="1" applyProtection="1" pivotButton="0" quotePrefix="0" xfId="0">
      <alignment horizontal="left" vertical="center" wrapText="1"/>
      <protection locked="0" hidden="0"/>
    </xf>
    <xf numFmtId="0" fontId="23" fillId="0" borderId="49" applyAlignment="1" applyProtection="1" pivotButton="0" quotePrefix="0" xfId="0">
      <alignment horizontal="left" vertical="center" wrapText="1"/>
      <protection locked="0" hidden="0"/>
    </xf>
    <xf numFmtId="0" fontId="23" fillId="0" borderId="49" applyAlignment="1" applyProtection="1" pivotButton="0" quotePrefix="0" xfId="0">
      <alignment vertical="center" wrapText="1"/>
      <protection locked="0" hidden="0"/>
    </xf>
    <xf numFmtId="0" fontId="23" fillId="0" borderId="49" applyAlignment="1" applyProtection="1" pivotButton="0" quotePrefix="0" xfId="0">
      <alignment horizontal="center" vertical="center" wrapText="1"/>
      <protection locked="0" hidden="0"/>
    </xf>
    <xf numFmtId="49" fontId="18" fillId="0" borderId="177" applyAlignment="1" applyProtection="1" pivotButton="0" quotePrefix="0" xfId="0">
      <alignment horizontal="left"/>
      <protection locked="0" hidden="0"/>
    </xf>
    <xf numFmtId="0" fontId="0" fillId="0" borderId="177" applyProtection="1" pivotButton="0" quotePrefix="0" xfId="0">
      <protection locked="0" hidden="0"/>
    </xf>
    <xf numFmtId="0" fontId="27" fillId="0" borderId="308" applyAlignment="1" pivotButton="0" quotePrefix="0" xfId="0">
      <alignment horizontal="center"/>
    </xf>
    <xf numFmtId="0" fontId="0" fillId="0" borderId="8" pivotButton="0" quotePrefix="0" xfId="0"/>
    <xf numFmtId="0" fontId="4" fillId="0" borderId="48" applyAlignment="1" pivotButton="0" quotePrefix="0" xfId="0">
      <alignment horizontal="center"/>
    </xf>
    <xf numFmtId="0" fontId="23" fillId="11" borderId="49" applyAlignment="1" pivotButton="0" quotePrefix="0" xfId="0">
      <alignment horizontal="center" vertical="center"/>
    </xf>
    <xf numFmtId="0" fontId="0" fillId="0" borderId="47" pivotButton="0" quotePrefix="0" xfId="0"/>
    <xf numFmtId="0" fontId="23" fillId="0" borderId="180" applyAlignment="1" applyProtection="1" pivotButton="0" quotePrefix="0" xfId="0">
      <alignment horizontal="left" vertical="center" wrapText="1"/>
      <protection locked="0" hidden="0"/>
    </xf>
    <xf numFmtId="49" fontId="1" fillId="0" borderId="193" applyAlignment="1" pivotButton="0" quotePrefix="0" xfId="0">
      <alignment horizontal="center" vertical="center" wrapText="1"/>
    </xf>
    <xf numFmtId="0" fontId="0" fillId="0" borderId="176" pivotButton="0" quotePrefix="0" xfId="0"/>
    <xf numFmtId="0" fontId="25" fillId="0" borderId="218" applyAlignment="1" applyProtection="1" pivotButton="0" quotePrefix="0" xfId="0">
      <alignment horizontal="left" vertical="center" wrapText="1" indent="1"/>
      <protection locked="0" hidden="0"/>
    </xf>
    <xf numFmtId="0" fontId="0" fillId="0" borderId="183" applyProtection="1" pivotButton="0" quotePrefix="0" xfId="0">
      <protection locked="0" hidden="0"/>
    </xf>
    <xf numFmtId="0" fontId="23" fillId="0" borderId="179" applyAlignment="1" applyProtection="1" pivotButton="0" quotePrefix="0" xfId="0">
      <alignment horizontal="left" vertical="center" wrapText="1" indent="1"/>
      <protection locked="0" hidden="0"/>
    </xf>
    <xf numFmtId="0" fontId="0" fillId="0" borderId="47" applyAlignment="1" pivotButton="0" quotePrefix="0" xfId="0">
      <alignment horizontal="left" vertical="center"/>
    </xf>
    <xf numFmtId="0" fontId="24" fillId="11" borderId="49" applyAlignment="1" pivotButton="0" quotePrefix="0" xfId="0">
      <alignment horizontal="center" vertical="center" wrapText="1"/>
    </xf>
    <xf numFmtId="0" fontId="0" fillId="0" borderId="50" pivotButton="0" quotePrefix="0" xfId="0"/>
    <xf numFmtId="0" fontId="23" fillId="11" borderId="179" applyAlignment="1" pivotButton="0" quotePrefix="0" xfId="0">
      <alignment horizontal="center" vertical="center"/>
    </xf>
    <xf numFmtId="0" fontId="19" fillId="0" borderId="308" applyAlignment="1" pivotButton="0" quotePrefix="0" xfId="0">
      <alignment horizontal="center" vertical="center"/>
    </xf>
    <xf numFmtId="0" fontId="46" fillId="11" borderId="49" applyAlignment="1" pivotButton="0" quotePrefix="0" xfId="0">
      <alignment horizontal="center" vertical="center"/>
    </xf>
    <xf numFmtId="0" fontId="24" fillId="11" borderId="179" applyAlignment="1" pivotButton="0" quotePrefix="0" xfId="0">
      <alignment horizontal="center" vertical="center"/>
    </xf>
    <xf numFmtId="0" fontId="4" fillId="0" borderId="0" applyAlignment="1" pivotButton="0" quotePrefix="0" xfId="0">
      <alignment horizontal="center"/>
    </xf>
    <xf numFmtId="0" fontId="23" fillId="11" borderId="49" applyAlignment="1" pivotButton="0" quotePrefix="0" xfId="0">
      <alignment horizontal="center" vertical="center" wrapText="1"/>
    </xf>
    <xf numFmtId="0" fontId="23" fillId="0" borderId="219" applyAlignment="1" applyProtection="1" pivotButton="0" quotePrefix="0" xfId="0">
      <alignment horizontal="left" vertical="center" wrapText="1"/>
      <protection locked="0" hidden="0"/>
    </xf>
    <xf numFmtId="0" fontId="23" fillId="0" borderId="219" applyAlignment="1" applyProtection="1" pivotButton="0" quotePrefix="0" xfId="0">
      <alignment vertical="center" wrapText="1"/>
      <protection locked="0" hidden="0"/>
    </xf>
    <xf numFmtId="49" fontId="8" fillId="0" borderId="0" applyAlignment="1" pivotButton="0" quotePrefix="0" xfId="0">
      <alignment horizontal="center" vertical="center"/>
    </xf>
    <xf numFmtId="0" fontId="72" fillId="0" borderId="49" applyAlignment="1" pivotButton="0" quotePrefix="0" xfId="0">
      <alignment horizontal="left" vertical="center"/>
    </xf>
    <xf numFmtId="0" fontId="72" fillId="0" borderId="49" applyAlignment="1" pivotButton="0" quotePrefix="0" xfId="0">
      <alignment horizontal="left" vertical="center" wrapText="1"/>
    </xf>
    <xf numFmtId="0" fontId="18" fillId="0" borderId="42" applyAlignment="1" pivotButton="0" quotePrefix="0" xfId="0">
      <alignment horizontal="left"/>
    </xf>
    <xf numFmtId="0" fontId="3" fillId="0" borderId="52" applyAlignment="1" pivotButton="0" quotePrefix="0" xfId="0">
      <alignment horizontal="center"/>
    </xf>
    <xf numFmtId="0" fontId="0" fillId="0" borderId="52" pivotButton="0" quotePrefix="0" xfId="0"/>
    <xf numFmtId="0" fontId="12" fillId="0" borderId="0" applyAlignment="1" pivotButton="0" quotePrefix="0" xfId="0">
      <alignment horizontal="left" vertical="top" wrapText="1"/>
    </xf>
    <xf numFmtId="0" fontId="0" fillId="0" borderId="0" applyAlignment="1" pivotButton="0" quotePrefix="0" xfId="0">
      <alignment vertical="top"/>
    </xf>
    <xf numFmtId="0" fontId="18" fillId="0" borderId="22" applyAlignment="1" pivotButton="0" quotePrefix="0" xfId="0">
      <alignment horizontal="left"/>
    </xf>
    <xf numFmtId="49" fontId="1" fillId="0" borderId="49" applyAlignment="1" pivotButton="0" quotePrefix="0" xfId="0">
      <alignment horizontal="center" vertical="center" wrapText="1"/>
    </xf>
    <xf numFmtId="14" fontId="18" fillId="0" borderId="42" applyAlignment="1" pivotButton="0" quotePrefix="0" xfId="0">
      <alignment horizontal="center"/>
    </xf>
    <xf numFmtId="0" fontId="3" fillId="0" borderId="51" applyAlignment="1" pivotButton="0" quotePrefix="0" xfId="0">
      <alignment horizontal="center"/>
    </xf>
    <xf numFmtId="0" fontId="0" fillId="0" borderId="51" pivotButton="0" quotePrefix="0" xfId="0"/>
    <xf numFmtId="0" fontId="18" fillId="0" borderId="92" applyAlignment="1" pivotButton="0" quotePrefix="0" xfId="0">
      <alignment horizontal="left" vertical="center"/>
    </xf>
    <xf numFmtId="0" fontId="0" fillId="0" borderId="92" pivotButton="0" quotePrefix="0" xfId="0"/>
    <xf numFmtId="49" fontId="16" fillId="0" borderId="93" applyAlignment="1" pivotButton="0" quotePrefix="0" xfId="0">
      <alignment horizontal="center" vertical="center" wrapText="1"/>
    </xf>
    <xf numFmtId="0" fontId="0" fillId="0" borderId="94" pivotButton="0" quotePrefix="0" xfId="0"/>
    <xf numFmtId="0" fontId="0" fillId="0" borderId="95" pivotButton="0" quotePrefix="0" xfId="0"/>
    <xf numFmtId="0" fontId="4" fillId="0" borderId="30" applyAlignment="1" pivotButton="0" quotePrefix="0" xfId="0">
      <alignment horizontal="left" vertical="center" wrapText="1" indent="1"/>
    </xf>
    <xf numFmtId="0" fontId="1" fillId="0" borderId="0" pivotButton="0" quotePrefix="0" xfId="0"/>
    <xf numFmtId="0" fontId="18" fillId="10" borderId="29" applyAlignment="1" pivotButton="0" quotePrefix="0" xfId="0">
      <alignment horizontal="left" vertical="center" wrapText="1" indent="1"/>
    </xf>
    <xf numFmtId="0" fontId="4" fillId="0" borderId="0" applyAlignment="1" pivotButton="0" quotePrefix="0" xfId="0">
      <alignment horizontal="left" vertical="center"/>
    </xf>
    <xf numFmtId="0" fontId="4" fillId="0" borderId="0" applyAlignment="1" pivotButton="0" quotePrefix="0" xfId="0">
      <alignment vertical="center"/>
    </xf>
    <xf numFmtId="0" fontId="18" fillId="0" borderId="30" applyAlignment="1" pivotButton="0" quotePrefix="0" xfId="0">
      <alignment horizontal="left" vertical="center" wrapText="1" indent="1"/>
    </xf>
    <xf numFmtId="0" fontId="4" fillId="11" borderId="29" applyAlignment="1" pivotButton="0" quotePrefix="0" xfId="0">
      <alignment horizontal="center" vertical="center" wrapText="1"/>
    </xf>
    <xf numFmtId="0" fontId="0" fillId="0" borderId="30" pivotButton="0" quotePrefix="0" xfId="0"/>
    <xf numFmtId="0" fontId="0" fillId="0" borderId="37" pivotButton="0" quotePrefix="0" xfId="0"/>
    <xf numFmtId="0" fontId="18" fillId="7" borderId="29" applyAlignment="1" pivotButton="0" quotePrefix="0" xfId="0">
      <alignment horizontal="left" vertical="center" wrapText="1" indent="1"/>
    </xf>
    <xf numFmtId="0" fontId="4" fillId="0" borderId="0" applyAlignment="1" pivotButton="0" quotePrefix="0" xfId="0">
      <alignment horizontal="center" vertical="center"/>
    </xf>
    <xf numFmtId="0" fontId="4" fillId="0" borderId="0" pivotButton="0" quotePrefix="0" xfId="0"/>
    <xf numFmtId="0" fontId="19" fillId="0" borderId="27" applyAlignment="1" pivotButton="0" quotePrefix="0" xfId="0">
      <alignment horizontal="center" vertical="center"/>
    </xf>
    <xf numFmtId="0" fontId="23" fillId="11" borderId="29" applyAlignment="1" pivotButton="0" quotePrefix="0" xfId="0">
      <alignment horizontal="center" vertical="center" wrapText="1"/>
    </xf>
    <xf numFmtId="0" fontId="4" fillId="11" borderId="191" applyAlignment="1" pivotButton="0" quotePrefix="0" xfId="0">
      <alignment horizontal="center" vertical="center" wrapText="1"/>
    </xf>
    <xf numFmtId="0" fontId="0" fillId="0" borderId="204" pivotButton="0" quotePrefix="0" xfId="0"/>
    <xf numFmtId="0" fontId="44" fillId="0" borderId="0" applyAlignment="1" pivotButton="0" quotePrefix="0" xfId="0">
      <alignment horizontal="left" vertical="center" wrapText="1" indent="1"/>
    </xf>
    <xf numFmtId="0" fontId="18" fillId="7" borderId="131" applyAlignment="1" pivotButton="0" quotePrefix="0" xfId="0">
      <alignment horizontal="left" vertical="center" wrapText="1" indent="1"/>
    </xf>
    <xf numFmtId="0" fontId="0" fillId="0" borderId="131" pivotButton="0" quotePrefix="0" xfId="0"/>
    <xf numFmtId="0" fontId="76" fillId="0" borderId="20" applyAlignment="1" pivotButton="0" quotePrefix="0" xfId="0">
      <alignment horizontal="left" vertical="center" wrapText="1"/>
    </xf>
    <xf numFmtId="0" fontId="0" fillId="0" borderId="0" applyAlignment="1" pivotButton="0" quotePrefix="0" xfId="0">
      <alignment horizontal="center"/>
    </xf>
    <xf numFmtId="0" fontId="8" fillId="0" borderId="0" applyAlignment="1" pivotButton="0" quotePrefix="1" xfId="0">
      <alignment horizontal="center" vertical="center"/>
    </xf>
    <xf numFmtId="0" fontId="4" fillId="11" borderId="190" applyAlignment="1" pivotButton="0" quotePrefix="0" xfId="0">
      <alignment horizontal="center" vertical="center" wrapText="1"/>
    </xf>
    <xf numFmtId="0" fontId="18" fillId="7" borderId="197" applyAlignment="1" pivotButton="0" quotePrefix="0" xfId="0">
      <alignment horizontal="left" vertical="center" wrapText="1" indent="1"/>
    </xf>
    <xf numFmtId="0" fontId="0" fillId="0" borderId="286" pivotButton="0" quotePrefix="0" xfId="0"/>
    <xf numFmtId="0" fontId="0" fillId="0" borderId="197" pivotButton="0" quotePrefix="0" xfId="0"/>
    <xf numFmtId="0" fontId="1" fillId="0" borderId="93" applyAlignment="1" pivotButton="0" quotePrefix="0" xfId="0">
      <alignment horizontal="center" vertical="center" wrapText="1"/>
    </xf>
    <xf numFmtId="0" fontId="4" fillId="11" borderId="188" applyAlignment="1" pivotButton="0" quotePrefix="0" xfId="0">
      <alignment horizontal="center" vertical="center" wrapText="1"/>
    </xf>
    <xf numFmtId="0" fontId="0" fillId="0" borderId="304" pivotButton="0" quotePrefix="0" xfId="0"/>
    <xf numFmtId="0" fontId="0" fillId="0" borderId="310" pivotButton="0" quotePrefix="0" xfId="0"/>
    <xf numFmtId="0" fontId="0" fillId="0" borderId="98" pivotButton="0" quotePrefix="0" xfId="0"/>
    <xf numFmtId="0" fontId="0" fillId="0" borderId="311" pivotButton="0" quotePrefix="0" xfId="0"/>
    <xf numFmtId="0" fontId="4" fillId="11" borderId="189" applyAlignment="1" pivotButton="0" quotePrefix="1" xfId="0">
      <alignment horizontal="center" vertical="center" wrapText="1"/>
    </xf>
    <xf numFmtId="14" fontId="18" fillId="0" borderId="92" applyAlignment="1" pivotButton="0" quotePrefix="0" xfId="0">
      <alignment horizontal="center" vertical="center"/>
    </xf>
    <xf numFmtId="0" fontId="4" fillId="11" borderId="187" applyAlignment="1" pivotButton="0" quotePrefix="0" xfId="0">
      <alignment horizontal="center" vertical="center" wrapText="1"/>
    </xf>
    <xf numFmtId="0" fontId="0" fillId="0" borderId="195" pivotButton="0" quotePrefix="0" xfId="0"/>
    <xf numFmtId="0" fontId="0" fillId="0" borderId="203" pivotButton="0" quotePrefix="0" xfId="0"/>
    <xf numFmtId="0" fontId="18" fillId="0" borderId="288" applyAlignment="1" pivotButton="0" quotePrefix="0" xfId="0">
      <alignment horizontal="left" vertical="center"/>
    </xf>
    <xf numFmtId="0" fontId="0" fillId="0" borderId="288" pivotButton="0" quotePrefix="0" xfId="0"/>
    <xf numFmtId="3" fontId="4" fillId="2" borderId="313" applyAlignment="1" pivotButton="0" quotePrefix="0" xfId="0">
      <alignment horizontal="center" vertical="top" wrapText="1"/>
    </xf>
    <xf numFmtId="0" fontId="0" fillId="0" borderId="313" pivotButton="0" quotePrefix="0" xfId="0"/>
    <xf numFmtId="0" fontId="18" fillId="0" borderId="22" applyAlignment="1" pivotButton="0" quotePrefix="0" xfId="0">
      <alignment horizontal="left" vertical="center"/>
    </xf>
    <xf numFmtId="0" fontId="4" fillId="0" borderId="0" applyAlignment="1" pivotButton="0" quotePrefix="0" xfId="0">
      <alignment horizontal="left" vertical="center" wrapText="1" indent="1"/>
    </xf>
    <xf numFmtId="3" fontId="18" fillId="0" borderId="36" applyAlignment="1" pivotButton="0" quotePrefix="0" xfId="0">
      <alignment vertical="center" wrapText="1"/>
    </xf>
    <xf numFmtId="0" fontId="0" fillId="0" borderId="36" pivotButton="0" quotePrefix="0" xfId="0"/>
    <xf numFmtId="0" fontId="18" fillId="2" borderId="29" applyAlignment="1" pivotButton="0" quotePrefix="0" xfId="0">
      <alignment horizontal="left" vertical="center" wrapText="1" indent="1"/>
    </xf>
    <xf numFmtId="0" fontId="4" fillId="0" borderId="0" applyAlignment="1" pivotButton="0" quotePrefix="1" xfId="0">
      <alignment horizontal="left" vertical="center" wrapText="1" indent="1"/>
    </xf>
    <xf numFmtId="0" fontId="18" fillId="4" borderId="29" applyAlignment="1" pivotButton="0" quotePrefix="0" xfId="0">
      <alignment horizontal="left" vertical="center" wrapText="1" indent="1"/>
    </xf>
    <xf numFmtId="0" fontId="12" fillId="0" borderId="0" applyAlignment="1" pivotButton="0" quotePrefix="0" xfId="0">
      <alignment horizontal="left" vertical="center" wrapText="1"/>
    </xf>
    <xf numFmtId="0" fontId="18" fillId="0" borderId="0" applyAlignment="1" pivotButton="0" quotePrefix="0" xfId="0">
      <alignment horizontal="left" vertical="center" wrapText="1" indent="1"/>
    </xf>
    <xf numFmtId="0" fontId="18" fillId="7" borderId="0" applyAlignment="1" pivotButton="0" quotePrefix="0" xfId="0">
      <alignment horizontal="left" vertical="center" wrapText="1" indent="1"/>
    </xf>
    <xf numFmtId="0" fontId="0" fillId="0" borderId="200" pivotButton="0" quotePrefix="0" xfId="0"/>
    <xf numFmtId="0" fontId="4" fillId="2" borderId="207" applyAlignment="1" pivotButton="0" quotePrefix="0" xfId="0">
      <alignment horizontal="left" vertical="top" wrapText="1" indent="1"/>
    </xf>
    <xf numFmtId="0" fontId="0" fillId="0" borderId="312" pivotButton="0" quotePrefix="0" xfId="0"/>
    <xf numFmtId="0" fontId="18" fillId="2" borderId="17" applyAlignment="1" pivotButton="0" quotePrefix="0" xfId="0">
      <alignment horizontal="left" vertical="center" wrapText="1" indent="1"/>
    </xf>
    <xf numFmtId="14" fontId="18" fillId="0" borderId="32" applyAlignment="1" pivotButton="0" quotePrefix="0" xfId="0">
      <alignment horizontal="center" vertical="center"/>
    </xf>
    <xf numFmtId="0" fontId="18" fillId="0" borderId="32" applyAlignment="1" pivotButton="0" quotePrefix="0" xfId="0">
      <alignment horizontal="left" vertical="center"/>
    </xf>
    <xf numFmtId="0" fontId="9" fillId="9" borderId="0" applyAlignment="1" pivotButton="0" quotePrefix="0" xfId="0">
      <alignment horizontal="center"/>
    </xf>
    <xf numFmtId="168" fontId="0" fillId="0" borderId="0" pivotButton="0" quotePrefix="0" xfId="7"/>
    <xf numFmtId="168" fontId="9" fillId="9" borderId="139" applyAlignment="1" pivotButton="0" quotePrefix="0" xfId="7">
      <alignment horizontal="center"/>
    </xf>
    <xf numFmtId="0" fontId="0" fillId="0" borderId="65" pivotButton="0" quotePrefix="0" xfId="0"/>
    <xf numFmtId="0" fontId="4" fillId="11" borderId="231" applyAlignment="1" pivotButton="0" quotePrefix="0" xfId="0">
      <alignment horizontal="center" vertical="center" wrapText="1"/>
    </xf>
    <xf numFmtId="0" fontId="0" fillId="0" borderId="214" pivotButton="0" quotePrefix="0" xfId="0"/>
    <xf numFmtId="0" fontId="0" fillId="0" borderId="215" pivotButton="0" quotePrefix="0" xfId="0"/>
    <xf numFmtId="0" fontId="18" fillId="9" borderId="179" applyAlignment="1" pivotButton="0" quotePrefix="0" xfId="0">
      <alignment horizontal="left" vertical="center" wrapText="1" indent="1"/>
    </xf>
    <xf numFmtId="0" fontId="4" fillId="0" borderId="179" applyAlignment="1" pivotButton="0" quotePrefix="0" xfId="0">
      <alignment horizontal="left" vertical="center" wrapText="1" indent="1"/>
    </xf>
    <xf numFmtId="0" fontId="4" fillId="11" borderId="314" applyAlignment="1" pivotButton="0" quotePrefix="0" xfId="0">
      <alignment horizontal="center" vertical="center" wrapText="1"/>
    </xf>
    <xf numFmtId="0" fontId="0" fillId="0" borderId="315" pivotButton="0" quotePrefix="0" xfId="0"/>
    <xf numFmtId="0" fontId="0" fillId="0" borderId="316" pivotButton="0" quotePrefix="0" xfId="0"/>
    <xf numFmtId="0" fontId="0" fillId="0" borderId="40" pivotButton="0" quotePrefix="0" xfId="0"/>
    <xf numFmtId="0" fontId="0" fillId="0" borderId="41" pivotButton="0" quotePrefix="0" xfId="0"/>
    <xf numFmtId="0" fontId="23" fillId="0" borderId="179" applyAlignment="1" pivotButton="0" quotePrefix="0" xfId="0">
      <alignment horizontal="left" vertical="center" wrapText="1" indent="1"/>
    </xf>
    <xf numFmtId="0" fontId="37" fillId="0" borderId="179" applyAlignment="1" pivotButton="0" quotePrefix="0" xfId="0">
      <alignment horizontal="left" vertical="center" wrapText="1" indent="1"/>
    </xf>
    <xf numFmtId="0" fontId="18" fillId="0" borderId="61" applyAlignment="1" pivotButton="0" quotePrefix="0" xfId="0">
      <alignment horizontal="left" vertical="center"/>
    </xf>
    <xf numFmtId="0" fontId="0" fillId="0" borderId="61" pivotButton="0" quotePrefix="0" xfId="0"/>
    <xf numFmtId="0" fontId="42" fillId="0" borderId="0" applyAlignment="1" pivotButton="0" quotePrefix="0" xfId="0">
      <alignment horizontal="left" vertical="center" wrapText="1"/>
    </xf>
    <xf numFmtId="0" fontId="4" fillId="11" borderId="230" applyAlignment="1" pivotButton="0" quotePrefix="0" xfId="0">
      <alignment horizontal="center" vertical="center" wrapText="1"/>
    </xf>
    <xf numFmtId="0" fontId="0" fillId="0" borderId="55" pivotButton="0" quotePrefix="0" xfId="0"/>
    <xf numFmtId="0" fontId="18" fillId="2" borderId="179" applyAlignment="1" pivotButton="0" quotePrefix="0" xfId="0">
      <alignment horizontal="left" vertical="center" wrapText="1" indent="1"/>
    </xf>
    <xf numFmtId="0" fontId="18" fillId="9" borderId="218" applyAlignment="1" pivotButton="0" quotePrefix="0" xfId="0">
      <alignment horizontal="left" vertical="center" wrapText="1" indent="1"/>
    </xf>
    <xf numFmtId="0" fontId="0" fillId="0" borderId="185" pivotButton="0" quotePrefix="0" xfId="0"/>
    <xf numFmtId="0" fontId="0" fillId="0" borderId="183" pivotButton="0" quotePrefix="0" xfId="0"/>
    <xf numFmtId="0" fontId="18" fillId="0" borderId="179" applyAlignment="1" pivotButton="0" quotePrefix="0" xfId="0">
      <alignment horizontal="center" vertical="center" wrapText="1"/>
    </xf>
    <xf numFmtId="49" fontId="42" fillId="0" borderId="0" applyAlignment="1" pivotButton="0" quotePrefix="0" xfId="0">
      <alignment horizontal="left" vertical="top" wrapText="1"/>
    </xf>
    <xf numFmtId="0" fontId="18" fillId="11" borderId="251" applyAlignment="1" pivotButton="0" quotePrefix="0" xfId="0">
      <alignment horizontal="center" vertical="center" wrapText="1"/>
    </xf>
    <xf numFmtId="0" fontId="0" fillId="0" borderId="182" pivotButton="0" quotePrefix="0" xfId="0"/>
    <xf numFmtId="0" fontId="50" fillId="0" borderId="308" applyAlignment="1" applyProtection="1" pivotButton="0" quotePrefix="0" xfId="0">
      <alignment horizontal="left" vertical="center" wrapText="1" indent="1"/>
      <protection locked="0" hidden="0"/>
    </xf>
    <xf numFmtId="0" fontId="0" fillId="0" borderId="8" applyProtection="1" pivotButton="0" quotePrefix="0" xfId="0">
      <protection locked="0" hidden="0"/>
    </xf>
    <xf numFmtId="0" fontId="50" fillId="0" borderId="308" applyAlignment="1" applyProtection="1" pivotButton="0" quotePrefix="0" xfId="0">
      <alignment horizontal="left" vertical="center" wrapText="1"/>
      <protection locked="0" hidden="0"/>
    </xf>
    <xf numFmtId="49" fontId="78" fillId="0" borderId="0" applyAlignment="1" pivotButton="0" quotePrefix="0" xfId="0">
      <alignment vertical="center"/>
    </xf>
    <xf numFmtId="0" fontId="50" fillId="0" borderId="252" applyAlignment="1" applyProtection="1" pivotButton="0" quotePrefix="0" xfId="0">
      <alignment horizontal="left" vertical="center" wrapText="1" indent="1"/>
      <protection locked="0" hidden="0"/>
    </xf>
    <xf numFmtId="0" fontId="18" fillId="11" borderId="250" applyAlignment="1" pivotButton="0" quotePrefix="0" xfId="0">
      <alignment horizontal="center" vertical="center" wrapText="1"/>
    </xf>
    <xf numFmtId="0" fontId="18" fillId="6" borderId="218" applyAlignment="1" pivotButton="0" quotePrefix="0" xfId="0">
      <alignment horizontal="left" vertical="center" wrapText="1" indent="1"/>
    </xf>
    <xf numFmtId="0" fontId="4" fillId="0" borderId="4" applyAlignment="1" pivotButton="0" quotePrefix="0" xfId="0">
      <alignment horizontal="left" vertical="center" wrapText="1" indent="1"/>
    </xf>
    <xf numFmtId="0" fontId="18" fillId="0" borderId="179" applyAlignment="1" pivotButton="0" quotePrefix="0" xfId="0">
      <alignment horizontal="left" vertical="center" indent="1"/>
    </xf>
    <xf numFmtId="0" fontId="1" fillId="11" borderId="71" applyAlignment="1" pivotButton="0" quotePrefix="0" xfId="0">
      <alignment horizontal="center" vertical="center" wrapText="1"/>
    </xf>
    <xf numFmtId="0" fontId="0" fillId="0" borderId="72" pivotButton="0" quotePrefix="0" xfId="0"/>
    <xf numFmtId="0" fontId="18" fillId="5" borderId="179" applyAlignment="1" pivotButton="0" quotePrefix="0" xfId="0">
      <alignment horizontal="left" vertical="center" wrapText="1" indent="1"/>
    </xf>
    <xf numFmtId="0" fontId="1" fillId="11" borderId="245" applyAlignment="1" pivotButton="0" quotePrefix="0" xfId="0">
      <alignment horizontal="left" vertical="center" wrapText="1" indent="1"/>
    </xf>
    <xf numFmtId="0" fontId="4" fillId="0" borderId="4" applyAlignment="1" pivotButton="0" quotePrefix="0" xfId="0">
      <alignment horizontal="left" vertical="center" indent="1"/>
    </xf>
    <xf numFmtId="0" fontId="1" fillId="11" borderId="49" applyAlignment="1" pivotButton="0" quotePrefix="0" xfId="0">
      <alignment horizontal="center" vertical="center" wrapText="1"/>
    </xf>
    <xf numFmtId="14" fontId="18" fillId="0" borderId="61" applyAlignment="1" pivotButton="0" quotePrefix="0" xfId="0">
      <alignment horizontal="center" vertical="center"/>
    </xf>
    <xf numFmtId="0" fontId="1" fillId="11" borderId="226" applyAlignment="1" pivotButton="0" quotePrefix="0" xfId="0">
      <alignment horizontal="left" wrapText="1"/>
    </xf>
    <xf numFmtId="0" fontId="0" fillId="0" borderId="60" pivotButton="0" quotePrefix="0" xfId="0"/>
    <xf numFmtId="0" fontId="1" fillId="11" borderId="317" applyAlignment="1" pivotButton="0" quotePrefix="0" xfId="0">
      <alignment horizontal="center" vertical="center"/>
    </xf>
    <xf numFmtId="0" fontId="0" fillId="0" borderId="224" pivotButton="0" quotePrefix="0" xfId="0"/>
    <xf numFmtId="0" fontId="4" fillId="0" borderId="179" applyAlignment="1" pivotButton="0" quotePrefix="0" xfId="0">
      <alignment horizontal="left" vertical="center" indent="1"/>
    </xf>
    <xf numFmtId="0" fontId="1" fillId="11" borderId="318" applyAlignment="1" pivotButton="0" quotePrefix="0" xfId="0">
      <alignment horizontal="center" vertical="center" wrapText="1"/>
    </xf>
    <xf numFmtId="0" fontId="0" fillId="0" borderId="70" pivotButton="0" quotePrefix="0" xfId="0"/>
    <xf numFmtId="0" fontId="1" fillId="11" borderId="228" applyAlignment="1" pivotButton="0" quotePrefix="0" xfId="0">
      <alignment horizontal="center" vertical="center" wrapText="1"/>
    </xf>
    <xf numFmtId="0" fontId="0" fillId="0" borderId="227" pivotButton="0" quotePrefix="0" xfId="0"/>
    <xf numFmtId="49" fontId="16" fillId="0" borderId="49" applyAlignment="1" pivotButton="0" quotePrefix="0" xfId="0">
      <alignment horizontal="center" vertical="center" wrapText="1"/>
    </xf>
    <xf numFmtId="0" fontId="1" fillId="11" borderId="222" applyAlignment="1" pivotButton="0" quotePrefix="0" xfId="0">
      <alignment horizontal="right" vertical="center" wrapText="1"/>
    </xf>
    <xf numFmtId="0" fontId="0" fillId="0" borderId="211" pivotButton="0" quotePrefix="0" xfId="0"/>
    <xf numFmtId="0" fontId="1" fillId="11" borderId="230" applyAlignment="1" pivotButton="0" quotePrefix="0" xfId="0">
      <alignment horizontal="center" vertical="center" wrapText="1"/>
    </xf>
    <xf numFmtId="0" fontId="0" fillId="0" borderId="235" pivotButton="0" quotePrefix="0" xfId="0"/>
    <xf numFmtId="14" fontId="18" fillId="0" borderId="42" applyAlignment="1" pivotButton="0" quotePrefix="0" xfId="0">
      <alignment horizontal="center" vertical="center"/>
    </xf>
    <xf numFmtId="0" fontId="1" fillId="11" borderId="180" applyAlignment="1" pivotButton="0" quotePrefix="0" xfId="0">
      <alignment horizontal="center" vertical="center" wrapText="1"/>
    </xf>
    <xf numFmtId="0" fontId="0" fillId="0" borderId="232" pivotButton="0" quotePrefix="0" xfId="0"/>
    <xf numFmtId="0" fontId="1" fillId="11" borderId="4" applyAlignment="1" pivotButton="0" quotePrefix="0" xfId="0">
      <alignment horizontal="center" vertical="center" wrapText="1"/>
    </xf>
    <xf numFmtId="0" fontId="1" fillId="11" borderId="55" applyAlignment="1" pivotButton="0" quotePrefix="0" xfId="0">
      <alignment horizontal="center" vertical="center" wrapText="1"/>
    </xf>
    <xf numFmtId="0" fontId="1" fillId="11" borderId="1" applyAlignment="1" pivotButton="0" quotePrefix="0" xfId="0">
      <alignment horizontal="right" vertical="center" wrapText="1"/>
    </xf>
    <xf numFmtId="3" fontId="4" fillId="0" borderId="47" applyAlignment="1" applyProtection="1" pivotButton="0" quotePrefix="0" xfId="0">
      <alignment horizontal="right" vertical="center" wrapText="1"/>
      <protection locked="0" hidden="0"/>
    </xf>
    <xf numFmtId="3" fontId="4" fillId="0" borderId="49" applyAlignment="1" applyProtection="1" pivotButton="0" quotePrefix="0" xfId="0">
      <alignment horizontal="right" vertical="center" wrapText="1"/>
      <protection locked="0" hidden="0"/>
    </xf>
    <xf numFmtId="3" fontId="23" fillId="0" borderId="49" applyAlignment="1" applyProtection="1" pivotButton="0" quotePrefix="0" xfId="0">
      <alignment horizontal="right" vertical="center" wrapText="1"/>
      <protection locked="0" hidden="0"/>
    </xf>
    <xf numFmtId="0" fontId="4" fillId="11" borderId="233" applyAlignment="1" pivotButton="0" quotePrefix="0" xfId="0">
      <alignment horizontal="center" vertical="center" wrapText="1"/>
    </xf>
    <xf numFmtId="0" fontId="0" fillId="0" borderId="290" pivotButton="0" quotePrefix="0" xfId="0"/>
    <xf numFmtId="3" fontId="18" fillId="2" borderId="49" applyAlignment="1" pivotButton="0" quotePrefix="0" xfId="0">
      <alignment horizontal="right" vertical="center" wrapText="1"/>
    </xf>
    <xf numFmtId="0" fontId="4" fillId="0" borderId="320" applyAlignment="1" pivotButton="0" quotePrefix="0" xfId="0">
      <alignment horizontal="left" vertical="center" wrapText="1" indent="1"/>
    </xf>
    <xf numFmtId="0" fontId="4" fillId="11" borderId="237" applyAlignment="1" pivotButton="0" quotePrefix="0" xfId="0">
      <alignment horizontal="left" vertical="center" wrapText="1" indent="1"/>
    </xf>
    <xf numFmtId="0" fontId="0" fillId="0" borderId="319" pivotButton="0" quotePrefix="0" xfId="0"/>
    <xf numFmtId="0" fontId="4" fillId="11" borderId="236" applyAlignment="1" pivotButton="0" quotePrefix="0" xfId="0">
      <alignment horizontal="center" wrapText="1"/>
    </xf>
    <xf numFmtId="0" fontId="0" fillId="0" borderId="10" pivotButton="0" quotePrefix="0" xfId="0"/>
    <xf numFmtId="0" fontId="18" fillId="11" borderId="230" applyAlignment="1" pivotButton="0" quotePrefix="0" xfId="0">
      <alignment horizontal="center" vertical="center" wrapText="1"/>
    </xf>
    <xf numFmtId="0" fontId="4" fillId="0" borderId="249" applyAlignment="1" pivotButton="0" quotePrefix="0" xfId="0">
      <alignment horizontal="left" vertical="center" wrapText="1" indent="1"/>
    </xf>
    <xf numFmtId="0" fontId="0" fillId="0" borderId="34" pivotButton="0" quotePrefix="0" xfId="0"/>
    <xf numFmtId="0" fontId="0" fillId="0" borderId="35" pivotButton="0" quotePrefix="0" xfId="0"/>
    <xf numFmtId="3" fontId="18" fillId="6" borderId="219" applyAlignment="1" pivotButton="0" quotePrefix="0" xfId="0">
      <alignment horizontal="right" vertical="center" wrapText="1"/>
    </xf>
    <xf numFmtId="3" fontId="4" fillId="0" borderId="180" applyAlignment="1" pivotButton="0" quotePrefix="0" xfId="0">
      <alignment horizontal="right" vertical="center" wrapText="1"/>
    </xf>
    <xf numFmtId="3" fontId="18" fillId="2" borderId="180" applyAlignment="1" pivotButton="0" quotePrefix="0" xfId="0">
      <alignment horizontal="right" vertical="center" wrapText="1"/>
    </xf>
    <xf numFmtId="3" fontId="23" fillId="0" borderId="47" applyAlignment="1" applyProtection="1" pivotButton="0" quotePrefix="0" xfId="0">
      <alignment horizontal="right" vertical="center" wrapText="1"/>
      <protection locked="0" hidden="0"/>
    </xf>
    <xf numFmtId="0" fontId="46" fillId="11" borderId="49" applyAlignment="1" pivotButton="0" quotePrefix="0" xfId="0">
      <alignment horizontal="center"/>
    </xf>
    <xf numFmtId="0" fontId="4" fillId="0" borderId="0" applyAlignment="1" pivotButton="0" quotePrefix="0" xfId="0">
      <alignment horizontal="right" vertical="center"/>
    </xf>
    <xf numFmtId="0" fontId="0" fillId="0" borderId="0" applyAlignment="1" pivotButton="0" quotePrefix="0" xfId="0">
      <alignment vertical="center"/>
    </xf>
    <xf numFmtId="3" fontId="18" fillId="6" borderId="220" applyAlignment="1" pivotButton="0" quotePrefix="0" xfId="0">
      <alignment horizontal="right" vertical="center" wrapText="1"/>
    </xf>
    <xf numFmtId="0" fontId="0" fillId="0" borderId="186" pivotButton="0" quotePrefix="0" xfId="0"/>
    <xf numFmtId="0" fontId="4" fillId="11" borderId="49" applyAlignment="1" pivotButton="0" quotePrefix="0" xfId="0">
      <alignment horizontal="center" vertical="center" wrapText="1"/>
    </xf>
    <xf numFmtId="0" fontId="0" fillId="0" borderId="39" pivotButton="0" quotePrefix="0" xfId="0"/>
    <xf numFmtId="0" fontId="18" fillId="6" borderId="239" applyAlignment="1" pivotButton="0" quotePrefix="0" xfId="0">
      <alignment horizontal="left" vertical="center" wrapText="1" indent="1"/>
    </xf>
    <xf numFmtId="0" fontId="0" fillId="0" borderId="321" pivotButton="0" quotePrefix="0" xfId="0"/>
    <xf numFmtId="0" fontId="4" fillId="0" borderId="48" applyAlignment="1" pivotButton="0" quotePrefix="0" xfId="0">
      <alignment horizontal="right" vertical="center"/>
    </xf>
    <xf numFmtId="3" fontId="23" fillId="0" borderId="180" applyAlignment="1" pivotButton="0" quotePrefix="0" xfId="0">
      <alignment horizontal="right" vertical="center" wrapText="1"/>
    </xf>
    <xf numFmtId="0" fontId="4" fillId="11" borderId="55" applyAlignment="1" pivotButton="0" quotePrefix="0" xfId="0">
      <alignment horizontal="center" vertical="center" wrapText="1"/>
    </xf>
    <xf numFmtId="0" fontId="1" fillId="11" borderId="322" applyAlignment="1" pivotButton="0" quotePrefix="0" xfId="0">
      <alignment horizontal="right" vertical="center" wrapText="1"/>
    </xf>
    <xf numFmtId="14" fontId="18" fillId="0" borderId="57" applyAlignment="1" pivotButton="0" quotePrefix="0" xfId="0">
      <alignment horizontal="center" vertical="center"/>
    </xf>
    <xf numFmtId="3" fontId="18" fillId="7" borderId="219" applyAlignment="1" applyProtection="1" pivotButton="0" quotePrefix="0" xfId="0">
      <alignment horizontal="center" vertical="center" wrapText="1"/>
      <protection locked="0" hidden="0"/>
    </xf>
    <xf numFmtId="0" fontId="49" fillId="0" borderId="179" applyAlignment="1" applyProtection="1" pivotButton="0" quotePrefix="0" xfId="0">
      <alignment horizontal="left" vertical="center" wrapText="1" indent="1"/>
      <protection locked="0" hidden="0"/>
    </xf>
    <xf numFmtId="0" fontId="18" fillId="7" borderId="218" applyAlignment="1" pivotButton="0" quotePrefix="0" xfId="0">
      <alignment horizontal="left" vertical="center" wrapText="1" indent="1"/>
    </xf>
    <xf numFmtId="0" fontId="18" fillId="0" borderId="324" applyAlignment="1" pivotButton="0" quotePrefix="0" xfId="0">
      <alignment horizontal="left" vertical="center" wrapText="1" indent="1"/>
    </xf>
    <xf numFmtId="0" fontId="0" fillId="0" borderId="242" pivotButton="0" quotePrefix="0" xfId="0"/>
    <xf numFmtId="0" fontId="50" fillId="0" borderId="323" applyAlignment="1" applyProtection="1" pivotButton="0" quotePrefix="0" xfId="0">
      <alignment horizontal="left" vertical="top" wrapText="1" indent="2"/>
      <protection locked="0" hidden="0"/>
    </xf>
    <xf numFmtId="0" fontId="0" fillId="0" borderId="40" applyProtection="1" pivotButton="0" quotePrefix="0" xfId="0">
      <protection locked="0" hidden="0"/>
    </xf>
    <xf numFmtId="0" fontId="0" fillId="0" borderId="241" applyProtection="1" pivotButton="0" quotePrefix="0" xfId="0">
      <protection locked="0" hidden="0"/>
    </xf>
    <xf numFmtId="0" fontId="16" fillId="11" borderId="179" applyAlignment="1" pivotButton="0" quotePrefix="0" xfId="0">
      <alignment horizontal="left" vertical="center" wrapText="1" indent="1"/>
    </xf>
    <xf numFmtId="0" fontId="18" fillId="0" borderId="307" applyAlignment="1" pivotButton="0" quotePrefix="0" xfId="0">
      <alignment horizontal="left" vertical="center" wrapText="1" indent="1"/>
    </xf>
    <xf numFmtId="0" fontId="50" fillId="0" borderId="308" applyAlignment="1" applyProtection="1" pivotButton="0" quotePrefix="0" xfId="0">
      <alignment horizontal="left" vertical="top" wrapText="1" indent="1"/>
      <protection locked="0" hidden="0"/>
    </xf>
    <xf numFmtId="0" fontId="50" fillId="0" borderId="323" applyAlignment="1" applyProtection="1" pivotButton="0" quotePrefix="0" xfId="0">
      <alignment horizontal="left" vertical="top" wrapText="1" indent="1"/>
      <protection locked="0" hidden="0"/>
    </xf>
    <xf numFmtId="0" fontId="18" fillId="7" borderId="179" applyAlignment="1" applyProtection="1" pivotButton="0" quotePrefix="0" xfId="0">
      <alignment horizontal="right" vertical="center" wrapText="1" indent="1"/>
      <protection locked="0" hidden="0"/>
    </xf>
    <xf numFmtId="0" fontId="51" fillId="0" borderId="218" applyAlignment="1" applyProtection="1" pivotButton="0" quotePrefix="0" xfId="0">
      <alignment horizontal="left" indent="1"/>
      <protection locked="0" hidden="0"/>
    </xf>
    <xf numFmtId="0" fontId="51" fillId="0" borderId="49" applyAlignment="1" applyProtection="1" pivotButton="0" quotePrefix="0" xfId="0">
      <alignment horizontal="left" vertical="center" wrapText="1" indent="1"/>
      <protection locked="0" hidden="0"/>
    </xf>
    <xf numFmtId="0" fontId="1" fillId="11" borderId="179" applyAlignment="1" pivotButton="0" quotePrefix="0" xfId="0">
      <alignment horizontal="center" vertical="center" wrapText="1"/>
    </xf>
    <xf numFmtId="0" fontId="51" fillId="0" borderId="219" applyAlignment="1" applyProtection="1" pivotButton="0" quotePrefix="0" xfId="0">
      <alignment horizontal="left" vertical="center" wrapText="1" indent="1"/>
      <protection locked="0" hidden="0"/>
    </xf>
    <xf numFmtId="0" fontId="51" fillId="0" borderId="179" applyAlignment="1" applyProtection="1" pivotButton="0" quotePrefix="0" xfId="0">
      <alignment horizontal="left" indent="1"/>
      <protection locked="0" hidden="0"/>
    </xf>
    <xf numFmtId="0" fontId="18" fillId="0" borderId="323" applyAlignment="1" pivotButton="0" quotePrefix="0" xfId="0">
      <alignment horizontal="center" vertical="center"/>
    </xf>
    <xf numFmtId="0" fontId="0" fillId="0" borderId="241" pivotButton="0" quotePrefix="0" xfId="0"/>
    <xf numFmtId="0" fontId="18" fillId="0" borderId="42" applyAlignment="1" applyProtection="1" pivotButton="0" quotePrefix="0" xfId="0">
      <alignment horizontal="left" vertical="center"/>
      <protection locked="0" hidden="0"/>
    </xf>
    <xf numFmtId="0" fontId="18" fillId="0" borderId="22" applyAlignment="1" applyProtection="1" pivotButton="0" quotePrefix="0" xfId="0">
      <alignment horizontal="center" vertical="center"/>
      <protection locked="0" hidden="0"/>
    </xf>
    <xf numFmtId="14" fontId="18" fillId="0" borderId="61" applyAlignment="1" applyProtection="1" pivotButton="0" quotePrefix="0" xfId="0">
      <alignment horizontal="center" vertical="center"/>
      <protection locked="0" hidden="0"/>
    </xf>
    <xf numFmtId="0" fontId="18" fillId="0" borderId="0" applyAlignment="1" applyProtection="1" pivotButton="0" quotePrefix="0" xfId="0">
      <alignment horizontal="left" vertical="center"/>
      <protection locked="0" hidden="0"/>
    </xf>
    <xf numFmtId="0" fontId="1" fillId="11" borderId="243" applyAlignment="1" pivotButton="0" quotePrefix="0" xfId="0">
      <alignment horizontal="center" vertical="center" wrapText="1"/>
    </xf>
    <xf numFmtId="0" fontId="18" fillId="0" borderId="61" applyAlignment="1" applyProtection="1" pivotButton="0" quotePrefix="0" xfId="0">
      <alignment horizontal="left" vertical="center"/>
      <protection locked="0" hidden="0"/>
    </xf>
    <xf numFmtId="3" fontId="18" fillId="5" borderId="219" applyAlignment="1" pivotButton="0" quotePrefix="0" xfId="0">
      <alignment horizontal="right" vertical="center" wrapText="1"/>
    </xf>
    <xf numFmtId="0" fontId="18" fillId="5" borderId="218" applyAlignment="1" pivotButton="0" quotePrefix="0" xfId="0">
      <alignment horizontal="left" vertical="center" wrapText="1" indent="1"/>
    </xf>
    <xf numFmtId="0" fontId="4" fillId="11" borderId="243" applyAlignment="1" pivotButton="0" quotePrefix="0" xfId="0">
      <alignment horizontal="center" vertical="center" wrapText="1"/>
    </xf>
    <xf numFmtId="3" fontId="18" fillId="5" borderId="49" applyAlignment="1" pivotButton="0" quotePrefix="0" xfId="0">
      <alignment horizontal="right" vertical="center" wrapText="1"/>
    </xf>
    <xf numFmtId="3" fontId="18" fillId="2" borderId="219" applyAlignment="1" pivotButton="0" quotePrefix="0" xfId="0">
      <alignment horizontal="right" vertical="center" wrapText="1"/>
    </xf>
    <xf numFmtId="0" fontId="18" fillId="2" borderId="218" applyAlignment="1" pivotButton="0" quotePrefix="0" xfId="0">
      <alignment horizontal="left" vertical="center" wrapText="1" indent="1"/>
    </xf>
    <xf numFmtId="14" fontId="18" fillId="0" borderId="22" applyAlignment="1" pivotButton="0" quotePrefix="0" xfId="0">
      <alignment horizontal="center" vertical="center"/>
    </xf>
    <xf numFmtId="0" fontId="4" fillId="11" borderId="222" applyAlignment="1" pivotButton="0" quotePrefix="0" xfId="0">
      <alignment horizontal="center" vertical="center" wrapText="1"/>
    </xf>
    <xf numFmtId="0" fontId="4" fillId="0" borderId="49" applyAlignment="1" applyProtection="1" pivotButton="0" quotePrefix="0" xfId="0">
      <alignment horizontal="center" vertical="center" wrapText="1"/>
      <protection locked="0" hidden="0"/>
    </xf>
    <xf numFmtId="0" fontId="64" fillId="0" borderId="49" applyAlignment="1" pivotButton="0" quotePrefix="0" xfId="0">
      <alignment horizontal="left" vertical="center" wrapText="1" indent="1"/>
    </xf>
    <xf numFmtId="3" fontId="18" fillId="0" borderId="49" applyAlignment="1" applyProtection="1" pivotButton="0" quotePrefix="0" xfId="0">
      <alignment horizontal="center" vertical="center" wrapText="1"/>
      <protection locked="0" hidden="0"/>
    </xf>
    <xf numFmtId="0" fontId="18" fillId="9" borderId="49" applyAlignment="1" pivotButton="0" quotePrefix="0" xfId="0">
      <alignment horizontal="left" vertical="center" wrapText="1" indent="1"/>
    </xf>
    <xf numFmtId="0" fontId="4" fillId="0" borderId="49" applyAlignment="1" pivotButton="0" quotePrefix="0" xfId="0">
      <alignment horizontal="center" vertical="center" wrapText="1"/>
    </xf>
    <xf numFmtId="0" fontId="0" fillId="0" borderId="38" pivotButton="0" quotePrefix="0" xfId="0"/>
    <xf numFmtId="0" fontId="18" fillId="0" borderId="49" applyAlignment="1" pivotButton="0" quotePrefix="0" xfId="0">
      <alignment horizontal="center" vertical="center" wrapText="1"/>
    </xf>
    <xf numFmtId="0" fontId="4" fillId="0" borderId="49" applyAlignment="1" pivotButton="0" quotePrefix="0" xfId="0">
      <alignment horizontal="left" vertical="center" wrapText="1" indent="1"/>
    </xf>
    <xf numFmtId="0" fontId="4" fillId="13" borderId="49" applyAlignment="1" pivotButton="0" quotePrefix="0" xfId="0">
      <alignment horizontal="center" vertical="center" wrapText="1"/>
    </xf>
    <xf numFmtId="3" fontId="4" fillId="0" borderId="47" applyAlignment="1" applyProtection="1" pivotButton="0" quotePrefix="0" xfId="0">
      <alignment horizontal="right" vertical="center" wrapText="1" indent="1"/>
      <protection locked="0" hidden="0"/>
    </xf>
    <xf numFmtId="3" fontId="4" fillId="0" borderId="49" applyAlignment="1" applyProtection="1" pivotButton="0" quotePrefix="0" xfId="0">
      <alignment horizontal="center" vertical="center" wrapText="1"/>
      <protection locked="0" hidden="0"/>
    </xf>
    <xf numFmtId="3" fontId="18" fillId="9" borderId="47" applyAlignment="1" pivotButton="0" quotePrefix="0" xfId="0">
      <alignment horizontal="right" vertical="center" wrapText="1" indent="1"/>
    </xf>
    <xf numFmtId="0" fontId="64" fillId="0" borderId="49" applyAlignment="1" pivotButton="0" quotePrefix="0" xfId="0">
      <alignment horizontal="center" vertical="center" wrapText="1"/>
    </xf>
    <xf numFmtId="0" fontId="4" fillId="11" borderId="47" applyAlignment="1" pivotButton="0" quotePrefix="0" xfId="0">
      <alignment horizontal="center" vertical="center" wrapText="1"/>
    </xf>
    <xf numFmtId="0" fontId="19" fillId="0" borderId="40" applyAlignment="1" pivotButton="0" quotePrefix="0" xfId="0">
      <alignment horizontal="center" vertical="center"/>
    </xf>
    <xf numFmtId="0" fontId="4" fillId="0" borderId="55" applyAlignment="1" pivotButton="0" quotePrefix="0" xfId="0">
      <alignment horizontal="center" vertical="center" wrapText="1"/>
    </xf>
    <xf numFmtId="0" fontId="4" fillId="14" borderId="49" applyAlignment="1" pivotButton="0" quotePrefix="0" xfId="0">
      <alignment horizontal="center" vertical="center" wrapText="1"/>
    </xf>
    <xf numFmtId="3" fontId="18" fillId="9" borderId="47" applyAlignment="1" pivotButton="0" quotePrefix="0" xfId="0">
      <alignment horizontal="right" vertical="center" wrapText="1"/>
    </xf>
    <xf numFmtId="3" fontId="4" fillId="0" borderId="41" applyAlignment="1" applyProtection="1" pivotButton="0" quotePrefix="0" xfId="0">
      <alignment horizontal="right" vertical="center" wrapText="1"/>
      <protection locked="0" hidden="0"/>
    </xf>
    <xf numFmtId="0" fontId="0" fillId="0" borderId="41" applyProtection="1" pivotButton="0" quotePrefix="0" xfId="0">
      <protection locked="0" hidden="0"/>
    </xf>
    <xf numFmtId="0" fontId="64" fillId="9" borderId="49" applyAlignment="1" pivotButton="0" quotePrefix="0" xfId="0">
      <alignment horizontal="left" vertical="center" wrapText="1" indent="1"/>
    </xf>
    <xf numFmtId="3" fontId="4" fillId="0" borderId="55" applyAlignment="1" applyProtection="1" pivotButton="0" quotePrefix="0" xfId="0">
      <alignment horizontal="right" vertical="center" wrapText="1"/>
      <protection locked="0" hidden="0"/>
    </xf>
    <xf numFmtId="0" fontId="67" fillId="0" borderId="0" applyAlignment="1" pivotButton="0" quotePrefix="0" xfId="0">
      <alignment horizontal="left" vertical="center" wrapText="1" indent="1"/>
    </xf>
    <xf numFmtId="0" fontId="18" fillId="5" borderId="49" applyAlignment="1" pivotButton="0" quotePrefix="0" xfId="0">
      <alignment horizontal="left" vertical="center" wrapText="1" indent="1"/>
    </xf>
    <xf numFmtId="0" fontId="4" fillId="0" borderId="55" applyAlignment="1" pivotButton="0" quotePrefix="0" xfId="0">
      <alignment horizontal="left" vertical="center" wrapText="1" indent="1"/>
    </xf>
    <xf numFmtId="0" fontId="51" fillId="0" borderId="179" applyAlignment="1" applyProtection="1" pivotButton="0" quotePrefix="0" xfId="0">
      <alignment horizontal="left" vertical="center" indent="1"/>
      <protection locked="0" hidden="0"/>
    </xf>
    <xf numFmtId="0" fontId="12" fillId="0" borderId="0" applyAlignment="1" pivotButton="0" quotePrefix="1" xfId="0">
      <alignment horizontal="left"/>
    </xf>
    <xf numFmtId="0" fontId="51" fillId="0" borderId="179" applyAlignment="1" applyProtection="1" pivotButton="0" quotePrefix="0" xfId="0">
      <alignment horizontal="left" vertical="center" wrapText="1" indent="1"/>
      <protection locked="0" hidden="0"/>
    </xf>
    <xf numFmtId="0" fontId="51" fillId="0" borderId="218" applyAlignment="1" applyProtection="1" pivotButton="0" quotePrefix="0" xfId="0">
      <alignment horizontal="left" vertical="center" wrapText="1" indent="1"/>
      <protection locked="0" hidden="0"/>
    </xf>
    <xf numFmtId="0" fontId="12" fillId="0" borderId="0" applyAlignment="1" applyProtection="1" pivotButton="0" quotePrefix="0" xfId="0">
      <alignment horizontal="left" vertical="center" wrapText="1"/>
      <protection locked="0" hidden="0"/>
    </xf>
    <xf numFmtId="0" fontId="50" fillId="0" borderId="218" applyAlignment="1" applyProtection="1" pivotButton="0" quotePrefix="0" xfId="0">
      <alignment horizontal="left" vertical="center" indent="1"/>
      <protection locked="0" hidden="0"/>
    </xf>
    <xf numFmtId="0" fontId="23" fillId="11" borderId="243" applyAlignment="1" pivotButton="0" quotePrefix="0" xfId="0">
      <alignment horizontal="center" vertical="center" wrapText="1"/>
    </xf>
    <xf numFmtId="0" fontId="12" fillId="0" borderId="179" applyAlignment="1" applyProtection="1" pivotButton="0" quotePrefix="0" xfId="0">
      <alignment horizontal="left" vertical="center" indent="1"/>
      <protection locked="0" hidden="0"/>
    </xf>
    <xf numFmtId="0" fontId="11" fillId="0" borderId="179" applyAlignment="1" applyProtection="1" pivotButton="0" quotePrefix="0" xfId="0">
      <alignment horizontal="left" vertical="center" indent="1"/>
      <protection locked="0" hidden="0"/>
    </xf>
    <xf numFmtId="0" fontId="18" fillId="0" borderId="0" applyAlignment="1" pivotButton="0" quotePrefix="0" xfId="0">
      <alignment horizontal="left" vertical="center"/>
    </xf>
    <xf numFmtId="0" fontId="18" fillId="0" borderId="235" applyAlignment="1" pivotButton="0" quotePrefix="0" xfId="0">
      <alignment horizontal="center" vertical="center" wrapText="1"/>
    </xf>
    <xf numFmtId="0" fontId="18" fillId="0" borderId="179" applyAlignment="1" pivotButton="0" quotePrefix="0" xfId="0">
      <alignment horizontal="left" vertical="center" wrapText="1" indent="1"/>
    </xf>
    <xf numFmtId="0" fontId="18" fillId="6" borderId="239" applyAlignment="1" pivotButton="0" quotePrefix="0" xfId="0">
      <alignment horizontal="center" vertical="center" wrapText="1"/>
    </xf>
    <xf numFmtId="0" fontId="19" fillId="0" borderId="325" applyAlignment="1" pivotButton="0" quotePrefix="0" xfId="0">
      <alignment horizontal="center" vertical="center"/>
    </xf>
    <xf numFmtId="0" fontId="0" fillId="0" borderId="145" pivotButton="0" quotePrefix="0" xfId="0"/>
    <xf numFmtId="0" fontId="0" fillId="0" borderId="146" pivotButton="0" quotePrefix="0" xfId="0"/>
    <xf numFmtId="0" fontId="24" fillId="11" borderId="179" applyAlignment="1" pivotButton="0" quotePrefix="0" xfId="0">
      <alignment horizontal="center" vertical="center" wrapText="1"/>
    </xf>
    <xf numFmtId="0" fontId="18" fillId="0" borderId="218" applyAlignment="1" pivotButton="0" quotePrefix="0" xfId="0">
      <alignment horizontal="left" vertical="center" wrapText="1" indent="1"/>
    </xf>
    <xf numFmtId="0" fontId="25" fillId="6" borderId="218" applyAlignment="1" pivotButton="0" quotePrefix="0" xfId="0">
      <alignment horizontal="left" vertical="center" wrapText="1" indent="1"/>
    </xf>
    <xf numFmtId="0" fontId="12" fillId="0" borderId="0" pivotButton="0" quotePrefix="0" xfId="0"/>
    <xf numFmtId="0" fontId="65" fillId="0" borderId="0" applyAlignment="1" pivotButton="0" quotePrefix="1" xfId="0">
      <alignment horizontal="left" vertical="center"/>
    </xf>
    <xf numFmtId="49" fontId="42" fillId="0" borderId="0" applyAlignment="1" pivotButton="0" quotePrefix="0" xfId="0">
      <alignment horizontal="left" wrapText="1" indent="1"/>
    </xf>
    <xf numFmtId="0" fontId="79" fillId="0" borderId="0" applyAlignment="1" pivotButton="0" quotePrefix="0" xfId="0">
      <alignment horizontal="left" indent="1"/>
    </xf>
    <xf numFmtId="49" fontId="42" fillId="0" borderId="0" applyAlignment="1" pivotButton="0" quotePrefix="0" xfId="0">
      <alignment horizontal="left" vertical="top" wrapText="1" indent="1"/>
    </xf>
    <xf numFmtId="0" fontId="25" fillId="11" borderId="243" applyAlignment="1" pivotButton="0" quotePrefix="0" xfId="0">
      <alignment horizontal="center" vertical="center" wrapText="1"/>
    </xf>
    <xf numFmtId="0" fontId="4" fillId="0" borderId="179" applyAlignment="1" pivotButton="0" quotePrefix="0" xfId="0">
      <alignment horizontal="center" vertical="center" wrapText="1"/>
    </xf>
    <xf numFmtId="0" fontId="23" fillId="11" borderId="179" applyAlignment="1" pivotButton="0" quotePrefix="0" xfId="0">
      <alignment horizontal="center" vertical="center" wrapText="1"/>
    </xf>
    <xf numFmtId="0" fontId="4" fillId="0" borderId="218" applyAlignment="1" pivotButton="0" quotePrefix="0" xfId="0">
      <alignment horizontal="left" vertical="center" wrapText="1" indent="1"/>
    </xf>
    <xf numFmtId="0" fontId="4" fillId="0" borderId="179" applyAlignment="1" pivotButton="0" quotePrefix="0" xfId="0">
      <alignment horizontal="center"/>
    </xf>
    <xf numFmtId="0" fontId="50" fillId="0" borderId="179" applyAlignment="1" applyProtection="1" pivotButton="0" quotePrefix="0" xfId="0">
      <alignment horizontal="left" vertical="center" wrapText="1" indent="1"/>
      <protection locked="0" hidden="0"/>
    </xf>
    <xf numFmtId="0" fontId="12" fillId="0" borderId="0" applyAlignment="1" pivotButton="0" quotePrefix="0" xfId="0">
      <alignment horizontal="left" vertical="center" wrapText="1" indent="1"/>
    </xf>
    <xf numFmtId="0" fontId="50" fillId="0" borderId="218" applyAlignment="1" applyProtection="1" pivotButton="0" quotePrefix="0" xfId="0">
      <alignment horizontal="left" vertical="center" wrapText="1" indent="1"/>
      <protection locked="0" hidden="0"/>
    </xf>
    <xf numFmtId="0" fontId="25" fillId="6" borderId="179" applyAlignment="1" pivotButton="0" quotePrefix="0" xfId="0">
      <alignment horizontal="left" vertical="center" wrapText="1" indent="1"/>
    </xf>
    <xf numFmtId="49" fontId="12" fillId="0" borderId="0" applyAlignment="1" pivotButton="0" quotePrefix="0" xfId="0">
      <alignment horizontal="left" vertical="top" wrapText="1" indent="2"/>
    </xf>
    <xf numFmtId="0" fontId="25" fillId="0" borderId="179" applyAlignment="1" pivotButton="0" quotePrefix="0" xfId="0">
      <alignment horizontal="left" vertical="center" wrapText="1" indent="1"/>
    </xf>
    <xf numFmtId="0" fontId="74" fillId="0" borderId="179" applyAlignment="1" applyProtection="1" pivotButton="0" quotePrefix="0" xfId="0">
      <alignment horizontal="left" vertical="center" wrapText="1" indent="2"/>
      <protection locked="0" hidden="0"/>
    </xf>
    <xf numFmtId="0" fontId="12" fillId="0" borderId="0" applyAlignment="1" pivotButton="0" quotePrefix="1" xfId="0">
      <alignment horizontal="left" vertical="center"/>
    </xf>
    <xf numFmtId="0" fontId="25" fillId="9" borderId="218" applyAlignment="1" pivotButton="0" quotePrefix="0" xfId="0">
      <alignment horizontal="left" vertical="center" wrapText="1" indent="1"/>
    </xf>
    <xf numFmtId="0" fontId="18" fillId="7" borderId="179" applyAlignment="1" pivotButton="0" quotePrefix="0" xfId="0">
      <alignment horizontal="left" vertical="center" wrapText="1" indent="1"/>
    </xf>
    <xf numFmtId="0" fontId="59" fillId="0" borderId="326" applyAlignment="1" pivotButton="0" quotePrefix="0" xfId="0">
      <alignment horizontal="left" vertical="center" wrapText="1" indent="1"/>
    </xf>
    <xf numFmtId="0" fontId="0" fillId="0" borderId="81" pivotButton="0" quotePrefix="0" xfId="0"/>
    <xf numFmtId="0" fontId="0" fillId="0" borderId="82" pivotButton="0" quotePrefix="0" xfId="0"/>
    <xf numFmtId="0" fontId="59" fillId="0" borderId="328" applyAlignment="1" pivotButton="0" quotePrefix="0" xfId="0">
      <alignment horizontal="left" vertical="center" wrapText="1" indent="1"/>
    </xf>
    <xf numFmtId="0" fontId="0" fillId="0" borderId="85" pivotButton="0" quotePrefix="0" xfId="0"/>
    <xf numFmtId="0" fontId="0" fillId="0" borderId="86" pivotButton="0" quotePrefix="0" xfId="0"/>
    <xf numFmtId="0" fontId="59" fillId="0" borderId="327" applyAlignment="1" pivotButton="0" quotePrefix="0" xfId="0">
      <alignment horizontal="left" vertical="center" wrapText="1" indent="1"/>
    </xf>
    <xf numFmtId="0" fontId="0" fillId="0" borderId="83" pivotButton="0" quotePrefix="0" xfId="0"/>
    <xf numFmtId="0" fontId="0" fillId="0" borderId="84" pivotButton="0" quotePrefix="0" xfId="0"/>
    <xf numFmtId="0" fontId="4" fillId="0" borderId="245" applyAlignment="1" pivotButton="0" quotePrefix="0" xfId="0">
      <alignment horizontal="left" vertical="center" wrapText="1" indent="1"/>
    </xf>
    <xf numFmtId="0" fontId="23" fillId="11" borderId="246" applyAlignment="1" pivotButton="0" quotePrefix="0" xfId="0">
      <alignment horizontal="center" vertical="center" wrapText="1"/>
    </xf>
    <xf numFmtId="0" fontId="0" fillId="0" borderId="329" pivotButton="0" quotePrefix="0" xfId="0"/>
    <xf numFmtId="0" fontId="18" fillId="0" borderId="48" applyAlignment="1" pivotButton="0" quotePrefix="0" xfId="0">
      <alignment horizontal="left" vertical="center"/>
    </xf>
    <xf numFmtId="0" fontId="16" fillId="0" borderId="49" applyAlignment="1" pivotButton="0" quotePrefix="0" xfId="0">
      <alignment horizontal="left" vertical="center" wrapText="1" indent="1"/>
    </xf>
    <xf numFmtId="0" fontId="20" fillId="0" borderId="253" applyAlignment="1" pivotButton="0" quotePrefix="0" xfId="0">
      <alignment horizontal="center" vertical="center" wrapText="1"/>
    </xf>
    <xf numFmtId="0" fontId="0" fillId="0" borderId="254" pivotButton="0" quotePrefix="0" xfId="0"/>
    <xf numFmtId="0" fontId="20" fillId="0" borderId="0" applyAlignment="1" pivotButton="0" quotePrefix="0" xfId="0">
      <alignment horizontal="left" vertical="top" wrapText="1" indent="1"/>
    </xf>
    <xf numFmtId="0" fontId="1" fillId="0" borderId="49" applyAlignment="1" pivotButton="0" quotePrefix="0" xfId="0">
      <alignment horizontal="left" vertical="center" wrapText="1" indent="1"/>
    </xf>
    <xf numFmtId="0" fontId="16" fillId="0" borderId="179" applyAlignment="1" pivotButton="0" quotePrefix="0" xfId="0">
      <alignment horizontal="left" vertical="center" wrapText="1" indent="1"/>
    </xf>
    <xf numFmtId="0" fontId="1" fillId="0" borderId="243" applyAlignment="1" pivotButton="0" quotePrefix="0" xfId="0">
      <alignment horizontal="left" vertical="center" wrapText="1" indent="1"/>
    </xf>
    <xf numFmtId="0" fontId="0" fillId="0" borderId="216" pivotButton="0" quotePrefix="0" xfId="0"/>
    <xf numFmtId="0" fontId="24" fillId="0" borderId="49" applyAlignment="1" pivotButton="0" quotePrefix="0" xfId="0">
      <alignment horizontal="center" vertical="center" wrapText="1"/>
    </xf>
    <xf numFmtId="0" fontId="2" fillId="0" borderId="179" applyAlignment="1" pivotButton="0" quotePrefix="0" xfId="0">
      <alignment horizontal="left" vertical="center" wrapText="1" indent="1"/>
    </xf>
    <xf numFmtId="0" fontId="1" fillId="0" borderId="231" applyAlignment="1" applyProtection="1" pivotButton="0" quotePrefix="0" xfId="0">
      <alignment horizontal="center" vertical="center" wrapText="1"/>
      <protection locked="0" hidden="0"/>
    </xf>
    <xf numFmtId="0" fontId="0" fillId="0" borderId="232" applyProtection="1" pivotButton="0" quotePrefix="0" xfId="0">
      <protection locked="0" hidden="0"/>
    </xf>
    <xf numFmtId="0" fontId="1" fillId="0" borderId="230" applyAlignment="1" pivotButton="0" quotePrefix="0" xfId="0">
      <alignment horizontal="left" vertical="center" wrapText="1" indent="1"/>
    </xf>
    <xf numFmtId="0" fontId="1" fillId="0" borderId="218" applyAlignment="1" pivotButton="0" quotePrefix="0" xfId="0">
      <alignment horizontal="left" vertical="center" wrapText="1" indent="1"/>
    </xf>
    <xf numFmtId="0" fontId="24" fillId="11" borderId="245" applyAlignment="1" pivotButton="0" quotePrefix="0" xfId="0">
      <alignment horizontal="center" vertical="center" wrapText="1"/>
    </xf>
    <xf numFmtId="0" fontId="42" fillId="0" borderId="0" applyAlignment="1" pivotButton="0" quotePrefix="0" xfId="0">
      <alignment horizontal="left"/>
    </xf>
    <xf numFmtId="0" fontId="24" fillId="0" borderId="180" applyAlignment="1" pivotButton="0" quotePrefix="0" xfId="0">
      <alignment horizontal="center" vertical="center" wrapText="1"/>
    </xf>
    <xf numFmtId="0" fontId="1" fillId="0" borderId="179" applyAlignment="1" pivotButton="0" quotePrefix="0" xfId="0">
      <alignment horizontal="left" vertical="center" wrapText="1" indent="1"/>
    </xf>
    <xf numFmtId="0" fontId="34" fillId="0" borderId="0" applyAlignment="1" pivotButton="0" quotePrefix="0" xfId="0">
      <alignment horizontal="left" indent="1"/>
    </xf>
    <xf numFmtId="0" fontId="20" fillId="7" borderId="219" applyAlignment="1" pivotButton="0" quotePrefix="0" xfId="0">
      <alignment horizontal="center" vertical="center" wrapText="1"/>
    </xf>
    <xf numFmtId="3" fontId="1" fillId="0" borderId="230" applyAlignment="1" applyProtection="1" pivotButton="0" quotePrefix="0" xfId="0">
      <alignment horizontal="right" vertical="center" wrapText="1"/>
      <protection locked="0" hidden="0"/>
    </xf>
    <xf numFmtId="0" fontId="0" fillId="0" borderId="55" applyProtection="1" pivotButton="0" quotePrefix="0" xfId="0">
      <protection locked="0" hidden="0"/>
    </xf>
    <xf numFmtId="0" fontId="16" fillId="0" borderId="0" applyAlignment="1" pivotButton="0" quotePrefix="0" xfId="0">
      <alignment horizontal="left" vertical="center" wrapText="1"/>
    </xf>
    <xf numFmtId="0" fontId="16" fillId="0" borderId="219" applyAlignment="1" pivotButton="0" quotePrefix="0" xfId="0">
      <alignment horizontal="left" vertical="center" wrapText="1" indent="1"/>
    </xf>
    <xf numFmtId="0" fontId="16" fillId="0" borderId="218" applyAlignment="1" pivotButton="0" quotePrefix="0" xfId="0">
      <alignment horizontal="left" vertical="center" wrapText="1" indent="1"/>
    </xf>
    <xf numFmtId="0" fontId="24" fillId="11" borderId="230" applyAlignment="1" pivotButton="0" quotePrefix="0" xfId="0">
      <alignment horizontal="center" vertical="center" wrapText="1"/>
    </xf>
    <xf numFmtId="0" fontId="24" fillId="11" borderId="222" applyAlignment="1" pivotButton="0" quotePrefix="0" xfId="0">
      <alignment horizontal="right" vertical="center" wrapText="1"/>
    </xf>
    <xf numFmtId="0" fontId="24" fillId="11" borderId="226" applyAlignment="1" pivotButton="0" quotePrefix="0" xfId="0">
      <alignment horizontal="left" vertical="center" wrapText="1"/>
    </xf>
    <xf numFmtId="0" fontId="1" fillId="0" borderId="132" applyAlignment="1" pivotButton="0" quotePrefix="0" xfId="0">
      <alignment horizontal="center" vertical="center" wrapText="1"/>
    </xf>
    <xf numFmtId="0" fontId="0" fillId="0" borderId="255" pivotButton="0" quotePrefix="0" xfId="0"/>
    <xf numFmtId="0" fontId="0" fillId="0" borderId="13" pivotButton="0" quotePrefix="0" xfId="0"/>
    <xf numFmtId="0" fontId="68" fillId="0" borderId="179" applyAlignment="1" pivotButton="0" quotePrefix="0" xfId="0">
      <alignment horizontal="left" vertical="center" wrapText="1" indent="1"/>
    </xf>
    <xf numFmtId="0" fontId="24" fillId="11" borderId="180" applyAlignment="1" pivotButton="0" quotePrefix="0" xfId="0">
      <alignment horizontal="center" vertical="center" wrapText="1"/>
    </xf>
    <xf numFmtId="0" fontId="24" fillId="11" borderId="245" applyAlignment="1" pivotButton="0" quotePrefix="0" xfId="0">
      <alignment horizontal="left" wrapText="1"/>
    </xf>
    <xf numFmtId="0" fontId="36" fillId="11" borderId="320" applyAlignment="1" pivotButton="0" quotePrefix="0" xfId="0">
      <alignment horizontal="center" vertical="center" wrapText="1"/>
    </xf>
    <xf numFmtId="0" fontId="24" fillId="11" borderId="322" applyAlignment="1" pivotButton="0" quotePrefix="0" xfId="0">
      <alignment horizontal="right" vertical="center" wrapText="1"/>
    </xf>
    <xf numFmtId="0" fontId="22" fillId="0" borderId="179" applyAlignment="1" pivotButton="0" quotePrefix="0" xfId="0">
      <alignment horizontal="left" vertical="center" wrapText="1" indent="1"/>
    </xf>
    <xf numFmtId="0" fontId="23" fillId="11" borderId="230" applyAlignment="1" pivotButton="0" quotePrefix="0" xfId="0">
      <alignment horizontal="center" vertical="center" wrapText="1"/>
    </xf>
    <xf numFmtId="0" fontId="23" fillId="11" borderId="231" applyAlignment="1" pivotButton="0" quotePrefix="0" xfId="0">
      <alignment horizontal="center" vertical="center" wrapText="1"/>
    </xf>
    <xf numFmtId="0" fontId="20" fillId="0" borderId="49" applyAlignment="1" pivotButton="0" quotePrefix="0" xfId="0">
      <alignment horizontal="left" vertical="center" wrapText="1"/>
    </xf>
    <xf numFmtId="0" fontId="23" fillId="11" borderId="245" applyAlignment="1" pivotButton="0" quotePrefix="0" xfId="0">
      <alignment horizontal="left" vertical="center" wrapText="1"/>
    </xf>
    <xf numFmtId="0" fontId="23" fillId="11" borderId="322" applyAlignment="1" pivotButton="0" quotePrefix="0" xfId="0">
      <alignment horizontal="right" wrapText="1"/>
    </xf>
    <xf numFmtId="0" fontId="24" fillId="11" borderId="243" applyAlignment="1" pivotButton="0" quotePrefix="0" xfId="0">
      <alignment horizontal="center" vertical="center" wrapText="1"/>
    </xf>
    <xf numFmtId="0" fontId="0" fillId="0" borderId="309" pivotButton="0" quotePrefix="0" xfId="0"/>
    <xf numFmtId="0" fontId="16" fillId="6" borderId="218" applyAlignment="1" pivotButton="0" quotePrefix="0" xfId="0">
      <alignment horizontal="left" vertical="center" wrapText="1" indent="1"/>
    </xf>
    <xf numFmtId="0" fontId="0" fillId="0" borderId="59" pivotButton="0" quotePrefix="0" xfId="0"/>
    <xf numFmtId="0" fontId="16" fillId="5" borderId="218" applyAlignment="1" pivotButton="0" quotePrefix="0" xfId="0">
      <alignment horizontal="left" vertical="center" wrapText="1" indent="1"/>
    </xf>
    <xf numFmtId="0" fontId="18" fillId="0" borderId="57" applyAlignment="1" pivotButton="0" quotePrefix="0" xfId="0">
      <alignment horizontal="center" vertical="center"/>
    </xf>
    <xf numFmtId="0" fontId="24" fillId="11" borderId="231" applyAlignment="1" pivotButton="0" quotePrefix="0" xfId="0">
      <alignment horizontal="center" vertical="center" wrapText="1"/>
    </xf>
    <xf numFmtId="0" fontId="0" fillId="0" borderId="285" pivotButton="0" quotePrefix="0" xfId="0"/>
    <xf numFmtId="0" fontId="16" fillId="0" borderId="245" applyAlignment="1" pivotButton="0" quotePrefix="1" xfId="0">
      <alignment horizontal="left" vertical="center" wrapText="1" indent="1"/>
    </xf>
    <xf numFmtId="0" fontId="1" fillId="0" borderId="320" applyAlignment="1" pivotButton="0" quotePrefix="0" xfId="0">
      <alignment horizontal="left" vertical="center" wrapText="1" indent="1"/>
    </xf>
    <xf numFmtId="0" fontId="1" fillId="0" borderId="320" applyAlignment="1" pivotButton="0" quotePrefix="1" xfId="0">
      <alignment horizontal="left" vertical="center" wrapText="1" indent="1"/>
    </xf>
    <xf numFmtId="0" fontId="16" fillId="0" borderId="320" applyAlignment="1" pivotButton="0" quotePrefix="0" xfId="0">
      <alignment horizontal="left" vertical="center" wrapText="1"/>
    </xf>
    <xf numFmtId="0" fontId="20" fillId="0" borderId="0" applyAlignment="1" pivotButton="0" quotePrefix="0" xfId="0">
      <alignment horizontal="left" vertical="top" wrapText="1"/>
    </xf>
    <xf numFmtId="0" fontId="26" fillId="11" borderId="251" applyAlignment="1" pivotButton="0" quotePrefix="0" xfId="0">
      <alignment horizontal="center" vertical="center" wrapText="1"/>
    </xf>
    <xf numFmtId="0" fontId="26" fillId="0" borderId="179" applyAlignment="1" pivotButton="0" quotePrefix="0" xfId="0">
      <alignment horizontal="left" vertical="center" wrapText="1"/>
    </xf>
    <xf numFmtId="0" fontId="26" fillId="0" borderId="179" applyAlignment="1" pivotButton="0" quotePrefix="0" xfId="0">
      <alignment horizontal="left" vertical="center" wrapText="1" indent="1"/>
    </xf>
    <xf numFmtId="0" fontId="20" fillId="0" borderId="245" applyAlignment="1" pivotButton="0" quotePrefix="0" xfId="0">
      <alignment horizontal="left" vertical="center" wrapText="1" indent="1"/>
    </xf>
    <xf numFmtId="0" fontId="1" fillId="0" borderId="249" applyAlignment="1" pivotButton="0" quotePrefix="1" xfId="0">
      <alignment horizontal="left" vertical="center" wrapText="1" indent="1"/>
    </xf>
    <xf numFmtId="0" fontId="16" fillId="0" borderId="249" applyAlignment="1" pivotButton="0" quotePrefix="0" xfId="0">
      <alignment horizontal="left" vertical="center" wrapText="1" indent="1"/>
    </xf>
    <xf numFmtId="0" fontId="24" fillId="11" borderId="243" applyAlignment="1" pivotButton="0" quotePrefix="0" xfId="0">
      <alignment horizontal="center" vertical="center"/>
    </xf>
    <xf numFmtId="0" fontId="26" fillId="0" borderId="218" applyAlignment="1" pivotButton="0" quotePrefix="0" xfId="0">
      <alignment horizontal="left" vertical="center" wrapText="1"/>
    </xf>
    <xf numFmtId="0" fontId="26" fillId="0" borderId="245" applyAlignment="1" pivotButton="0" quotePrefix="0" xfId="0">
      <alignment horizontal="left" vertical="center" wrapText="1"/>
    </xf>
    <xf numFmtId="0" fontId="1" fillId="0" borderId="249" applyAlignment="1" pivotButton="0" quotePrefix="0" xfId="0">
      <alignment horizontal="left" vertical="center" wrapText="1" indent="1"/>
    </xf>
    <xf numFmtId="0" fontId="16" fillId="0" borderId="320" applyAlignment="1" pivotButton="0" quotePrefix="0" xfId="0">
      <alignment horizontal="left" vertical="center" wrapText="1" indent="1"/>
    </xf>
    <xf numFmtId="0" fontId="24" fillId="0" borderId="320" applyAlignment="1" pivotButton="0" quotePrefix="0" xfId="0">
      <alignment horizontal="left" vertical="center" wrapText="1" indent="1"/>
    </xf>
    <xf numFmtId="0" fontId="16" fillId="2" borderId="179" applyAlignment="1" pivotButton="0" quotePrefix="0" xfId="0">
      <alignment horizontal="left" vertical="center" wrapText="1"/>
    </xf>
    <xf numFmtId="0" fontId="26" fillId="0" borderId="179" applyAlignment="1" pivotButton="0" quotePrefix="1" xfId="0">
      <alignment horizontal="left" vertical="center" wrapText="1"/>
    </xf>
    <xf numFmtId="0" fontId="1" fillId="0" borderId="47" applyAlignment="1" pivotButton="0" quotePrefix="0" xfId="0">
      <alignment horizontal="center" vertical="center" wrapText="1"/>
    </xf>
    <xf numFmtId="0" fontId="1" fillId="0" borderId="245" applyAlignment="1" pivotButton="0" quotePrefix="0" xfId="0">
      <alignment horizontal="left" vertical="center" wrapText="1" indent="1"/>
    </xf>
    <xf numFmtId="0" fontId="26" fillId="11" borderId="179" applyAlignment="1" pivotButton="0" quotePrefix="0" xfId="0">
      <alignment horizontal="center" vertical="center" wrapText="1"/>
    </xf>
    <xf numFmtId="0" fontId="1" fillId="0" borderId="180" applyAlignment="1" pivotButton="0" quotePrefix="0" xfId="0">
      <alignment horizontal="center" vertical="center" wrapText="1"/>
    </xf>
    <xf numFmtId="0" fontId="16" fillId="0" borderId="331" applyAlignment="1" pivotButton="0" quotePrefix="0" xfId="0">
      <alignment horizontal="left" vertical="center" wrapText="1"/>
    </xf>
    <xf numFmtId="0" fontId="0" fillId="0" borderId="6" pivotButton="0" quotePrefix="0" xfId="0"/>
    <xf numFmtId="0" fontId="0" fillId="0" borderId="257" pivotButton="0" quotePrefix="0" xfId="0"/>
    <xf numFmtId="0" fontId="1" fillId="0" borderId="308" applyAlignment="1" pivotButton="0" quotePrefix="0" xfId="0">
      <alignment horizontal="left" vertical="center" wrapText="1"/>
    </xf>
    <xf numFmtId="0" fontId="1" fillId="0" borderId="333" applyAlignment="1" pivotButton="0" quotePrefix="0" xfId="0">
      <alignment horizontal="left" vertical="center" wrapText="1"/>
    </xf>
    <xf numFmtId="0" fontId="1" fillId="0" borderId="330" applyAlignment="1" pivotButton="0" quotePrefix="0" xfId="0">
      <alignment horizontal="left" vertical="center" wrapText="1"/>
    </xf>
    <xf numFmtId="0" fontId="0" fillId="0" borderId="12" pivotButton="0" quotePrefix="0" xfId="0"/>
    <xf numFmtId="0" fontId="0" fillId="0" borderId="256" pivotButton="0" quotePrefix="0" xfId="0"/>
    <xf numFmtId="0" fontId="16" fillId="5" borderId="251" applyAlignment="1" pivotButton="0" quotePrefix="0" xfId="0">
      <alignment horizontal="center" vertical="center" wrapText="1"/>
    </xf>
    <xf numFmtId="0" fontId="16" fillId="5" borderId="332" applyAlignment="1" pivotButton="0" quotePrefix="0" xfId="0">
      <alignment horizontal="center" vertical="center" wrapText="1"/>
    </xf>
    <xf numFmtId="0" fontId="0" fillId="0" borderId="64" pivotButton="0" quotePrefix="0" xfId="0"/>
    <xf numFmtId="0" fontId="0" fillId="0" borderId="258" pivotButton="0" quotePrefix="0" xfId="0"/>
    <xf numFmtId="0" fontId="16" fillId="0" borderId="42" applyAlignment="1" pivotButton="0" quotePrefix="0" xfId="0">
      <alignment horizontal="left" vertical="center"/>
    </xf>
    <xf numFmtId="0" fontId="26" fillId="11" borderId="250" applyAlignment="1" pivotButton="0" quotePrefix="0" xfId="0">
      <alignment horizontal="center" vertical="center" wrapText="1"/>
    </xf>
    <xf numFmtId="0" fontId="1" fillId="0" borderId="323" applyAlignment="1" pivotButton="0" quotePrefix="0" xfId="0">
      <alignment horizontal="left" vertical="center" wrapText="1"/>
    </xf>
    <xf numFmtId="0" fontId="38" fillId="0" borderId="0" applyAlignment="1" pivotButton="0" quotePrefix="0" xfId="0">
      <alignment horizontal="center" vertical="center"/>
    </xf>
    <xf numFmtId="0" fontId="16" fillId="0" borderId="324" applyAlignment="1" pivotButton="0" quotePrefix="0" xfId="0">
      <alignment horizontal="left" vertical="center" wrapText="1"/>
    </xf>
    <xf numFmtId="0" fontId="24" fillId="0" borderId="308" applyAlignment="1" pivotButton="0" quotePrefix="0" xfId="0">
      <alignment horizontal="left" vertical="center" wrapText="1"/>
    </xf>
    <xf numFmtId="0" fontId="1" fillId="0" borderId="48" applyAlignment="1" pivotButton="0" quotePrefix="0" xfId="0">
      <alignment horizontal="center" vertical="center"/>
    </xf>
    <xf numFmtId="0" fontId="16" fillId="0" borderId="308" applyAlignment="1" pivotButton="0" quotePrefix="0" xfId="0">
      <alignment horizontal="left" vertical="center" wrapText="1"/>
    </xf>
    <xf numFmtId="0" fontId="45" fillId="0" borderId="333" applyAlignment="1" applyProtection="1" pivotButton="0" quotePrefix="0" xfId="0">
      <alignment horizontal="left" vertical="top" wrapText="1" indent="1"/>
      <protection locked="0" hidden="0"/>
    </xf>
    <xf numFmtId="0" fontId="0" fillId="0" borderId="15" applyProtection="1" pivotButton="0" quotePrefix="0" xfId="0">
      <protection locked="0" hidden="0"/>
    </xf>
    <xf numFmtId="0" fontId="0" fillId="0" borderId="16" applyProtection="1" pivotButton="0" quotePrefix="0" xfId="0">
      <protection locked="0" hidden="0"/>
    </xf>
    <xf numFmtId="0" fontId="45" fillId="0" borderId="334" applyAlignment="1" applyProtection="1" pivotButton="0" quotePrefix="0" xfId="0">
      <alignment horizontal="left" vertical="top" wrapText="1" indent="1"/>
      <protection locked="0" hidden="0"/>
    </xf>
    <xf numFmtId="0" fontId="0" fillId="0" borderId="261" applyProtection="1" pivotButton="0" quotePrefix="0" xfId="0">
      <protection locked="0" hidden="0"/>
    </xf>
    <xf numFmtId="0" fontId="4" fillId="0" borderId="308" applyAlignment="1" pivotButton="0" quotePrefix="0" xfId="0">
      <alignment horizontal="left" indent="1"/>
    </xf>
    <xf numFmtId="49" fontId="16" fillId="0" borderId="29" applyAlignment="1" pivotButton="0" quotePrefix="0" xfId="0">
      <alignment horizontal="center" vertical="center" wrapText="1"/>
    </xf>
    <xf numFmtId="0" fontId="45" fillId="0" borderId="308" applyAlignment="1" applyProtection="1" pivotButton="0" quotePrefix="0" xfId="0">
      <alignment horizontal="left" vertical="top" wrapText="1" indent="1"/>
      <protection locked="0" hidden="0"/>
    </xf>
    <xf numFmtId="0" fontId="13" fillId="11" borderId="178" applyAlignment="1" applyProtection="1" pivotButton="0" quotePrefix="0" xfId="0">
      <alignment horizontal="left"/>
      <protection locked="0" hidden="0"/>
    </xf>
    <xf numFmtId="0" fontId="0" fillId="0" borderId="178" applyProtection="1" pivotButton="0" quotePrefix="0" xfId="0">
      <protection locked="0" hidden="0"/>
    </xf>
    <xf numFmtId="0" fontId="18" fillId="9" borderId="336" applyAlignment="1" pivotButton="0" quotePrefix="0" xfId="0">
      <alignment horizontal="center" vertical="center"/>
    </xf>
    <xf numFmtId="0" fontId="0" fillId="0" borderId="265" pivotButton="0" quotePrefix="0" xfId="0"/>
    <xf numFmtId="0" fontId="0" fillId="0" borderId="266" pivotButton="0" quotePrefix="0" xfId="0"/>
    <xf numFmtId="0" fontId="18" fillId="9" borderId="335" applyAlignment="1" pivotButton="0" quotePrefix="0" xfId="0">
      <alignment horizontal="center" vertical="center"/>
    </xf>
    <xf numFmtId="0" fontId="73" fillId="0" borderId="308" applyAlignment="1" pivotButton="0" quotePrefix="0" xfId="0">
      <alignment horizontal="left" indent="1"/>
    </xf>
    <xf numFmtId="0" fontId="92" fillId="0" borderId="0" applyAlignment="1" pivotButton="0" quotePrefix="0" xfId="0">
      <alignment horizontal="center" vertical="center" wrapText="1"/>
    </xf>
    <xf numFmtId="0" fontId="16" fillId="0" borderId="47" applyAlignment="1" pivotButton="0" quotePrefix="0" xfId="0">
      <alignment horizontal="left" vertical="center" indent="1"/>
    </xf>
    <xf numFmtId="0" fontId="16" fillId="0" borderId="69" applyAlignment="1" pivotButton="0" quotePrefix="0" xfId="0">
      <alignment horizontal="center" vertical="center"/>
    </xf>
    <xf numFmtId="0" fontId="0" fillId="0" borderId="69" pivotButton="0" quotePrefix="0" xfId="0"/>
    <xf numFmtId="0" fontId="16" fillId="0" borderId="49" applyAlignment="1" pivotButton="0" quotePrefix="0" xfId="0">
      <alignment horizontal="left" vertical="center" indent="1"/>
    </xf>
    <xf numFmtId="0" fontId="51" fillId="0" borderId="55" applyAlignment="1" applyProtection="1" pivotButton="0" quotePrefix="0" xfId="0">
      <alignment horizontal="left" vertical="top" indent="1"/>
      <protection locked="0" hidden="0"/>
    </xf>
    <xf numFmtId="0" fontId="1" fillId="0" borderId="58" applyAlignment="1" pivotButton="0" quotePrefix="0" xfId="0">
      <alignment horizontal="center" vertical="center" wrapText="1"/>
    </xf>
    <xf numFmtId="0" fontId="19" fillId="0" borderId="49" applyAlignment="1" pivotButton="0" quotePrefix="0" xfId="0">
      <alignment horizontal="center" vertical="center"/>
    </xf>
    <xf numFmtId="0" fontId="16" fillId="0" borderId="90" applyAlignment="1" pivotButton="0" quotePrefix="0" xfId="0">
      <alignment horizontal="left" vertical="center"/>
    </xf>
    <xf numFmtId="0" fontId="0" fillId="0" borderId="90" pivotButton="0" quotePrefix="0" xfId="0"/>
    <xf numFmtId="0" fontId="16" fillId="0" borderId="68" applyAlignment="1" pivotButton="0" quotePrefix="0" xfId="0">
      <alignment horizontal="left" vertical="center"/>
    </xf>
    <xf numFmtId="0" fontId="0" fillId="0" borderId="67" pivotButton="0" quotePrefix="0" xfId="0"/>
    <xf numFmtId="0" fontId="0" fillId="0" borderId="68" pivotButton="0" quotePrefix="0" xfId="0"/>
    <xf numFmtId="0" fontId="51" fillId="0" borderId="179" applyAlignment="1" applyProtection="1" pivotButton="0" quotePrefix="0" xfId="0">
      <alignment horizontal="left" vertical="top" indent="1"/>
      <protection locked="0" hidden="0"/>
    </xf>
    <xf numFmtId="0" fontId="51" fillId="0" borderId="49" applyAlignment="1" applyProtection="1" pivotButton="0" quotePrefix="0" xfId="0">
      <alignment horizontal="left" vertical="top" indent="1"/>
      <protection locked="0" hidden="0"/>
    </xf>
    <xf numFmtId="0" fontId="25" fillId="0" borderId="139" applyAlignment="1" pivotButton="0" quotePrefix="0" xfId="0">
      <alignment horizontal="center" vertical="center"/>
    </xf>
    <xf numFmtId="0" fontId="16" fillId="0" borderId="40" applyAlignment="1" pivotButton="0" quotePrefix="0" xfId="0">
      <alignment horizontal="left" vertical="center"/>
    </xf>
    <xf numFmtId="0" fontId="16" fillId="0" borderId="91" applyAlignment="1" pivotButton="0" quotePrefix="0" xfId="0">
      <alignment horizontal="left" vertical="center"/>
    </xf>
    <xf numFmtId="0" fontId="0" fillId="0" borderId="91" pivotButton="0" quotePrefix="0" xfId="0"/>
    <xf numFmtId="0" fontId="51" fillId="0" borderId="59" applyAlignment="1" applyProtection="1" pivotButton="0" quotePrefix="0" xfId="0">
      <alignment horizontal="left" vertical="top" indent="1"/>
      <protection locked="0" hidden="0"/>
    </xf>
    <xf numFmtId="0" fontId="0" fillId="0" borderId="60" applyProtection="1" pivotButton="0" quotePrefix="0" xfId="0">
      <protection locked="0" hidden="0"/>
    </xf>
    <xf numFmtId="0" fontId="75" fillId="0" borderId="59" applyAlignment="1" pivotButton="0" quotePrefix="0" xfId="0">
      <alignment horizontal="left" indent="1"/>
    </xf>
    <xf numFmtId="0" fontId="16" fillId="0" borderId="35" applyAlignment="1" pivotButton="0" quotePrefix="0" xfId="0">
      <alignment horizontal="left" vertical="center" indent="1"/>
    </xf>
    <xf numFmtId="0" fontId="16" fillId="0" borderId="22" applyAlignment="1" pivotButton="0" quotePrefix="0" xfId="0">
      <alignment horizontal="left" vertical="center"/>
    </xf>
    <xf numFmtId="0" fontId="16" fillId="0" borderId="48" applyAlignment="1" pivotButton="0" quotePrefix="0" xfId="0">
      <alignment horizontal="left" vertical="center"/>
    </xf>
    <xf numFmtId="0" fontId="16" fillId="0" borderId="230" applyAlignment="1" pivotButton="0" quotePrefix="0" xfId="0">
      <alignment horizontal="left" vertical="center" indent="1"/>
    </xf>
    <xf numFmtId="0" fontId="1" fillId="0" borderId="60" applyAlignment="1" pivotButton="0" quotePrefix="0" xfId="0">
      <alignment horizontal="center" vertical="center" wrapText="1"/>
    </xf>
    <xf numFmtId="0" fontId="16" fillId="0" borderId="242" applyAlignment="1" pivotButton="0" quotePrefix="0" xfId="0">
      <alignment horizontal="left" vertical="center" indent="1"/>
    </xf>
    <xf numFmtId="0" fontId="1" fillId="0" borderId="49" applyAlignment="1" pivotButton="0" quotePrefix="0" xfId="0">
      <alignment horizontal="center" vertical="center" wrapText="1"/>
    </xf>
    <xf numFmtId="0" fontId="51" fillId="0" borderId="218" applyAlignment="1" applyProtection="1" pivotButton="0" quotePrefix="0" xfId="0">
      <alignment horizontal="left" vertical="top" indent="1"/>
      <protection locked="0" hidden="0"/>
    </xf>
    <xf numFmtId="0" fontId="75" fillId="0" borderId="58" applyAlignment="1" pivotButton="0" quotePrefix="0" xfId="0">
      <alignment horizontal="left" indent="1"/>
    </xf>
    <xf numFmtId="0" fontId="16" fillId="0" borderId="91" applyAlignment="1" pivotButton="0" quotePrefix="0" xfId="0">
      <alignment horizontal="center" vertical="center"/>
    </xf>
    <xf numFmtId="0" fontId="97" fillId="0" borderId="0" applyAlignment="1" pivotButton="0" quotePrefix="0" xfId="0">
      <alignment horizontal="center" vertical="center" wrapText="1"/>
    </xf>
    <xf numFmtId="0" fontId="3" fillId="0" borderId="49" applyAlignment="1" pivotButton="0" quotePrefix="0" xfId="0">
      <alignment horizontal="left" vertical="center"/>
    </xf>
    <xf numFmtId="0" fontId="3" fillId="0" borderId="46" applyAlignment="1" pivotButton="0" quotePrefix="0" xfId="0">
      <alignment horizontal="left" vertical="center"/>
    </xf>
    <xf numFmtId="0" fontId="3" fillId="0" borderId="49" applyAlignment="1" applyProtection="1" pivotButton="0" quotePrefix="0" xfId="0">
      <alignment horizontal="left" vertical="center"/>
      <protection locked="0" hidden="0"/>
    </xf>
    <xf numFmtId="0" fontId="2" fillId="0" borderId="0" applyAlignment="1" pivotButton="0" quotePrefix="0" xfId="0">
      <alignment horizontal="left" vertical="top"/>
    </xf>
    <xf numFmtId="0" fontId="3" fillId="0" borderId="46" applyAlignment="1" pivotButton="0" quotePrefix="0" xfId="0">
      <alignment horizontal="left" vertical="center" wrapText="1"/>
    </xf>
    <xf numFmtId="0" fontId="3" fillId="0" borderId="46" applyAlignment="1" applyProtection="1" pivotButton="0" quotePrefix="0" xfId="0">
      <alignment horizontal="left" vertical="center" wrapText="1"/>
      <protection locked="0" hidden="0"/>
    </xf>
    <xf numFmtId="0" fontId="3" fillId="11" borderId="213" applyAlignment="1" pivotButton="0" quotePrefix="0" xfId="0">
      <alignment horizontal="center" vertical="center"/>
    </xf>
    <xf numFmtId="0" fontId="3" fillId="0" borderId="184" applyAlignment="1" applyProtection="1" pivotButton="0" quotePrefix="0" xfId="0">
      <alignment horizontal="left" vertical="center" wrapText="1"/>
      <protection locked="0" hidden="0"/>
    </xf>
    <xf numFmtId="0" fontId="98" fillId="0" borderId="218" applyAlignment="1" pivotButton="0" quotePrefix="0" xfId="0">
      <alignment horizontal="center" vertical="center" wrapText="1"/>
    </xf>
    <xf numFmtId="0" fontId="0" fillId="0" borderId="226" pivotButton="0" quotePrefix="0" xfId="0"/>
    <xf numFmtId="0" fontId="0" fillId="0" borderId="267" pivotButton="0" quotePrefix="0" xfId="0"/>
    <xf numFmtId="0" fontId="18" fillId="0" borderId="51" applyAlignment="1" pivotButton="0" quotePrefix="0" xfId="0">
      <alignment horizontal="left"/>
    </xf>
    <xf numFmtId="0" fontId="62" fillId="0" borderId="32" applyAlignment="1" applyProtection="1" pivotButton="0" quotePrefix="0" xfId="0">
      <alignment horizontal="left"/>
      <protection locked="0" hidden="0"/>
    </xf>
    <xf numFmtId="14" fontId="18" fillId="0" borderId="57" applyAlignment="1" pivotButton="0" quotePrefix="0" xfId="0">
      <alignment horizontal="center"/>
    </xf>
    <xf numFmtId="0" fontId="9" fillId="0" borderId="130" applyAlignment="1" pivotButton="0" quotePrefix="0" xfId="0">
      <alignment horizontal="center" vertical="center"/>
    </xf>
    <xf numFmtId="0" fontId="0" fillId="0" borderId="337" pivotButton="0" quotePrefix="0" xfId="0"/>
    <xf numFmtId="0" fontId="0" fillId="0" borderId="338" pivotButton="0" quotePrefix="0" xfId="0"/>
    <xf numFmtId="0" fontId="18" fillId="0" borderId="112" applyAlignment="1" pivotButton="0" quotePrefix="0" xfId="0">
      <alignment horizontal="center" vertical="center" wrapText="1"/>
    </xf>
    <xf numFmtId="0" fontId="0" fillId="0" borderId="103" pivotButton="0" quotePrefix="0" xfId="0"/>
    <xf numFmtId="0" fontId="0" fillId="0" borderId="101" pivotButton="0" quotePrefix="0" xfId="0"/>
    <xf numFmtId="0" fontId="16" fillId="0" borderId="104" applyAlignment="1" pivotButton="0" quotePrefix="0" xfId="0">
      <alignment horizontal="left" vertical="center"/>
    </xf>
    <xf numFmtId="0" fontId="0" fillId="0" borderId="104" pivotButton="0" quotePrefix="0" xfId="0"/>
    <xf numFmtId="0" fontId="18" fillId="11" borderId="76" applyAlignment="1" pivotButton="0" quotePrefix="0" xfId="0">
      <alignment horizontal="center" vertical="center"/>
    </xf>
    <xf numFmtId="0" fontId="0" fillId="0" borderId="108" pivotButton="0" quotePrefix="0" xfId="0"/>
    <xf numFmtId="0" fontId="0" fillId="0" borderId="110" pivotButton="0" quotePrefix="0" xfId="0"/>
    <xf numFmtId="49" fontId="8" fillId="0" borderId="102" applyAlignment="1" pivotButton="0" quotePrefix="0" xfId="0">
      <alignment horizontal="center" vertical="center"/>
    </xf>
    <xf numFmtId="0" fontId="0" fillId="0" borderId="102" pivotButton="0" quotePrefix="0" xfId="0"/>
    <xf numFmtId="0" fontId="18" fillId="11" borderId="100" applyAlignment="1" pivotButton="0" quotePrefix="0" xfId="0">
      <alignment horizontal="center" vertical="center"/>
    </xf>
    <xf numFmtId="0" fontId="0" fillId="0" borderId="122" pivotButton="0" quotePrefix="0" xfId="0"/>
    <xf numFmtId="0" fontId="18" fillId="11" borderId="112" applyAlignment="1" pivotButton="0" quotePrefix="0" xfId="0">
      <alignment horizontal="center" vertical="center"/>
    </xf>
    <xf numFmtId="0" fontId="0" fillId="0" borderId="107" pivotButton="0" quotePrefix="0" xfId="0"/>
    <xf numFmtId="0" fontId="0" fillId="0" borderId="111" pivotButton="0" quotePrefix="0" xfId="0"/>
    <xf numFmtId="0" fontId="0" fillId="0" borderId="128" pivotButton="0" quotePrefix="0" xfId="0"/>
    <xf numFmtId="0" fontId="19" fillId="4" borderId="112" applyAlignment="1" pivotButton="0" quotePrefix="0" xfId="0">
      <alignment horizontal="center" vertical="center" wrapText="1"/>
    </xf>
    <xf numFmtId="0" fontId="18" fillId="11" borderId="103" applyAlignment="1" pivotButton="0" quotePrefix="0" xfId="0">
      <alignment horizontal="center" vertical="center"/>
    </xf>
    <xf numFmtId="0" fontId="1" fillId="0" borderId="112" applyAlignment="1" pivotButton="0" quotePrefix="0" xfId="0">
      <alignment horizontal="center" vertical="center" wrapText="1"/>
    </xf>
    <xf numFmtId="0" fontId="18" fillId="11" borderId="106" applyAlignment="1" pivotButton="0" quotePrefix="0" xfId="0">
      <alignment horizontal="center" vertical="center"/>
    </xf>
    <xf numFmtId="0" fontId="0" fillId="0" borderId="109" pivotButton="0" quotePrefix="0" xfId="0"/>
    <xf numFmtId="0" fontId="16" fillId="0" borderId="112" applyAlignment="1" pivotButton="0" quotePrefix="0" xfId="0">
      <alignment horizontal="center" vertical="center" wrapText="1"/>
    </xf>
    <xf numFmtId="0" fontId="18" fillId="11" borderId="268" applyAlignment="1" pivotButton="0" quotePrefix="0" xfId="0">
      <alignment horizontal="center" vertical="center"/>
    </xf>
    <xf numFmtId="0" fontId="18" fillId="11" borderId="341" applyAlignment="1" pivotButton="0" quotePrefix="0" xfId="0">
      <alignment horizontal="center" vertical="center"/>
    </xf>
    <xf numFmtId="0" fontId="9" fillId="0" borderId="274" applyAlignment="1" pivotButton="0" quotePrefix="0" xfId="0">
      <alignment horizontal="center" vertical="center"/>
    </xf>
    <xf numFmtId="0" fontId="0" fillId="0" borderId="339" pivotButton="0" quotePrefix="0" xfId="0"/>
    <xf numFmtId="0" fontId="0" fillId="0" borderId="340" pivotButton="0" quotePrefix="0" xfId="0"/>
    <xf numFmtId="0" fontId="18" fillId="11" borderId="1" applyAlignment="1" pivotButton="0" quotePrefix="0" xfId="0">
      <alignment horizontal="center" vertical="center"/>
    </xf>
    <xf numFmtId="0" fontId="0" fillId="0" borderId="4" pivotButton="0" quotePrefix="0" xfId="0"/>
    <xf numFmtId="0" fontId="18" fillId="11" borderId="342" applyAlignment="1" pivotButton="0" quotePrefix="0" xfId="0">
      <alignment horizontal="center" vertical="center"/>
    </xf>
    <xf numFmtId="0" fontId="0" fillId="0" borderId="343" pivotButton="0" quotePrefix="0" xfId="0"/>
    <xf numFmtId="0" fontId="19" fillId="7" borderId="29" applyAlignment="1" pivotButton="0" quotePrefix="0" xfId="0">
      <alignment horizontal="center" vertical="center" wrapText="1"/>
    </xf>
    <xf numFmtId="49" fontId="18" fillId="0" borderId="49" applyAlignment="1" pivotButton="0" quotePrefix="0" xfId="0">
      <alignment horizontal="center" vertical="center" wrapText="1"/>
    </xf>
    <xf numFmtId="0" fontId="13" fillId="11" borderId="187" applyAlignment="1" pivotButton="0" quotePrefix="0" xfId="0">
      <alignment horizontal="center" vertical="center" wrapText="1"/>
    </xf>
    <xf numFmtId="0" fontId="0" fillId="0" borderId="189" pivotButton="0" quotePrefix="0" xfId="0"/>
    <xf numFmtId="0" fontId="27" fillId="11" borderId="344" applyAlignment="1" pivotButton="0" quotePrefix="0" xfId="0">
      <alignment horizontal="center" vertical="center" wrapText="1"/>
    </xf>
    <xf numFmtId="0" fontId="0" fillId="0" borderId="345" pivotButton="0" quotePrefix="0" xfId="0"/>
    <xf numFmtId="0" fontId="41" fillId="4" borderId="179" applyAlignment="1" pivotButton="0" quotePrefix="0" xfId="0">
      <alignment horizontal="center" vertical="center" wrapText="1"/>
    </xf>
    <xf numFmtId="3" fontId="24" fillId="0" borderId="49" applyAlignment="1" applyProtection="1" pivotButton="0" quotePrefix="0" xfId="0">
      <alignment horizontal="right" vertical="center" wrapText="1"/>
      <protection locked="0" hidden="0"/>
    </xf>
    <xf numFmtId="3" fontId="24" fillId="0" borderId="180" applyAlignment="1" applyProtection="1" pivotButton="0" quotePrefix="0" xfId="0">
      <alignment horizontal="right" vertical="center" wrapText="1"/>
      <protection locked="0" hidden="0"/>
    </xf>
    <xf numFmtId="3" fontId="24" fillId="0" borderId="59" applyAlignment="1" pivotButton="0" quotePrefix="0" xfId="0">
      <alignment horizontal="right" vertical="center" wrapText="1"/>
    </xf>
    <xf numFmtId="0" fontId="54" fillId="0" borderId="181" applyAlignment="1" applyProtection="1" pivotButton="0" quotePrefix="0" xfId="0">
      <alignment horizontal="left" vertical="center" wrapText="1" indent="1"/>
      <protection locked="0" hidden="0"/>
    </xf>
    <xf numFmtId="0" fontId="24" fillId="0" borderId="249" applyAlignment="1" pivotButton="0" quotePrefix="0" xfId="0">
      <alignment horizontal="left" vertical="center" wrapText="1" indent="1"/>
    </xf>
    <xf numFmtId="0" fontId="24" fillId="0" borderId="4" applyAlignment="1" pivotButton="0" quotePrefix="0" xfId="0">
      <alignment horizontal="left" vertical="center" wrapText="1" indent="1"/>
    </xf>
    <xf numFmtId="0" fontId="24" fillId="11" borderId="307" applyAlignment="1" pivotButton="0" quotePrefix="0" xfId="0">
      <alignment horizontal="center" vertical="center" wrapText="1"/>
    </xf>
    <xf numFmtId="0" fontId="24" fillId="0" borderId="4" applyAlignment="1" pivotButton="0" quotePrefix="0" xfId="0">
      <alignment horizontal="left" indent="1"/>
    </xf>
    <xf numFmtId="3" fontId="24" fillId="0" borderId="55" applyAlignment="1" applyProtection="1" pivotButton="0" quotePrefix="0" xfId="0">
      <alignment horizontal="right" vertical="center" wrapText="1"/>
      <protection locked="0" hidden="0"/>
    </xf>
    <xf numFmtId="3" fontId="24" fillId="0" borderId="59" applyAlignment="1" applyProtection="1" pivotButton="0" quotePrefix="0" xfId="0">
      <alignment horizontal="right" vertical="center" wrapText="1"/>
      <protection locked="0" hidden="0"/>
    </xf>
    <xf numFmtId="0" fontId="41" fillId="4" borderId="14" applyAlignment="1" pivotButton="0" quotePrefix="0" xfId="0">
      <alignment horizontal="center" vertical="center"/>
    </xf>
    <xf numFmtId="0" fontId="54" fillId="0" borderId="4" applyAlignment="1" applyProtection="1" pivotButton="0" quotePrefix="0" xfId="0">
      <alignment horizontal="left" vertical="center" wrapText="1" indent="1"/>
      <protection locked="0" hidden="0"/>
    </xf>
    <xf numFmtId="3" fontId="24" fillId="0" borderId="346" applyAlignment="1" pivotButton="0" quotePrefix="0" xfId="0">
      <alignment horizontal="right" vertical="center" wrapText="1"/>
    </xf>
    <xf numFmtId="3" fontId="26" fillId="4" borderId="180" applyAlignment="1" pivotButton="0" quotePrefix="0" xfId="0">
      <alignment horizontal="right" vertical="center" wrapText="1"/>
    </xf>
    <xf numFmtId="3" fontId="26" fillId="4" borderId="49" applyAlignment="1" pivotButton="0" quotePrefix="0" xfId="0">
      <alignment horizontal="right" vertical="center" wrapText="1"/>
    </xf>
    <xf numFmtId="3" fontId="26" fillId="0" borderId="49" applyAlignment="1" applyProtection="1" pivotButton="0" quotePrefix="0" xfId="0">
      <alignment horizontal="right" vertical="center" wrapText="1"/>
      <protection locked="0" hidden="0"/>
    </xf>
    <xf numFmtId="3" fontId="26" fillId="4" borderId="220" applyAlignment="1" pivotButton="0" quotePrefix="0" xfId="0">
      <alignment horizontal="right" vertical="center"/>
    </xf>
    <xf numFmtId="0" fontId="24" fillId="0" borderId="179" applyAlignment="1" pivotButton="0" quotePrefix="0" xfId="0">
      <alignment horizontal="center" vertical="center" wrapText="1"/>
    </xf>
    <xf numFmtId="0" fontId="0" fillId="0" borderId="245" pivotButton="0" quotePrefix="0" xfId="0"/>
    <xf numFmtId="3" fontId="26" fillId="0" borderId="219" applyAlignment="1" applyProtection="1" pivotButton="0" quotePrefix="0" xfId="0">
      <alignment horizontal="right" vertical="center" wrapText="1"/>
      <protection locked="0" hidden="0"/>
    </xf>
    <xf numFmtId="0" fontId="26" fillId="4" borderId="218" applyAlignment="1" pivotButton="0" quotePrefix="0" xfId="0">
      <alignment horizontal="center" vertical="center" wrapText="1"/>
    </xf>
    <xf numFmtId="0" fontId="40" fillId="0" borderId="4" applyAlignment="1" pivotButton="0" quotePrefix="0" xfId="0">
      <alignment horizontal="center" vertical="center" wrapText="1"/>
    </xf>
    <xf numFmtId="3" fontId="24" fillId="0" borderId="219" applyAlignment="1" applyProtection="1" pivotButton="0" quotePrefix="0" xfId="0">
      <alignment horizontal="right" vertical="center" wrapText="1"/>
      <protection locked="0" hidden="0"/>
    </xf>
    <xf numFmtId="0" fontId="24" fillId="0" borderId="231" applyAlignment="1" pivotButton="0" quotePrefix="0" xfId="0">
      <alignment horizontal="center" vertical="center" wrapText="1"/>
    </xf>
    <xf numFmtId="0" fontId="54" fillId="0" borderId="179" applyAlignment="1" applyProtection="1" pivotButton="0" quotePrefix="0" xfId="0">
      <alignment horizontal="left" vertical="center" wrapText="1" indent="1"/>
      <protection locked="0" hidden="0"/>
    </xf>
    <xf numFmtId="3" fontId="24" fillId="0" borderId="8" applyAlignment="1" pivotButton="0" quotePrefix="0" xfId="0">
      <alignment horizontal="right" vertical="center" wrapText="1"/>
    </xf>
    <xf numFmtId="0" fontId="0" fillId="0" borderId="242" applyProtection="1" pivotButton="0" quotePrefix="0" xfId="0">
      <protection locked="0" hidden="0"/>
    </xf>
    <xf numFmtId="0" fontId="0" fillId="0" borderId="39" applyProtection="1" pivotButton="0" quotePrefix="0" xfId="0">
      <protection locked="0" hidden="0"/>
    </xf>
    <xf numFmtId="0" fontId="24" fillId="0" borderId="212" applyAlignment="1" pivotButton="0" quotePrefix="0" xfId="0">
      <alignment horizontal="center" vertical="center" wrapText="1"/>
    </xf>
    <xf numFmtId="3" fontId="24" fillId="0" borderId="58" applyAlignment="1" pivotButton="0" quotePrefix="0" xfId="0">
      <alignment horizontal="right" vertical="center" wrapText="1"/>
    </xf>
    <xf numFmtId="0" fontId="26" fillId="0" borderId="179" applyAlignment="1" pivotButton="0" quotePrefix="0" xfId="0">
      <alignment horizontal="center" vertical="center" wrapText="1"/>
    </xf>
    <xf numFmtId="0" fontId="24" fillId="0" borderId="243" applyAlignment="1" pivotButton="0" quotePrefix="0" xfId="0">
      <alignment horizontal="center" vertical="center" wrapText="1"/>
    </xf>
    <xf numFmtId="0" fontId="24" fillId="0" borderId="320" applyAlignment="1" pivotButton="0" quotePrefix="0" xfId="0">
      <alignment horizontal="left" vertical="center" wrapText="1"/>
    </xf>
    <xf numFmtId="0" fontId="32" fillId="4" borderId="218" applyAlignment="1" pivotButton="0" quotePrefix="0" xfId="0">
      <alignment horizontal="right" vertical="center" indent="1"/>
    </xf>
    <xf numFmtId="0" fontId="53" fillId="0" borderId="238" applyAlignment="1" applyProtection="1" pivotButton="0" quotePrefix="0" xfId="0">
      <alignment horizontal="left" vertical="center" indent="1"/>
      <protection locked="0" hidden="0"/>
    </xf>
    <xf numFmtId="0" fontId="0" fillId="0" borderId="34" applyProtection="1" pivotButton="0" quotePrefix="0" xfId="0">
      <protection locked="0" hidden="0"/>
    </xf>
    <xf numFmtId="0" fontId="53" fillId="0" borderId="49" applyAlignment="1" applyProtection="1" pivotButton="0" quotePrefix="0" xfId="0">
      <alignment horizontal="left" vertical="center" indent="1"/>
      <protection locked="0" hidden="0"/>
    </xf>
    <xf numFmtId="0" fontId="53" fillId="0" borderId="58" applyAlignment="1" applyProtection="1" pivotButton="0" quotePrefix="0" xfId="0">
      <alignment horizontal="left" vertical="center" indent="1"/>
      <protection locked="0" hidden="0"/>
    </xf>
    <xf numFmtId="0" fontId="0" fillId="0" borderId="35" applyProtection="1" pivotButton="0" quotePrefix="0" xfId="0">
      <protection locked="0" hidden="0"/>
    </xf>
    <xf numFmtId="0" fontId="53" fillId="0" borderId="179" applyAlignment="1" applyProtection="1" pivotButton="0" quotePrefix="0" xfId="0">
      <alignment horizontal="left" vertical="center" indent="1"/>
      <protection locked="0" hidden="0"/>
    </xf>
    <xf numFmtId="3" fontId="4" fillId="0" borderId="49" applyAlignment="1" applyProtection="1" pivotButton="0" quotePrefix="0" xfId="0">
      <alignment horizontal="right" vertical="center" indent="1"/>
      <protection locked="0" hidden="0"/>
    </xf>
    <xf numFmtId="0" fontId="23" fillId="0" borderId="218" applyAlignment="1" pivotButton="0" quotePrefix="0" xfId="0">
      <alignment horizontal="left" vertical="center" indent="1"/>
    </xf>
    <xf numFmtId="0" fontId="23" fillId="0" borderId="179" applyAlignment="1" pivotButton="0" quotePrefix="0" xfId="0">
      <alignment horizontal="left" vertical="center" indent="1"/>
    </xf>
    <xf numFmtId="3" fontId="4" fillId="0" borderId="219" applyAlignment="1" applyProtection="1" pivotButton="0" quotePrefix="0" xfId="0">
      <alignment horizontal="right" vertical="center" indent="1"/>
      <protection locked="0" hidden="0"/>
    </xf>
    <xf numFmtId="0" fontId="18" fillId="11" borderId="214" applyAlignment="1" pivotButton="0" quotePrefix="0" xfId="0">
      <alignment horizontal="center" vertical="center"/>
    </xf>
    <xf numFmtId="3" fontId="27" fillId="23" borderId="133" applyAlignment="1" pivotButton="0" quotePrefix="0" xfId="0">
      <alignment horizontal="center" vertical="center" wrapText="1"/>
    </xf>
    <xf numFmtId="0" fontId="0" fillId="0" borderId="62" pivotButton="0" quotePrefix="0" xfId="0"/>
    <xf numFmtId="0" fontId="0" fillId="0" borderId="138" pivotButton="0" quotePrefix="0" xfId="0"/>
    <xf numFmtId="0" fontId="27" fillId="23" borderId="134" applyAlignment="1" pivotButton="0" quotePrefix="0" xfId="0">
      <alignment horizontal="center" vertical="center" wrapText="1"/>
    </xf>
    <xf numFmtId="0" fontId="0" fillId="0" borderId="291" pivotButton="0" quotePrefix="0" xfId="0"/>
    <xf numFmtId="0" fontId="0" fillId="0" borderId="293" pivotButton="0" quotePrefix="0" xfId="0"/>
    <xf numFmtId="0" fontId="0" fillId="0" borderId="11" pivotButton="0" quotePrefix="0" xfId="0"/>
    <xf numFmtId="49" fontId="8" fillId="0" borderId="49" applyAlignment="1" pivotButton="0" quotePrefix="0" xfId="0">
      <alignment horizontal="center" vertical="center" wrapText="1"/>
    </xf>
    <xf numFmtId="0" fontId="27" fillId="23" borderId="133" applyAlignment="1" pivotButton="0" quotePrefix="0" xfId="0">
      <alignment horizontal="center" vertical="center" wrapText="1"/>
    </xf>
    <xf numFmtId="0" fontId="27" fillId="23" borderId="132" applyAlignment="1" pivotButton="0" quotePrefix="0" xfId="0">
      <alignment horizontal="center" vertical="center" wrapText="1"/>
    </xf>
    <xf numFmtId="0" fontId="0" fillId="0" borderId="236" pivotButton="0" quotePrefix="0" xfId="0"/>
    <xf numFmtId="0" fontId="0" fillId="0" borderId="292" pivotButton="0" quotePrefix="0" xfId="0"/>
    <xf numFmtId="3" fontId="4" fillId="0" borderId="49" applyAlignment="1" applyProtection="1" pivotButton="0" quotePrefix="0" xfId="0">
      <alignment horizontal="right" vertical="center"/>
      <protection locked="0" hidden="0"/>
    </xf>
    <xf numFmtId="3" fontId="18" fillId="4" borderId="219" applyAlignment="1" pivotButton="0" quotePrefix="0" xfId="0">
      <alignment horizontal="right" vertical="center"/>
    </xf>
    <xf numFmtId="49" fontId="18" fillId="0" borderId="93" applyAlignment="1" pivotButton="0" quotePrefix="0" xfId="0">
      <alignment horizontal="center" vertical="center" wrapText="1"/>
    </xf>
    <xf numFmtId="3" fontId="3" fillId="4" borderId="49" applyAlignment="1" pivotButton="0" quotePrefix="0" xfId="0">
      <alignment horizontal="right" vertical="center"/>
    </xf>
    <xf numFmtId="0" fontId="18" fillId="0" borderId="22" applyAlignment="1" pivotButton="0" quotePrefix="0" xfId="0">
      <alignment horizontal="center" vertical="center"/>
    </xf>
    <xf numFmtId="0" fontId="18" fillId="4" borderId="218" applyAlignment="1" pivotButton="0" quotePrefix="0" xfId="0">
      <alignment horizontal="left" vertical="center" indent="1"/>
    </xf>
    <xf numFmtId="3" fontId="25" fillId="4" borderId="219" applyAlignment="1" pivotButton="0" quotePrefix="0" xfId="0">
      <alignment horizontal="right" vertical="center"/>
    </xf>
    <xf numFmtId="0" fontId="23" fillId="0" borderId="179" applyAlignment="1" pivotButton="0" quotePrefix="0" xfId="3">
      <alignment horizontal="left" vertical="center" indent="1"/>
    </xf>
    <xf numFmtId="0" fontId="23" fillId="23" borderId="179" applyAlignment="1" pivotButton="0" quotePrefix="0" xfId="3">
      <alignment horizontal="left" vertical="center"/>
    </xf>
    <xf numFmtId="0" fontId="23" fillId="11" borderId="243" applyAlignment="1" pivotButton="0" quotePrefix="0" xfId="3">
      <alignment horizontal="center"/>
    </xf>
    <xf numFmtId="49" fontId="1" fillId="0" borderId="0" applyAlignment="1" pivotButton="0" quotePrefix="0" xfId="0">
      <alignment horizontal="center" vertical="center"/>
    </xf>
    <xf numFmtId="0" fontId="57" fillId="4" borderId="219" applyAlignment="1" pivotButton="0" quotePrefix="0" xfId="0">
      <alignment horizontal="center" vertical="center"/>
    </xf>
    <xf numFmtId="49" fontId="13" fillId="0" borderId="49" applyAlignment="1" pivotButton="0" quotePrefix="0" xfId="0">
      <alignment horizontal="center" vertical="center" wrapText="1"/>
    </xf>
    <xf numFmtId="0" fontId="23" fillId="0" borderId="179" applyAlignment="1" pivotButton="0" quotePrefix="0" xfId="3">
      <alignment horizontal="left" vertical="center"/>
    </xf>
    <xf numFmtId="0" fontId="25" fillId="4" borderId="218" applyAlignment="1" pivotButton="0" quotePrefix="0" xfId="3">
      <alignment horizontal="right" vertical="center"/>
    </xf>
    <xf numFmtId="0" fontId="4" fillId="0" borderId="179" applyAlignment="1" applyProtection="1" pivotButton="0" quotePrefix="0" xfId="0">
      <alignment horizontal="left" vertical="center" indent="1"/>
      <protection locked="0" hidden="0"/>
    </xf>
    <xf numFmtId="0" fontId="4" fillId="0" borderId="249" applyAlignment="1" applyProtection="1" pivotButton="0" quotePrefix="0" xfId="0">
      <alignment horizontal="left" vertical="center" indent="1"/>
      <protection locked="0" hidden="0"/>
    </xf>
    <xf numFmtId="0" fontId="4" fillId="0" borderId="245" applyAlignment="1" applyProtection="1" pivotButton="0" quotePrefix="0" xfId="0">
      <alignment horizontal="left" vertical="center" indent="1"/>
      <protection locked="0" hidden="0"/>
    </xf>
    <xf numFmtId="0" fontId="4" fillId="0" borderId="218" applyAlignment="1" applyProtection="1" pivotButton="0" quotePrefix="0" xfId="0">
      <alignment horizontal="left" vertical="center" indent="1"/>
      <protection locked="0" hidden="0"/>
    </xf>
    <xf numFmtId="0" fontId="3" fillId="11" borderId="179" applyAlignment="1" pivotButton="0" quotePrefix="0" xfId="0">
      <alignment horizontal="center" vertical="center"/>
    </xf>
    <xf numFmtId="0" fontId="3" fillId="8" borderId="243" applyAlignment="1" pivotButton="0" quotePrefix="0" xfId="0">
      <alignment horizontal="center" vertical="center"/>
    </xf>
    <xf numFmtId="0" fontId="4" fillId="0" borderId="179" applyAlignment="1" applyProtection="1" pivotButton="0" quotePrefix="0" xfId="0">
      <alignment horizontal="left" vertical="center" wrapText="1" indent="1"/>
      <protection locked="0" hidden="0"/>
    </xf>
    <xf numFmtId="0" fontId="26" fillId="0" borderId="133" applyAlignment="1" pivotButton="0" quotePrefix="0" xfId="0">
      <alignment horizontal="center" vertical="center" wrapText="1"/>
    </xf>
    <xf numFmtId="49" fontId="18" fillId="0" borderId="325" applyAlignment="1" pivotButton="0" quotePrefix="0" xfId="0">
      <alignment horizontal="center" vertical="center" wrapText="1"/>
    </xf>
    <xf numFmtId="3" fontId="26" fillId="0" borderId="134" applyAlignment="1" pivotButton="0" quotePrefix="0" xfId="0">
      <alignment horizontal="center" vertical="center" wrapText="1"/>
    </xf>
    <xf numFmtId="0" fontId="39" fillId="0" borderId="0" applyAlignment="1" pivotButton="0" quotePrefix="0" xfId="0">
      <alignment horizontal="center" vertical="center"/>
    </xf>
    <xf numFmtId="3" fontId="0" fillId="0" borderId="0" pivotButton="0" quotePrefix="0" xfId="0"/>
    <xf numFmtId="0" fontId="4" fillId="0" borderId="57" applyAlignment="1" pivotButton="0" quotePrefix="0" xfId="0">
      <alignment horizontal="left" vertical="center"/>
    </xf>
    <xf numFmtId="0" fontId="26" fillId="0" borderId="132" applyAlignment="1" pivotButton="0" quotePrefix="0" xfId="0">
      <alignment horizontal="center" vertical="center"/>
    </xf>
    <xf numFmtId="0" fontId="0" fillId="0" borderId="295" pivotButton="0" quotePrefix="0" xfId="0"/>
    <xf numFmtId="0" fontId="0" fillId="0" borderId="296" pivotButton="0" quotePrefix="0" xfId="0"/>
    <xf numFmtId="49" fontId="14" fillId="0" borderId="139" applyAlignment="1" pivotButton="0" quotePrefix="0" xfId="0">
      <alignment horizontal="center" vertical="center" wrapText="1"/>
    </xf>
    <xf numFmtId="0" fontId="27" fillId="0" borderId="142" pivotButton="0" quotePrefix="0" xfId="0"/>
    <xf numFmtId="0" fontId="0" fillId="0" borderId="154" pivotButton="0" quotePrefix="0" xfId="0"/>
    <xf numFmtId="0" fontId="26" fillId="23" borderId="139" applyAlignment="1" pivotButton="0" quotePrefix="0" xfId="0">
      <alignment horizontal="center" vertical="center" wrapText="1"/>
    </xf>
    <xf numFmtId="0" fontId="22" fillId="0" borderId="139" pivotButton="0" quotePrefix="0" xfId="0"/>
    <xf numFmtId="0" fontId="22" fillId="0" borderId="136" pivotButton="0" quotePrefix="0" xfId="0"/>
    <xf numFmtId="0" fontId="0" fillId="0" borderId="150" pivotButton="0" quotePrefix="0" xfId="0"/>
    <xf numFmtId="0" fontId="24" fillId="23" borderId="139" applyAlignment="1" pivotButton="0" quotePrefix="0" xfId="0">
      <alignment horizontal="center" vertical="center" wrapText="1"/>
    </xf>
    <xf numFmtId="0" fontId="23" fillId="0" borderId="139" applyAlignment="1" pivotButton="0" quotePrefix="0" xfId="0">
      <alignment wrapText="1"/>
    </xf>
    <xf numFmtId="3" fontId="27" fillId="0" borderId="142" pivotButton="0" quotePrefix="0" xfId="0"/>
    <xf numFmtId="0" fontId="24" fillId="11" borderId="347" applyAlignment="1" pivotButton="0" quotePrefix="0" xfId="0">
      <alignment horizontal="center" vertical="center" wrapText="1"/>
    </xf>
    <xf numFmtId="0" fontId="0" fillId="0" borderId="148" pivotButton="0" quotePrefix="0" xfId="0"/>
    <xf numFmtId="0" fontId="0" fillId="0" borderId="152" pivotButton="0" quotePrefix="0" xfId="0"/>
    <xf numFmtId="0" fontId="24" fillId="0" borderId="138" applyAlignment="1" pivotButton="0" quotePrefix="0" xfId="0">
      <alignment horizontal="center" vertical="center" wrapText="1"/>
    </xf>
    <xf numFmtId="0" fontId="19" fillId="0" borderId="15" applyAlignment="1" pivotButton="0" quotePrefix="0" xfId="0">
      <alignment horizontal="center" vertical="center"/>
    </xf>
    <xf numFmtId="0" fontId="18" fillId="23" borderId="57" applyAlignment="1" pivotButton="0" quotePrefix="0" xfId="0">
      <alignment horizontal="left" vertical="center"/>
    </xf>
    <xf numFmtId="0" fontId="22" fillId="23" borderId="139" pivotButton="0" quotePrefix="0" xfId="0"/>
    <xf numFmtId="3" fontId="27" fillId="23" borderId="136" pivotButton="0" quotePrefix="0" xfId="0"/>
    <xf numFmtId="0" fontId="27" fillId="23" borderId="136" pivotButton="0" quotePrefix="0" xfId="0"/>
    <xf numFmtId="0" fontId="23" fillId="23" borderId="139" applyAlignment="1" pivotButton="0" quotePrefix="0" xfId="0">
      <alignment wrapText="1"/>
    </xf>
    <xf numFmtId="49" fontId="8" fillId="23" borderId="139" applyAlignment="1" pivotButton="0" quotePrefix="0" xfId="0">
      <alignment horizontal="center" vertical="center" wrapText="1"/>
    </xf>
    <xf numFmtId="0" fontId="4" fillId="23" borderId="48" applyAlignment="1" pivotButton="0" quotePrefix="0" xfId="0">
      <alignment horizontal="center" vertical="center"/>
    </xf>
    <xf numFmtId="0" fontId="26" fillId="23" borderId="133" applyAlignment="1" pivotButton="0" quotePrefix="0" xfId="0">
      <alignment horizontal="center" vertical="center" wrapText="1"/>
    </xf>
    <xf numFmtId="0" fontId="18" fillId="23" borderId="42" applyAlignment="1" pivotButton="0" quotePrefix="0" xfId="0">
      <alignment horizontal="left" vertical="center"/>
    </xf>
    <xf numFmtId="0" fontId="19" fillId="23" borderId="0" applyAlignment="1" pivotButton="0" quotePrefix="0" xfId="0">
      <alignment horizontal="center" vertical="center"/>
    </xf>
    <xf numFmtId="49" fontId="8" fillId="0" borderId="139" applyAlignment="1" pivotButton="0" quotePrefix="0" xfId="0">
      <alignment horizontal="center" vertical="center" wrapText="1"/>
    </xf>
    <xf numFmtId="0" fontId="23" fillId="0" borderId="139" applyAlignment="1" pivotButton="0" quotePrefix="0" xfId="0">
      <alignment horizontal="center"/>
    </xf>
    <xf numFmtId="0" fontId="27" fillId="0" borderId="136" pivotButton="0" quotePrefix="0" xfId="0"/>
    <xf numFmtId="3" fontId="27" fillId="0" borderId="136" pivotButton="0" quotePrefix="0" xfId="0"/>
    <xf numFmtId="0" fontId="18" fillId="0" borderId="48" applyAlignment="1" pivotButton="0" quotePrefix="0" xfId="0">
      <alignment vertical="center"/>
    </xf>
    <xf numFmtId="0" fontId="26" fillId="11" borderId="133" applyAlignment="1" pivotButton="0" quotePrefix="0" xfId="0">
      <alignment horizontal="center" vertical="center" wrapText="1"/>
    </xf>
    <xf numFmtId="0" fontId="19" fillId="0" borderId="289" applyAlignment="1" pivotButton="0" quotePrefix="0" xfId="0">
      <alignment horizontal="center" vertical="center"/>
    </xf>
    <xf numFmtId="0" fontId="0" fillId="0" borderId="289" pivotButton="0" quotePrefix="0" xfId="0"/>
    <xf numFmtId="0" fontId="18" fillId="0" borderId="0" applyAlignment="1" pivotButton="0" quotePrefix="0" xfId="0">
      <alignment horizontal="center" vertical="center"/>
    </xf>
    <xf numFmtId="0" fontId="22" fillId="0" borderId="140" pivotButton="0" quotePrefix="0" xfId="0"/>
    <xf numFmtId="0" fontId="24" fillId="0" borderId="140" applyAlignment="1" pivotButton="0" quotePrefix="0" xfId="0">
      <alignment horizontal="center" vertical="center" wrapText="1"/>
    </xf>
    <xf numFmtId="0" fontId="27" fillId="0" borderId="135" pivotButton="0" quotePrefix="0" xfId="0"/>
    <xf numFmtId="0" fontId="23" fillId="0" borderId="140" applyAlignment="1" pivotButton="0" quotePrefix="0" xfId="0">
      <alignment wrapText="1"/>
    </xf>
    <xf numFmtId="0" fontId="24" fillId="11" borderId="133" applyAlignment="1" pivotButton="0" quotePrefix="0" xfId="0">
      <alignment horizontal="center" vertical="center" wrapText="1"/>
    </xf>
    <xf numFmtId="0" fontId="23" fillId="0" borderId="140" pivotButton="0" quotePrefix="0" xfId="0"/>
    <xf numFmtId="0" fontId="59" fillId="0" borderId="0" applyAlignment="1" pivotButton="0" quotePrefix="0" xfId="0">
      <alignment horizontal="left"/>
    </xf>
    <xf numFmtId="0" fontId="24" fillId="11" borderId="132" applyAlignment="1" pivotButton="0" quotePrefix="0" xfId="0">
      <alignment horizontal="center" vertical="center" wrapText="1"/>
    </xf>
    <xf numFmtId="49" fontId="18" fillId="0" borderId="139" applyAlignment="1" pivotButton="0" quotePrefix="0" xfId="0">
      <alignment horizontal="center" vertical="center" wrapText="1"/>
    </xf>
    <xf numFmtId="0" fontId="24" fillId="0" borderId="139" applyAlignment="1" pivotButton="0" quotePrefix="0" xfId="0">
      <alignment horizontal="center" vertical="center" wrapText="1"/>
    </xf>
    <xf numFmtId="14" fontId="18" fillId="0" borderId="48" applyAlignment="1" pivotButton="0" quotePrefix="0" xfId="0">
      <alignment horizontal="left" vertical="center"/>
    </xf>
    <xf numFmtId="49" fontId="4" fillId="0" borderId="139" applyAlignment="1" pivotButton="0" quotePrefix="0" xfId="0">
      <alignment horizontal="center" vertical="center" wrapText="1"/>
    </xf>
    <xf numFmtId="0" fontId="90" fillId="0" borderId="15" applyAlignment="1" pivotButton="0" quotePrefix="0" xfId="0">
      <alignment horizontal="center" vertical="center"/>
    </xf>
    <xf numFmtId="0" fontId="4" fillId="0" borderId="192" applyAlignment="1" applyProtection="1" pivotButton="0" quotePrefix="0" xfId="0">
      <alignment horizontal="left" vertical="center" indent="1"/>
      <protection locked="0" hidden="0"/>
    </xf>
    <xf numFmtId="0" fontId="4" fillId="7" borderId="348" applyAlignment="1" pivotButton="0" quotePrefix="0" xfId="0">
      <alignment horizontal="left" vertical="center" indent="1"/>
    </xf>
    <xf numFmtId="0" fontId="82" fillId="0" borderId="0" pivotButton="0" quotePrefix="0" xfId="0"/>
    <xf numFmtId="0" fontId="4" fillId="0" borderId="196" applyAlignment="1" pivotButton="0" quotePrefix="0" xfId="0">
      <alignment horizontal="left" vertical="center" indent="1"/>
    </xf>
    <xf numFmtId="0" fontId="0" fillId="0" borderId="287" pivotButton="0" quotePrefix="0" xfId="0"/>
    <xf numFmtId="0" fontId="23" fillId="0" borderId="192" applyAlignment="1" applyProtection="1" pivotButton="0" quotePrefix="0" xfId="0">
      <alignment horizontal="left" vertical="center" indent="1"/>
      <protection locked="0" hidden="0"/>
    </xf>
    <xf numFmtId="0" fontId="4" fillId="0" borderId="192" applyAlignment="1" pivotButton="0" quotePrefix="0" xfId="0">
      <alignment horizontal="left" vertical="center" indent="1"/>
    </xf>
    <xf numFmtId="0" fontId="21" fillId="0" borderId="0" applyAlignment="1" pivotButton="0" quotePrefix="0" xfId="0">
      <alignment horizontal="center" vertical="center"/>
    </xf>
    <xf numFmtId="49" fontId="27" fillId="0" borderId="29" applyAlignment="1" pivotButton="0" quotePrefix="0" xfId="0">
      <alignment horizontal="center" vertical="center"/>
    </xf>
    <xf numFmtId="0" fontId="18" fillId="11" borderId="187" applyAlignment="1" pivotButton="0" quotePrefix="0" xfId="0">
      <alignment horizontal="center" vertical="center"/>
    </xf>
    <xf numFmtId="0" fontId="101" fillId="0" borderId="139" applyAlignment="1" pivotButton="0" quotePrefix="0" xfId="0">
      <alignment horizontal="center"/>
    </xf>
    <xf numFmtId="0" fontId="102" fillId="0" borderId="62" applyAlignment="1" pivotButton="0" quotePrefix="0" xfId="0">
      <alignment horizontal="center"/>
    </xf>
    <xf numFmtId="3" fontId="0" fillId="0" borderId="139" applyAlignment="1" pivotButton="0" quotePrefix="0" xfId="0">
      <alignment horizontal="center"/>
    </xf>
    <xf numFmtId="0" fontId="105" fillId="0" borderId="139" applyAlignment="1" pivotButton="0" quotePrefix="0" xfId="0">
      <alignment horizontal="center"/>
    </xf>
    <xf numFmtId="0" fontId="111" fillId="0" borderId="139" applyAlignment="1" pivotButton="0" quotePrefix="0" xfId="0">
      <alignment horizontal="center"/>
    </xf>
    <xf numFmtId="0" fontId="109" fillId="0" borderId="139" pivotButton="0" quotePrefix="0" xfId="0"/>
    <xf numFmtId="0" fontId="110" fillId="0" borderId="0" applyAlignment="1" pivotButton="0" quotePrefix="0" xfId="0">
      <alignment horizontal="left"/>
    </xf>
    <xf numFmtId="0" fontId="0" fillId="0" borderId="12" applyAlignment="1" pivotButton="0" quotePrefix="0" xfId="0">
      <alignment horizontal="center"/>
    </xf>
    <xf numFmtId="0" fontId="104" fillId="0" borderId="62" applyAlignment="1" pivotButton="0" quotePrefix="0" xfId="0">
      <alignment horizontal="center" vertical="center"/>
    </xf>
    <xf numFmtId="0" fontId="103" fillId="0" borderId="62" applyAlignment="1" pivotButton="0" quotePrefix="0" xfId="0">
      <alignment horizontal="center" vertical="center"/>
    </xf>
    <xf numFmtId="0" fontId="0" fillId="0" borderId="0" applyAlignment="1" pivotButton="0" quotePrefix="0" xfId="0">
      <alignment horizontal="left"/>
    </xf>
    <xf numFmtId="0" fontId="27" fillId="0" borderId="63" pivotButton="0" quotePrefix="0" xfId="0"/>
  </cellXfs>
  <cellStyles count="8">
    <cellStyle name="Normal" xfId="0" builtinId="0"/>
    <cellStyle name="Lien hypertexte" xfId="1" builtinId="8"/>
    <cellStyle name="Normal_LIASSE SYSCOA ESSAI 1999" xfId="2"/>
    <cellStyle name="Normal 3" xfId="3"/>
    <cellStyle name="Pourcentage" xfId="4" builtinId="5"/>
    <cellStyle name="Milliers 2" xfId="5"/>
    <cellStyle name="Normal 2" xfId="6"/>
    <cellStyle name="Milliers" xfId="7"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externalLink" Target="/xl/externalLinks/externalLink1.xml" Id="rId93"/><Relationship Type="http://schemas.openxmlformats.org/officeDocument/2006/relationships/styles" Target="styles.xml" Id="rId94"/><Relationship Type="http://schemas.openxmlformats.org/officeDocument/2006/relationships/theme" Target="theme/theme1.xml" Id="rId9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3</col>
      <colOff>590550</colOff>
      <row>1</row>
      <rowOff>19050</rowOff>
    </from>
    <to>
      <col>4</col>
      <colOff>457200</colOff>
      <row>4</row>
      <rowOff>15240</rowOff>
    </to>
    <pic>
      <nvPicPr>
        <cNvPr id="2" name="Image 1" descr="logo dgi"/>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6029325" y="209550"/>
          <a:ext cx="628650" cy="5619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externalLinks/_rels/externalLink1.xml.rels><Relationships xmlns="http://schemas.openxmlformats.org/package/2006/relationships"><Relationship Type="http://schemas.microsoft.com/office/2006/relationships/xlExternalLinkPath/xlPathMissing" Target="LiaisonExterneR&#233;cup&#233;r&#233;e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alance 2023"/>
      <sheetName val="COUVERTURE"/>
      <sheetName val="GARDE"/>
      <sheetName val="RECEVABILITE"/>
      <sheetName val="NOTE36 (TABLE DES CODES)"/>
      <sheetName val="NOTE36 Suite (nomenclature)"/>
      <sheetName val="FICHE R1"/>
      <sheetName val="FICHE R2"/>
      <sheetName val="FICHE R3"/>
      <sheetName val="FICHE R4"/>
      <sheetName val="BILAN"/>
      <sheetName val="RESULTAT"/>
      <sheetName val="TFT"/>
      <sheetName val="TAB BORD"/>
      <sheetName val="NOTE 1"/>
      <sheetName val="NOTE 2"/>
      <sheetName val="NOTE 3A"/>
      <sheetName val="NOTE 3B"/>
      <sheetName val="NOTE 3C"/>
      <sheetName val="NOTE 3C BIS"/>
      <sheetName val="NOTE 3D"/>
      <sheetName val="NOTE 3E"/>
      <sheetName val="NOTE 4"/>
      <sheetName val="NOTE 5"/>
      <sheetName val="NOTE 6"/>
      <sheetName val="NOTE 7"/>
      <sheetName val="NOTE 8"/>
      <sheetName val="NOTE 8A"/>
      <sheetName val="NOTE 8B"/>
      <sheetName val="NOTE 8C"/>
      <sheetName val="NOTE 9"/>
      <sheetName val="NOTE 10"/>
      <sheetName val="NOTE 11"/>
      <sheetName val="NOTE 12"/>
      <sheetName val="NOTE 13"/>
      <sheetName val="NOTE 14"/>
      <sheetName val="NOTE 15A"/>
      <sheetName val="NOTE 15B"/>
      <sheetName val="NOTE 16A"/>
      <sheetName val="NOTE 16B"/>
      <sheetName val="NOTE 16B BIS"/>
      <sheetName val="NOTE 16C"/>
      <sheetName val="NOTE 17"/>
      <sheetName val="NOTE 18"/>
      <sheetName val="NOTE 19"/>
      <sheetName val="NOTE 20"/>
      <sheetName val="NOTE 21"/>
      <sheetName val="NOTE 22"/>
      <sheetName val="NOTE 23"/>
      <sheetName val="NOTE 24"/>
      <sheetName val="NOTE 25"/>
      <sheetName val="NOTE 26"/>
      <sheetName val="NOTE 27A"/>
      <sheetName val="NOTE 27B"/>
      <sheetName val="NOTE 28"/>
      <sheetName val="NOTE 29"/>
      <sheetName val="NOTE 30"/>
      <sheetName val="NOTE 31"/>
      <sheetName val="NOTE 32"/>
      <sheetName val="NOTE 33"/>
      <sheetName val="NOTE 34"/>
      <sheetName val="NOTE 35"/>
      <sheetName val="NOTE 37"/>
      <sheetName val="NOTE 38"/>
      <sheetName val="PAGE GARDE COMMENTAIRES"/>
      <sheetName val="NOTE 39 COMMENTAIRES"/>
      <sheetName val="GARDE (DGI)"/>
      <sheetName val="Liste ETATS SUPPL DGI"/>
      <sheetName val="SUPPL1-CHARGES"/>
      <sheetName val="SUPPL2-PRODUITS"/>
      <sheetName val="SUPPL3-TVA (1)"/>
      <sheetName val="SUPPL4-TVA (2)"/>
      <sheetName val="SUPPL5"/>
      <sheetName val="SUPPL6"/>
      <sheetName val="SUPPL7"/>
      <sheetName val="SUPPL8"/>
      <sheetName val="SUPPL9"/>
      <sheetName val="SUPPL10"/>
      <sheetName val="SUPPL  11"/>
      <sheetName val="SUPPL12"/>
      <sheetName val="SUPPL13"/>
      <sheetName val="SUPPL14"/>
      <sheetName val="SUPPL15"/>
      <sheetName val="SUPPL16"/>
      <sheetName val="SUPPL17"/>
      <sheetName val="SUPPL18"/>
      <sheetName val="SUPPL19 RESULTAT FISCAL"/>
      <sheetName val="SUPPL20 BAV IS"/>
      <sheetName val="PAGE GARDE IS"/>
      <sheetName val="PAGE GARDE IBICA "/>
      <sheetName val="PAGE GARDE BN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ow r="3">
          <cell r="C3" t="str">
            <v>GCM INDUSTRIES SA</v>
          </cell>
        </row>
        <row r="4">
          <cell r="B4" t="str">
            <v>01 BP 4928 OUAGADOUGOU 01</v>
          </cell>
        </row>
        <row r="5">
          <cell r="C5" t="str">
            <v>00124780J</v>
          </cell>
          <cell r="F5">
            <v>45291</v>
          </cell>
          <cell r="I5">
            <v>12</v>
          </cell>
        </row>
        <row r="6">
          <cell r="C6"/>
        </row>
      </sheetData>
      <sheetData sheetId="68"/>
      <sheetData sheetId="69"/>
      <sheetData sheetId="70"/>
      <sheetData sheetId="71"/>
      <sheetData sheetId="72"/>
      <sheetData sheetId="73"/>
      <sheetData sheetId="74">
        <row r="4">
          <cell r="K4" t="str">
            <v>GCM INDUSTRIES SA</v>
          </cell>
        </row>
      </sheetData>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8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4" tint="0.5999938962981048"/>
    <outlinePr summaryBelow="1" summaryRight="1"/>
    <pageSetUpPr/>
  </sheetPr>
  <dimension ref="A1:H292"/>
  <sheetViews>
    <sheetView zoomScaleNormal="100" workbookViewId="0">
      <pane ySplit="1" topLeftCell="A2" activePane="bottomLeft" state="frozen"/>
      <selection pane="bottomLeft" activeCell="B14" sqref="B14"/>
    </sheetView>
  </sheetViews>
  <sheetFormatPr baseColWidth="10" defaultColWidth="10" defaultRowHeight="12.75" customHeight="1"/>
  <cols>
    <col width="7.85546875" customWidth="1" style="1436" min="1" max="1"/>
    <col width="34.140625" customWidth="1" style="1436" min="2" max="2"/>
    <col width="15.28515625" bestFit="1" customWidth="1" style="1436" min="3" max="3"/>
    <col width="23.42578125" customWidth="1" style="1436" min="4" max="4"/>
    <col width="17.28515625" bestFit="1" customWidth="1" style="1436" min="5" max="5"/>
    <col width="18.42578125" bestFit="1" customWidth="1" style="1436" min="6" max="6"/>
    <col width="16.28515625" bestFit="1" customWidth="1" style="1436" min="7" max="7"/>
    <col width="15.85546875" bestFit="1" customWidth="1" style="1436" min="8" max="8"/>
    <col width="10" customWidth="1" style="1436" min="9" max="254"/>
    <col width="7.85546875" customWidth="1" style="1436" min="255" max="255"/>
    <col width="36.28515625" bestFit="1" customWidth="1" style="1436" min="256" max="256"/>
    <col width="18.42578125" bestFit="1" customWidth="1" style="1436" min="257" max="257"/>
    <col width="15.28515625" bestFit="1" customWidth="1" style="1436" min="258" max="258"/>
    <col width="23.42578125" customWidth="1" style="1436" min="259" max="259"/>
    <col width="17.28515625" bestFit="1" customWidth="1" style="1436" min="260" max="260"/>
    <col width="18.42578125" bestFit="1" customWidth="1" style="1436" min="261" max="261"/>
    <col width="16.28515625" bestFit="1" customWidth="1" style="1436" min="262" max="262"/>
    <col width="10" customWidth="1" style="1436" min="263" max="510"/>
    <col width="7.85546875" customWidth="1" style="1436" min="511" max="511"/>
    <col width="36.28515625" bestFit="1" customWidth="1" style="1436" min="512" max="512"/>
    <col width="18.42578125" bestFit="1" customWidth="1" style="1436" min="513" max="513"/>
    <col width="15.28515625" bestFit="1" customWidth="1" style="1436" min="514" max="514"/>
    <col width="23.42578125" customWidth="1" style="1436" min="515" max="515"/>
    <col width="17.28515625" bestFit="1" customWidth="1" style="1436" min="516" max="516"/>
    <col width="18.42578125" bestFit="1" customWidth="1" style="1436" min="517" max="517"/>
    <col width="16.28515625" bestFit="1" customWidth="1" style="1436" min="518" max="518"/>
    <col width="10" customWidth="1" style="1436" min="519" max="766"/>
    <col width="7.85546875" customWidth="1" style="1436" min="767" max="767"/>
    <col width="36.28515625" bestFit="1" customWidth="1" style="1436" min="768" max="768"/>
    <col width="18.42578125" bestFit="1" customWidth="1" style="1436" min="769" max="769"/>
    <col width="15.28515625" bestFit="1" customWidth="1" style="1436" min="770" max="770"/>
    <col width="23.42578125" customWidth="1" style="1436" min="771" max="771"/>
    <col width="17.28515625" bestFit="1" customWidth="1" style="1436" min="772" max="772"/>
    <col width="18.42578125" bestFit="1" customWidth="1" style="1436" min="773" max="773"/>
    <col width="16.28515625" bestFit="1" customWidth="1" style="1436" min="774" max="774"/>
    <col width="10" customWidth="1" style="1436" min="775" max="1022"/>
    <col width="7.85546875" customWidth="1" style="1436" min="1023" max="1023"/>
    <col width="36.28515625" bestFit="1" customWidth="1" style="1436" min="1024" max="1024"/>
    <col width="18.42578125" bestFit="1" customWidth="1" style="1436" min="1025" max="1025"/>
    <col width="15.28515625" bestFit="1" customWidth="1" style="1436" min="1026" max="1026"/>
    <col width="23.42578125" customWidth="1" style="1436" min="1027" max="1027"/>
    <col width="17.28515625" bestFit="1" customWidth="1" style="1436" min="1028" max="1028"/>
    <col width="18.42578125" bestFit="1" customWidth="1" style="1436" min="1029" max="1029"/>
    <col width="16.28515625" bestFit="1" customWidth="1" style="1436" min="1030" max="1030"/>
    <col width="10" customWidth="1" style="1436" min="1031" max="1278"/>
    <col width="7.85546875" customWidth="1" style="1436" min="1279" max="1279"/>
    <col width="36.28515625" bestFit="1" customWidth="1" style="1436" min="1280" max="1280"/>
    <col width="18.42578125" bestFit="1" customWidth="1" style="1436" min="1281" max="1281"/>
    <col width="15.28515625" bestFit="1" customWidth="1" style="1436" min="1282" max="1282"/>
    <col width="23.42578125" customWidth="1" style="1436" min="1283" max="1283"/>
    <col width="17.28515625" bestFit="1" customWidth="1" style="1436" min="1284" max="1284"/>
    <col width="18.42578125" bestFit="1" customWidth="1" style="1436" min="1285" max="1285"/>
    <col width="16.28515625" bestFit="1" customWidth="1" style="1436" min="1286" max="1286"/>
    <col width="10" customWidth="1" style="1436" min="1287" max="1534"/>
    <col width="7.85546875" customWidth="1" style="1436" min="1535" max="1535"/>
    <col width="36.28515625" bestFit="1" customWidth="1" style="1436" min="1536" max="1536"/>
    <col width="18.42578125" bestFit="1" customWidth="1" style="1436" min="1537" max="1537"/>
    <col width="15.28515625" bestFit="1" customWidth="1" style="1436" min="1538" max="1538"/>
    <col width="23.42578125" customWidth="1" style="1436" min="1539" max="1539"/>
    <col width="17.28515625" bestFit="1" customWidth="1" style="1436" min="1540" max="1540"/>
    <col width="18.42578125" bestFit="1" customWidth="1" style="1436" min="1541" max="1541"/>
    <col width="16.28515625" bestFit="1" customWidth="1" style="1436" min="1542" max="1542"/>
    <col width="10" customWidth="1" style="1436" min="1543" max="1790"/>
    <col width="7.85546875" customWidth="1" style="1436" min="1791" max="1791"/>
    <col width="36.28515625" bestFit="1" customWidth="1" style="1436" min="1792" max="1792"/>
    <col width="18.42578125" bestFit="1" customWidth="1" style="1436" min="1793" max="1793"/>
    <col width="15.28515625" bestFit="1" customWidth="1" style="1436" min="1794" max="1794"/>
    <col width="23.42578125" customWidth="1" style="1436" min="1795" max="1795"/>
    <col width="17.28515625" bestFit="1" customWidth="1" style="1436" min="1796" max="1796"/>
    <col width="18.42578125" bestFit="1" customWidth="1" style="1436" min="1797" max="1797"/>
    <col width="16.28515625" bestFit="1" customWidth="1" style="1436" min="1798" max="1798"/>
    <col width="10" customWidth="1" style="1436" min="1799" max="2046"/>
    <col width="7.85546875" customWidth="1" style="1436" min="2047" max="2047"/>
    <col width="36.28515625" bestFit="1" customWidth="1" style="1436" min="2048" max="2048"/>
    <col width="18.42578125" bestFit="1" customWidth="1" style="1436" min="2049" max="2049"/>
    <col width="15.28515625" bestFit="1" customWidth="1" style="1436" min="2050" max="2050"/>
    <col width="23.42578125" customWidth="1" style="1436" min="2051" max="2051"/>
    <col width="17.28515625" bestFit="1" customWidth="1" style="1436" min="2052" max="2052"/>
    <col width="18.42578125" bestFit="1" customWidth="1" style="1436" min="2053" max="2053"/>
    <col width="16.28515625" bestFit="1" customWidth="1" style="1436" min="2054" max="2054"/>
    <col width="10" customWidth="1" style="1436" min="2055" max="2302"/>
    <col width="7.85546875" customWidth="1" style="1436" min="2303" max="2303"/>
    <col width="36.28515625" bestFit="1" customWidth="1" style="1436" min="2304" max="2304"/>
    <col width="18.42578125" bestFit="1" customWidth="1" style="1436" min="2305" max="2305"/>
    <col width="15.28515625" bestFit="1" customWidth="1" style="1436" min="2306" max="2306"/>
    <col width="23.42578125" customWidth="1" style="1436" min="2307" max="2307"/>
    <col width="17.28515625" bestFit="1" customWidth="1" style="1436" min="2308" max="2308"/>
    <col width="18.42578125" bestFit="1" customWidth="1" style="1436" min="2309" max="2309"/>
    <col width="16.28515625" bestFit="1" customWidth="1" style="1436" min="2310" max="2310"/>
    <col width="10" customWidth="1" style="1436" min="2311" max="2558"/>
    <col width="7.85546875" customWidth="1" style="1436" min="2559" max="2559"/>
    <col width="36.28515625" bestFit="1" customWidth="1" style="1436" min="2560" max="2560"/>
    <col width="18.42578125" bestFit="1" customWidth="1" style="1436" min="2561" max="2561"/>
    <col width="15.28515625" bestFit="1" customWidth="1" style="1436" min="2562" max="2562"/>
    <col width="23.42578125" customWidth="1" style="1436" min="2563" max="2563"/>
    <col width="17.28515625" bestFit="1" customWidth="1" style="1436" min="2564" max="2564"/>
    <col width="18.42578125" bestFit="1" customWidth="1" style="1436" min="2565" max="2565"/>
    <col width="16.28515625" bestFit="1" customWidth="1" style="1436" min="2566" max="2566"/>
    <col width="10" customWidth="1" style="1436" min="2567" max="2814"/>
    <col width="7.85546875" customWidth="1" style="1436" min="2815" max="2815"/>
    <col width="36.28515625" bestFit="1" customWidth="1" style="1436" min="2816" max="2816"/>
    <col width="18.42578125" bestFit="1" customWidth="1" style="1436" min="2817" max="2817"/>
    <col width="15.28515625" bestFit="1" customWidth="1" style="1436" min="2818" max="2818"/>
    <col width="23.42578125" customWidth="1" style="1436" min="2819" max="2819"/>
    <col width="17.28515625" bestFit="1" customWidth="1" style="1436" min="2820" max="2820"/>
    <col width="18.42578125" bestFit="1" customWidth="1" style="1436" min="2821" max="2821"/>
    <col width="16.28515625" bestFit="1" customWidth="1" style="1436" min="2822" max="2822"/>
    <col width="10" customWidth="1" style="1436" min="2823" max="3070"/>
    <col width="7.85546875" customWidth="1" style="1436" min="3071" max="3071"/>
    <col width="36.28515625" bestFit="1" customWidth="1" style="1436" min="3072" max="3072"/>
    <col width="18.42578125" bestFit="1" customWidth="1" style="1436" min="3073" max="3073"/>
    <col width="15.28515625" bestFit="1" customWidth="1" style="1436" min="3074" max="3074"/>
    <col width="23.42578125" customWidth="1" style="1436" min="3075" max="3075"/>
    <col width="17.28515625" bestFit="1" customWidth="1" style="1436" min="3076" max="3076"/>
    <col width="18.42578125" bestFit="1" customWidth="1" style="1436" min="3077" max="3077"/>
    <col width="16.28515625" bestFit="1" customWidth="1" style="1436" min="3078" max="3078"/>
    <col width="10" customWidth="1" style="1436" min="3079" max="3326"/>
    <col width="7.85546875" customWidth="1" style="1436" min="3327" max="3327"/>
    <col width="36.28515625" bestFit="1" customWidth="1" style="1436" min="3328" max="3328"/>
    <col width="18.42578125" bestFit="1" customWidth="1" style="1436" min="3329" max="3329"/>
    <col width="15.28515625" bestFit="1" customWidth="1" style="1436" min="3330" max="3330"/>
    <col width="23.42578125" customWidth="1" style="1436" min="3331" max="3331"/>
    <col width="17.28515625" bestFit="1" customWidth="1" style="1436" min="3332" max="3332"/>
    <col width="18.42578125" bestFit="1" customWidth="1" style="1436" min="3333" max="3333"/>
    <col width="16.28515625" bestFit="1" customWidth="1" style="1436" min="3334" max="3334"/>
    <col width="10" customWidth="1" style="1436" min="3335" max="3582"/>
    <col width="7.85546875" customWidth="1" style="1436" min="3583" max="3583"/>
    <col width="36.28515625" bestFit="1" customWidth="1" style="1436" min="3584" max="3584"/>
    <col width="18.42578125" bestFit="1" customWidth="1" style="1436" min="3585" max="3585"/>
    <col width="15.28515625" bestFit="1" customWidth="1" style="1436" min="3586" max="3586"/>
    <col width="23.42578125" customWidth="1" style="1436" min="3587" max="3587"/>
    <col width="17.28515625" bestFit="1" customWidth="1" style="1436" min="3588" max="3588"/>
    <col width="18.42578125" bestFit="1" customWidth="1" style="1436" min="3589" max="3589"/>
    <col width="16.28515625" bestFit="1" customWidth="1" style="1436" min="3590" max="3590"/>
    <col width="10" customWidth="1" style="1436" min="3591" max="3838"/>
    <col width="7.85546875" customWidth="1" style="1436" min="3839" max="3839"/>
    <col width="36.28515625" bestFit="1" customWidth="1" style="1436" min="3840" max="3840"/>
    <col width="18.42578125" bestFit="1" customWidth="1" style="1436" min="3841" max="3841"/>
    <col width="15.28515625" bestFit="1" customWidth="1" style="1436" min="3842" max="3842"/>
    <col width="23.42578125" customWidth="1" style="1436" min="3843" max="3843"/>
    <col width="17.28515625" bestFit="1" customWidth="1" style="1436" min="3844" max="3844"/>
    <col width="18.42578125" bestFit="1" customWidth="1" style="1436" min="3845" max="3845"/>
    <col width="16.28515625" bestFit="1" customWidth="1" style="1436" min="3846" max="3846"/>
    <col width="10" customWidth="1" style="1436" min="3847" max="4094"/>
    <col width="7.85546875" customWidth="1" style="1436" min="4095" max="4095"/>
    <col width="36.28515625" bestFit="1" customWidth="1" style="1436" min="4096" max="4096"/>
    <col width="18.42578125" bestFit="1" customWidth="1" style="1436" min="4097" max="4097"/>
    <col width="15.28515625" bestFit="1" customWidth="1" style="1436" min="4098" max="4098"/>
    <col width="23.42578125" customWidth="1" style="1436" min="4099" max="4099"/>
    <col width="17.28515625" bestFit="1" customWidth="1" style="1436" min="4100" max="4100"/>
    <col width="18.42578125" bestFit="1" customWidth="1" style="1436" min="4101" max="4101"/>
    <col width="16.28515625" bestFit="1" customWidth="1" style="1436" min="4102" max="4102"/>
    <col width="10" customWidth="1" style="1436" min="4103" max="4350"/>
    <col width="7.85546875" customWidth="1" style="1436" min="4351" max="4351"/>
    <col width="36.28515625" bestFit="1" customWidth="1" style="1436" min="4352" max="4352"/>
    <col width="18.42578125" bestFit="1" customWidth="1" style="1436" min="4353" max="4353"/>
    <col width="15.28515625" bestFit="1" customWidth="1" style="1436" min="4354" max="4354"/>
    <col width="23.42578125" customWidth="1" style="1436" min="4355" max="4355"/>
    <col width="17.28515625" bestFit="1" customWidth="1" style="1436" min="4356" max="4356"/>
    <col width="18.42578125" bestFit="1" customWidth="1" style="1436" min="4357" max="4357"/>
    <col width="16.28515625" bestFit="1" customWidth="1" style="1436" min="4358" max="4358"/>
    <col width="10" customWidth="1" style="1436" min="4359" max="4606"/>
    <col width="7.85546875" customWidth="1" style="1436" min="4607" max="4607"/>
    <col width="36.28515625" bestFit="1" customWidth="1" style="1436" min="4608" max="4608"/>
    <col width="18.42578125" bestFit="1" customWidth="1" style="1436" min="4609" max="4609"/>
    <col width="15.28515625" bestFit="1" customWidth="1" style="1436" min="4610" max="4610"/>
    <col width="23.42578125" customWidth="1" style="1436" min="4611" max="4611"/>
    <col width="17.28515625" bestFit="1" customWidth="1" style="1436" min="4612" max="4612"/>
    <col width="18.42578125" bestFit="1" customWidth="1" style="1436" min="4613" max="4613"/>
    <col width="16.28515625" bestFit="1" customWidth="1" style="1436" min="4614" max="4614"/>
    <col width="10" customWidth="1" style="1436" min="4615" max="4862"/>
    <col width="7.85546875" customWidth="1" style="1436" min="4863" max="4863"/>
    <col width="36.28515625" bestFit="1" customWidth="1" style="1436" min="4864" max="4864"/>
    <col width="18.42578125" bestFit="1" customWidth="1" style="1436" min="4865" max="4865"/>
    <col width="15.28515625" bestFit="1" customWidth="1" style="1436" min="4866" max="4866"/>
    <col width="23.42578125" customWidth="1" style="1436" min="4867" max="4867"/>
    <col width="17.28515625" bestFit="1" customWidth="1" style="1436" min="4868" max="4868"/>
    <col width="18.42578125" bestFit="1" customWidth="1" style="1436" min="4869" max="4869"/>
    <col width="16.28515625" bestFit="1" customWidth="1" style="1436" min="4870" max="4870"/>
    <col width="10" customWidth="1" style="1436" min="4871" max="5118"/>
    <col width="7.85546875" customWidth="1" style="1436" min="5119" max="5119"/>
    <col width="36.28515625" bestFit="1" customWidth="1" style="1436" min="5120" max="5120"/>
    <col width="18.42578125" bestFit="1" customWidth="1" style="1436" min="5121" max="5121"/>
    <col width="15.28515625" bestFit="1" customWidth="1" style="1436" min="5122" max="5122"/>
    <col width="23.42578125" customWidth="1" style="1436" min="5123" max="5123"/>
    <col width="17.28515625" bestFit="1" customWidth="1" style="1436" min="5124" max="5124"/>
    <col width="18.42578125" bestFit="1" customWidth="1" style="1436" min="5125" max="5125"/>
    <col width="16.28515625" bestFit="1" customWidth="1" style="1436" min="5126" max="5126"/>
    <col width="10" customWidth="1" style="1436" min="5127" max="5374"/>
    <col width="7.85546875" customWidth="1" style="1436" min="5375" max="5375"/>
    <col width="36.28515625" bestFit="1" customWidth="1" style="1436" min="5376" max="5376"/>
    <col width="18.42578125" bestFit="1" customWidth="1" style="1436" min="5377" max="5377"/>
    <col width="15.28515625" bestFit="1" customWidth="1" style="1436" min="5378" max="5378"/>
    <col width="23.42578125" customWidth="1" style="1436" min="5379" max="5379"/>
    <col width="17.28515625" bestFit="1" customWidth="1" style="1436" min="5380" max="5380"/>
    <col width="18.42578125" bestFit="1" customWidth="1" style="1436" min="5381" max="5381"/>
    <col width="16.28515625" bestFit="1" customWidth="1" style="1436" min="5382" max="5382"/>
    <col width="10" customWidth="1" style="1436" min="5383" max="5630"/>
    <col width="7.85546875" customWidth="1" style="1436" min="5631" max="5631"/>
    <col width="36.28515625" bestFit="1" customWidth="1" style="1436" min="5632" max="5632"/>
    <col width="18.42578125" bestFit="1" customWidth="1" style="1436" min="5633" max="5633"/>
    <col width="15.28515625" bestFit="1" customWidth="1" style="1436" min="5634" max="5634"/>
    <col width="23.42578125" customWidth="1" style="1436" min="5635" max="5635"/>
    <col width="17.28515625" bestFit="1" customWidth="1" style="1436" min="5636" max="5636"/>
    <col width="18.42578125" bestFit="1" customWidth="1" style="1436" min="5637" max="5637"/>
    <col width="16.28515625" bestFit="1" customWidth="1" style="1436" min="5638" max="5638"/>
    <col width="10" customWidth="1" style="1436" min="5639" max="5886"/>
    <col width="7.85546875" customWidth="1" style="1436" min="5887" max="5887"/>
    <col width="36.28515625" bestFit="1" customWidth="1" style="1436" min="5888" max="5888"/>
    <col width="18.42578125" bestFit="1" customWidth="1" style="1436" min="5889" max="5889"/>
    <col width="15.28515625" bestFit="1" customWidth="1" style="1436" min="5890" max="5890"/>
    <col width="23.42578125" customWidth="1" style="1436" min="5891" max="5891"/>
    <col width="17.28515625" bestFit="1" customWidth="1" style="1436" min="5892" max="5892"/>
    <col width="18.42578125" bestFit="1" customWidth="1" style="1436" min="5893" max="5893"/>
    <col width="16.28515625" bestFit="1" customWidth="1" style="1436" min="5894" max="5894"/>
    <col width="10" customWidth="1" style="1436" min="5895" max="6142"/>
    <col width="7.85546875" customWidth="1" style="1436" min="6143" max="6143"/>
    <col width="36.28515625" bestFit="1" customWidth="1" style="1436" min="6144" max="6144"/>
    <col width="18.42578125" bestFit="1" customWidth="1" style="1436" min="6145" max="6145"/>
    <col width="15.28515625" bestFit="1" customWidth="1" style="1436" min="6146" max="6146"/>
    <col width="23.42578125" customWidth="1" style="1436" min="6147" max="6147"/>
    <col width="17.28515625" bestFit="1" customWidth="1" style="1436" min="6148" max="6148"/>
    <col width="18.42578125" bestFit="1" customWidth="1" style="1436" min="6149" max="6149"/>
    <col width="16.28515625" bestFit="1" customWidth="1" style="1436" min="6150" max="6150"/>
    <col width="10" customWidth="1" style="1436" min="6151" max="6398"/>
    <col width="7.85546875" customWidth="1" style="1436" min="6399" max="6399"/>
    <col width="36.28515625" bestFit="1" customWidth="1" style="1436" min="6400" max="6400"/>
    <col width="18.42578125" bestFit="1" customWidth="1" style="1436" min="6401" max="6401"/>
    <col width="15.28515625" bestFit="1" customWidth="1" style="1436" min="6402" max="6402"/>
    <col width="23.42578125" customWidth="1" style="1436" min="6403" max="6403"/>
    <col width="17.28515625" bestFit="1" customWidth="1" style="1436" min="6404" max="6404"/>
    <col width="18.42578125" bestFit="1" customWidth="1" style="1436" min="6405" max="6405"/>
    <col width="16.28515625" bestFit="1" customWidth="1" style="1436" min="6406" max="6406"/>
    <col width="10" customWidth="1" style="1436" min="6407" max="6654"/>
    <col width="7.85546875" customWidth="1" style="1436" min="6655" max="6655"/>
    <col width="36.28515625" bestFit="1" customWidth="1" style="1436" min="6656" max="6656"/>
    <col width="18.42578125" bestFit="1" customWidth="1" style="1436" min="6657" max="6657"/>
    <col width="15.28515625" bestFit="1" customWidth="1" style="1436" min="6658" max="6658"/>
    <col width="23.42578125" customWidth="1" style="1436" min="6659" max="6659"/>
    <col width="17.28515625" bestFit="1" customWidth="1" style="1436" min="6660" max="6660"/>
    <col width="18.42578125" bestFit="1" customWidth="1" style="1436" min="6661" max="6661"/>
    <col width="16.28515625" bestFit="1" customWidth="1" style="1436" min="6662" max="6662"/>
    <col width="10" customWidth="1" style="1436" min="6663" max="6910"/>
    <col width="7.85546875" customWidth="1" style="1436" min="6911" max="6911"/>
    <col width="36.28515625" bestFit="1" customWidth="1" style="1436" min="6912" max="6912"/>
    <col width="18.42578125" bestFit="1" customWidth="1" style="1436" min="6913" max="6913"/>
    <col width="15.28515625" bestFit="1" customWidth="1" style="1436" min="6914" max="6914"/>
    <col width="23.42578125" customWidth="1" style="1436" min="6915" max="6915"/>
    <col width="17.28515625" bestFit="1" customWidth="1" style="1436" min="6916" max="6916"/>
    <col width="18.42578125" bestFit="1" customWidth="1" style="1436" min="6917" max="6917"/>
    <col width="16.28515625" bestFit="1" customWidth="1" style="1436" min="6918" max="6918"/>
    <col width="10" customWidth="1" style="1436" min="6919" max="7166"/>
    <col width="7.85546875" customWidth="1" style="1436" min="7167" max="7167"/>
    <col width="36.28515625" bestFit="1" customWidth="1" style="1436" min="7168" max="7168"/>
    <col width="18.42578125" bestFit="1" customWidth="1" style="1436" min="7169" max="7169"/>
    <col width="15.28515625" bestFit="1" customWidth="1" style="1436" min="7170" max="7170"/>
    <col width="23.42578125" customWidth="1" style="1436" min="7171" max="7171"/>
    <col width="17.28515625" bestFit="1" customWidth="1" style="1436" min="7172" max="7172"/>
    <col width="18.42578125" bestFit="1" customWidth="1" style="1436" min="7173" max="7173"/>
    <col width="16.28515625" bestFit="1" customWidth="1" style="1436" min="7174" max="7174"/>
    <col width="10" customWidth="1" style="1436" min="7175" max="7422"/>
    <col width="7.85546875" customWidth="1" style="1436" min="7423" max="7423"/>
    <col width="36.28515625" bestFit="1" customWidth="1" style="1436" min="7424" max="7424"/>
    <col width="18.42578125" bestFit="1" customWidth="1" style="1436" min="7425" max="7425"/>
    <col width="15.28515625" bestFit="1" customWidth="1" style="1436" min="7426" max="7426"/>
    <col width="23.42578125" customWidth="1" style="1436" min="7427" max="7427"/>
    <col width="17.28515625" bestFit="1" customWidth="1" style="1436" min="7428" max="7428"/>
    <col width="18.42578125" bestFit="1" customWidth="1" style="1436" min="7429" max="7429"/>
    <col width="16.28515625" bestFit="1" customWidth="1" style="1436" min="7430" max="7430"/>
    <col width="10" customWidth="1" style="1436" min="7431" max="7678"/>
    <col width="7.85546875" customWidth="1" style="1436" min="7679" max="7679"/>
    <col width="36.28515625" bestFit="1" customWidth="1" style="1436" min="7680" max="7680"/>
    <col width="18.42578125" bestFit="1" customWidth="1" style="1436" min="7681" max="7681"/>
    <col width="15.28515625" bestFit="1" customWidth="1" style="1436" min="7682" max="7682"/>
    <col width="23.42578125" customWidth="1" style="1436" min="7683" max="7683"/>
    <col width="17.28515625" bestFit="1" customWidth="1" style="1436" min="7684" max="7684"/>
    <col width="18.42578125" bestFit="1" customWidth="1" style="1436" min="7685" max="7685"/>
    <col width="16.28515625" bestFit="1" customWidth="1" style="1436" min="7686" max="7686"/>
    <col width="10" customWidth="1" style="1436" min="7687" max="7934"/>
    <col width="7.85546875" customWidth="1" style="1436" min="7935" max="7935"/>
    <col width="36.28515625" bestFit="1" customWidth="1" style="1436" min="7936" max="7936"/>
    <col width="18.42578125" bestFit="1" customWidth="1" style="1436" min="7937" max="7937"/>
    <col width="15.28515625" bestFit="1" customWidth="1" style="1436" min="7938" max="7938"/>
    <col width="23.42578125" customWidth="1" style="1436" min="7939" max="7939"/>
    <col width="17.28515625" bestFit="1" customWidth="1" style="1436" min="7940" max="7940"/>
    <col width="18.42578125" bestFit="1" customWidth="1" style="1436" min="7941" max="7941"/>
    <col width="16.28515625" bestFit="1" customWidth="1" style="1436" min="7942" max="7942"/>
    <col width="10" customWidth="1" style="1436" min="7943" max="8190"/>
    <col width="7.85546875" customWidth="1" style="1436" min="8191" max="8191"/>
    <col width="36.28515625" bestFit="1" customWidth="1" style="1436" min="8192" max="8192"/>
    <col width="18.42578125" bestFit="1" customWidth="1" style="1436" min="8193" max="8193"/>
    <col width="15.28515625" bestFit="1" customWidth="1" style="1436" min="8194" max="8194"/>
    <col width="23.42578125" customWidth="1" style="1436" min="8195" max="8195"/>
    <col width="17.28515625" bestFit="1" customWidth="1" style="1436" min="8196" max="8196"/>
    <col width="18.42578125" bestFit="1" customWidth="1" style="1436" min="8197" max="8197"/>
    <col width="16.28515625" bestFit="1" customWidth="1" style="1436" min="8198" max="8198"/>
    <col width="10" customWidth="1" style="1436" min="8199" max="8446"/>
    <col width="7.85546875" customWidth="1" style="1436" min="8447" max="8447"/>
    <col width="36.28515625" bestFit="1" customWidth="1" style="1436" min="8448" max="8448"/>
    <col width="18.42578125" bestFit="1" customWidth="1" style="1436" min="8449" max="8449"/>
    <col width="15.28515625" bestFit="1" customWidth="1" style="1436" min="8450" max="8450"/>
    <col width="23.42578125" customWidth="1" style="1436" min="8451" max="8451"/>
    <col width="17.28515625" bestFit="1" customWidth="1" style="1436" min="8452" max="8452"/>
    <col width="18.42578125" bestFit="1" customWidth="1" style="1436" min="8453" max="8453"/>
    <col width="16.28515625" bestFit="1" customWidth="1" style="1436" min="8454" max="8454"/>
    <col width="10" customWidth="1" style="1436" min="8455" max="8702"/>
    <col width="7.85546875" customWidth="1" style="1436" min="8703" max="8703"/>
    <col width="36.28515625" bestFit="1" customWidth="1" style="1436" min="8704" max="8704"/>
    <col width="18.42578125" bestFit="1" customWidth="1" style="1436" min="8705" max="8705"/>
    <col width="15.28515625" bestFit="1" customWidth="1" style="1436" min="8706" max="8706"/>
    <col width="23.42578125" customWidth="1" style="1436" min="8707" max="8707"/>
    <col width="17.28515625" bestFit="1" customWidth="1" style="1436" min="8708" max="8708"/>
    <col width="18.42578125" bestFit="1" customWidth="1" style="1436" min="8709" max="8709"/>
    <col width="16.28515625" bestFit="1" customWidth="1" style="1436" min="8710" max="8710"/>
    <col width="10" customWidth="1" style="1436" min="8711" max="8958"/>
    <col width="7.85546875" customWidth="1" style="1436" min="8959" max="8959"/>
    <col width="36.28515625" bestFit="1" customWidth="1" style="1436" min="8960" max="8960"/>
    <col width="18.42578125" bestFit="1" customWidth="1" style="1436" min="8961" max="8961"/>
    <col width="15.28515625" bestFit="1" customWidth="1" style="1436" min="8962" max="8962"/>
    <col width="23.42578125" customWidth="1" style="1436" min="8963" max="8963"/>
    <col width="17.28515625" bestFit="1" customWidth="1" style="1436" min="8964" max="8964"/>
    <col width="18.42578125" bestFit="1" customWidth="1" style="1436" min="8965" max="8965"/>
    <col width="16.28515625" bestFit="1" customWidth="1" style="1436" min="8966" max="8966"/>
    <col width="10" customWidth="1" style="1436" min="8967" max="9214"/>
    <col width="7.85546875" customWidth="1" style="1436" min="9215" max="9215"/>
    <col width="36.28515625" bestFit="1" customWidth="1" style="1436" min="9216" max="9216"/>
    <col width="18.42578125" bestFit="1" customWidth="1" style="1436" min="9217" max="9217"/>
    <col width="15.28515625" bestFit="1" customWidth="1" style="1436" min="9218" max="9218"/>
    <col width="23.42578125" customWidth="1" style="1436" min="9219" max="9219"/>
    <col width="17.28515625" bestFit="1" customWidth="1" style="1436" min="9220" max="9220"/>
    <col width="18.42578125" bestFit="1" customWidth="1" style="1436" min="9221" max="9221"/>
    <col width="16.28515625" bestFit="1" customWidth="1" style="1436" min="9222" max="9222"/>
    <col width="10" customWidth="1" style="1436" min="9223" max="9470"/>
    <col width="7.85546875" customWidth="1" style="1436" min="9471" max="9471"/>
    <col width="36.28515625" bestFit="1" customWidth="1" style="1436" min="9472" max="9472"/>
    <col width="18.42578125" bestFit="1" customWidth="1" style="1436" min="9473" max="9473"/>
    <col width="15.28515625" bestFit="1" customWidth="1" style="1436" min="9474" max="9474"/>
    <col width="23.42578125" customWidth="1" style="1436" min="9475" max="9475"/>
    <col width="17.28515625" bestFit="1" customWidth="1" style="1436" min="9476" max="9476"/>
    <col width="18.42578125" bestFit="1" customWidth="1" style="1436" min="9477" max="9477"/>
    <col width="16.28515625" bestFit="1" customWidth="1" style="1436" min="9478" max="9478"/>
    <col width="10" customWidth="1" style="1436" min="9479" max="9726"/>
    <col width="7.85546875" customWidth="1" style="1436" min="9727" max="9727"/>
    <col width="36.28515625" bestFit="1" customWidth="1" style="1436" min="9728" max="9728"/>
    <col width="18.42578125" bestFit="1" customWidth="1" style="1436" min="9729" max="9729"/>
    <col width="15.28515625" bestFit="1" customWidth="1" style="1436" min="9730" max="9730"/>
    <col width="23.42578125" customWidth="1" style="1436" min="9731" max="9731"/>
    <col width="17.28515625" bestFit="1" customWidth="1" style="1436" min="9732" max="9732"/>
    <col width="18.42578125" bestFit="1" customWidth="1" style="1436" min="9733" max="9733"/>
    <col width="16.28515625" bestFit="1" customWidth="1" style="1436" min="9734" max="9734"/>
    <col width="10" customWidth="1" style="1436" min="9735" max="9982"/>
    <col width="7.85546875" customWidth="1" style="1436" min="9983" max="9983"/>
    <col width="36.28515625" bestFit="1" customWidth="1" style="1436" min="9984" max="9984"/>
    <col width="18.42578125" bestFit="1" customWidth="1" style="1436" min="9985" max="9985"/>
    <col width="15.28515625" bestFit="1" customWidth="1" style="1436" min="9986" max="9986"/>
    <col width="23.42578125" customWidth="1" style="1436" min="9987" max="9987"/>
    <col width="17.28515625" bestFit="1" customWidth="1" style="1436" min="9988" max="9988"/>
    <col width="18.42578125" bestFit="1" customWidth="1" style="1436" min="9989" max="9989"/>
    <col width="16.28515625" bestFit="1" customWidth="1" style="1436" min="9990" max="9990"/>
    <col width="10" customWidth="1" style="1436" min="9991" max="10238"/>
    <col width="7.85546875" customWidth="1" style="1436" min="10239" max="10239"/>
    <col width="36.28515625" bestFit="1" customWidth="1" style="1436" min="10240" max="10240"/>
    <col width="18.42578125" bestFit="1" customWidth="1" style="1436" min="10241" max="10241"/>
    <col width="15.28515625" bestFit="1" customWidth="1" style="1436" min="10242" max="10242"/>
    <col width="23.42578125" customWidth="1" style="1436" min="10243" max="10243"/>
    <col width="17.28515625" bestFit="1" customWidth="1" style="1436" min="10244" max="10244"/>
    <col width="18.42578125" bestFit="1" customWidth="1" style="1436" min="10245" max="10245"/>
    <col width="16.28515625" bestFit="1" customWidth="1" style="1436" min="10246" max="10246"/>
    <col width="10" customWidth="1" style="1436" min="10247" max="10494"/>
    <col width="7.85546875" customWidth="1" style="1436" min="10495" max="10495"/>
    <col width="36.28515625" bestFit="1" customWidth="1" style="1436" min="10496" max="10496"/>
    <col width="18.42578125" bestFit="1" customWidth="1" style="1436" min="10497" max="10497"/>
    <col width="15.28515625" bestFit="1" customWidth="1" style="1436" min="10498" max="10498"/>
    <col width="23.42578125" customWidth="1" style="1436" min="10499" max="10499"/>
    <col width="17.28515625" bestFit="1" customWidth="1" style="1436" min="10500" max="10500"/>
    <col width="18.42578125" bestFit="1" customWidth="1" style="1436" min="10501" max="10501"/>
    <col width="16.28515625" bestFit="1" customWidth="1" style="1436" min="10502" max="10502"/>
    <col width="10" customWidth="1" style="1436" min="10503" max="10750"/>
    <col width="7.85546875" customWidth="1" style="1436" min="10751" max="10751"/>
    <col width="36.28515625" bestFit="1" customWidth="1" style="1436" min="10752" max="10752"/>
    <col width="18.42578125" bestFit="1" customWidth="1" style="1436" min="10753" max="10753"/>
    <col width="15.28515625" bestFit="1" customWidth="1" style="1436" min="10754" max="10754"/>
    <col width="23.42578125" customWidth="1" style="1436" min="10755" max="10755"/>
    <col width="17.28515625" bestFit="1" customWidth="1" style="1436" min="10756" max="10756"/>
    <col width="18.42578125" bestFit="1" customWidth="1" style="1436" min="10757" max="10757"/>
    <col width="16.28515625" bestFit="1" customWidth="1" style="1436" min="10758" max="10758"/>
    <col width="10" customWidth="1" style="1436" min="10759" max="11006"/>
    <col width="7.85546875" customWidth="1" style="1436" min="11007" max="11007"/>
    <col width="36.28515625" bestFit="1" customWidth="1" style="1436" min="11008" max="11008"/>
    <col width="18.42578125" bestFit="1" customWidth="1" style="1436" min="11009" max="11009"/>
    <col width="15.28515625" bestFit="1" customWidth="1" style="1436" min="11010" max="11010"/>
    <col width="23.42578125" customWidth="1" style="1436" min="11011" max="11011"/>
    <col width="17.28515625" bestFit="1" customWidth="1" style="1436" min="11012" max="11012"/>
    <col width="18.42578125" bestFit="1" customWidth="1" style="1436" min="11013" max="11013"/>
    <col width="16.28515625" bestFit="1" customWidth="1" style="1436" min="11014" max="11014"/>
    <col width="10" customWidth="1" style="1436" min="11015" max="11262"/>
    <col width="7.85546875" customWidth="1" style="1436" min="11263" max="11263"/>
    <col width="36.28515625" bestFit="1" customWidth="1" style="1436" min="11264" max="11264"/>
    <col width="18.42578125" bestFit="1" customWidth="1" style="1436" min="11265" max="11265"/>
    <col width="15.28515625" bestFit="1" customWidth="1" style="1436" min="11266" max="11266"/>
    <col width="23.42578125" customWidth="1" style="1436" min="11267" max="11267"/>
    <col width="17.28515625" bestFit="1" customWidth="1" style="1436" min="11268" max="11268"/>
    <col width="18.42578125" bestFit="1" customWidth="1" style="1436" min="11269" max="11269"/>
    <col width="16.28515625" bestFit="1" customWidth="1" style="1436" min="11270" max="11270"/>
    <col width="10" customWidth="1" style="1436" min="11271" max="11518"/>
    <col width="7.85546875" customWidth="1" style="1436" min="11519" max="11519"/>
    <col width="36.28515625" bestFit="1" customWidth="1" style="1436" min="11520" max="11520"/>
    <col width="18.42578125" bestFit="1" customWidth="1" style="1436" min="11521" max="11521"/>
    <col width="15.28515625" bestFit="1" customWidth="1" style="1436" min="11522" max="11522"/>
    <col width="23.42578125" customWidth="1" style="1436" min="11523" max="11523"/>
    <col width="17.28515625" bestFit="1" customWidth="1" style="1436" min="11524" max="11524"/>
    <col width="18.42578125" bestFit="1" customWidth="1" style="1436" min="11525" max="11525"/>
    <col width="16.28515625" bestFit="1" customWidth="1" style="1436" min="11526" max="11526"/>
    <col width="10" customWidth="1" style="1436" min="11527" max="11774"/>
    <col width="7.85546875" customWidth="1" style="1436" min="11775" max="11775"/>
    <col width="36.28515625" bestFit="1" customWidth="1" style="1436" min="11776" max="11776"/>
    <col width="18.42578125" bestFit="1" customWidth="1" style="1436" min="11777" max="11777"/>
    <col width="15.28515625" bestFit="1" customWidth="1" style="1436" min="11778" max="11778"/>
    <col width="23.42578125" customWidth="1" style="1436" min="11779" max="11779"/>
    <col width="17.28515625" bestFit="1" customWidth="1" style="1436" min="11780" max="11780"/>
    <col width="18.42578125" bestFit="1" customWidth="1" style="1436" min="11781" max="11781"/>
    <col width="16.28515625" bestFit="1" customWidth="1" style="1436" min="11782" max="11782"/>
    <col width="10" customWidth="1" style="1436" min="11783" max="12030"/>
    <col width="7.85546875" customWidth="1" style="1436" min="12031" max="12031"/>
    <col width="36.28515625" bestFit="1" customWidth="1" style="1436" min="12032" max="12032"/>
    <col width="18.42578125" bestFit="1" customWidth="1" style="1436" min="12033" max="12033"/>
    <col width="15.28515625" bestFit="1" customWidth="1" style="1436" min="12034" max="12034"/>
    <col width="23.42578125" customWidth="1" style="1436" min="12035" max="12035"/>
    <col width="17.28515625" bestFit="1" customWidth="1" style="1436" min="12036" max="12036"/>
    <col width="18.42578125" bestFit="1" customWidth="1" style="1436" min="12037" max="12037"/>
    <col width="16.28515625" bestFit="1" customWidth="1" style="1436" min="12038" max="12038"/>
    <col width="10" customWidth="1" style="1436" min="12039" max="12286"/>
    <col width="7.85546875" customWidth="1" style="1436" min="12287" max="12287"/>
    <col width="36.28515625" bestFit="1" customWidth="1" style="1436" min="12288" max="12288"/>
    <col width="18.42578125" bestFit="1" customWidth="1" style="1436" min="12289" max="12289"/>
    <col width="15.28515625" bestFit="1" customWidth="1" style="1436" min="12290" max="12290"/>
    <col width="23.42578125" customWidth="1" style="1436" min="12291" max="12291"/>
    <col width="17.28515625" bestFit="1" customWidth="1" style="1436" min="12292" max="12292"/>
    <col width="18.42578125" bestFit="1" customWidth="1" style="1436" min="12293" max="12293"/>
    <col width="16.28515625" bestFit="1" customWidth="1" style="1436" min="12294" max="12294"/>
    <col width="10" customWidth="1" style="1436" min="12295" max="12542"/>
    <col width="7.85546875" customWidth="1" style="1436" min="12543" max="12543"/>
    <col width="36.28515625" bestFit="1" customWidth="1" style="1436" min="12544" max="12544"/>
    <col width="18.42578125" bestFit="1" customWidth="1" style="1436" min="12545" max="12545"/>
    <col width="15.28515625" bestFit="1" customWidth="1" style="1436" min="12546" max="12546"/>
    <col width="23.42578125" customWidth="1" style="1436" min="12547" max="12547"/>
    <col width="17.28515625" bestFit="1" customWidth="1" style="1436" min="12548" max="12548"/>
    <col width="18.42578125" bestFit="1" customWidth="1" style="1436" min="12549" max="12549"/>
    <col width="16.28515625" bestFit="1" customWidth="1" style="1436" min="12550" max="12550"/>
    <col width="10" customWidth="1" style="1436" min="12551" max="12798"/>
    <col width="7.85546875" customWidth="1" style="1436" min="12799" max="12799"/>
    <col width="36.28515625" bestFit="1" customWidth="1" style="1436" min="12800" max="12800"/>
    <col width="18.42578125" bestFit="1" customWidth="1" style="1436" min="12801" max="12801"/>
    <col width="15.28515625" bestFit="1" customWidth="1" style="1436" min="12802" max="12802"/>
    <col width="23.42578125" customWidth="1" style="1436" min="12803" max="12803"/>
    <col width="17.28515625" bestFit="1" customWidth="1" style="1436" min="12804" max="12804"/>
    <col width="18.42578125" bestFit="1" customWidth="1" style="1436" min="12805" max="12805"/>
    <col width="16.28515625" bestFit="1" customWidth="1" style="1436" min="12806" max="12806"/>
    <col width="10" customWidth="1" style="1436" min="12807" max="13054"/>
    <col width="7.85546875" customWidth="1" style="1436" min="13055" max="13055"/>
    <col width="36.28515625" bestFit="1" customWidth="1" style="1436" min="13056" max="13056"/>
    <col width="18.42578125" bestFit="1" customWidth="1" style="1436" min="13057" max="13057"/>
    <col width="15.28515625" bestFit="1" customWidth="1" style="1436" min="13058" max="13058"/>
    <col width="23.42578125" customWidth="1" style="1436" min="13059" max="13059"/>
    <col width="17.28515625" bestFit="1" customWidth="1" style="1436" min="13060" max="13060"/>
    <col width="18.42578125" bestFit="1" customWidth="1" style="1436" min="13061" max="13061"/>
    <col width="16.28515625" bestFit="1" customWidth="1" style="1436" min="13062" max="13062"/>
    <col width="10" customWidth="1" style="1436" min="13063" max="13310"/>
    <col width="7.85546875" customWidth="1" style="1436" min="13311" max="13311"/>
    <col width="36.28515625" bestFit="1" customWidth="1" style="1436" min="13312" max="13312"/>
    <col width="18.42578125" bestFit="1" customWidth="1" style="1436" min="13313" max="13313"/>
    <col width="15.28515625" bestFit="1" customWidth="1" style="1436" min="13314" max="13314"/>
    <col width="23.42578125" customWidth="1" style="1436" min="13315" max="13315"/>
    <col width="17.28515625" bestFit="1" customWidth="1" style="1436" min="13316" max="13316"/>
    <col width="18.42578125" bestFit="1" customWidth="1" style="1436" min="13317" max="13317"/>
    <col width="16.28515625" bestFit="1" customWidth="1" style="1436" min="13318" max="13318"/>
    <col width="10" customWidth="1" style="1436" min="13319" max="13566"/>
    <col width="7.85546875" customWidth="1" style="1436" min="13567" max="13567"/>
    <col width="36.28515625" bestFit="1" customWidth="1" style="1436" min="13568" max="13568"/>
    <col width="18.42578125" bestFit="1" customWidth="1" style="1436" min="13569" max="13569"/>
    <col width="15.28515625" bestFit="1" customWidth="1" style="1436" min="13570" max="13570"/>
    <col width="23.42578125" customWidth="1" style="1436" min="13571" max="13571"/>
    <col width="17.28515625" bestFit="1" customWidth="1" style="1436" min="13572" max="13572"/>
    <col width="18.42578125" bestFit="1" customWidth="1" style="1436" min="13573" max="13573"/>
    <col width="16.28515625" bestFit="1" customWidth="1" style="1436" min="13574" max="13574"/>
    <col width="10" customWidth="1" style="1436" min="13575" max="13822"/>
    <col width="7.85546875" customWidth="1" style="1436" min="13823" max="13823"/>
    <col width="36.28515625" bestFit="1" customWidth="1" style="1436" min="13824" max="13824"/>
    <col width="18.42578125" bestFit="1" customWidth="1" style="1436" min="13825" max="13825"/>
    <col width="15.28515625" bestFit="1" customWidth="1" style="1436" min="13826" max="13826"/>
    <col width="23.42578125" customWidth="1" style="1436" min="13827" max="13827"/>
    <col width="17.28515625" bestFit="1" customWidth="1" style="1436" min="13828" max="13828"/>
    <col width="18.42578125" bestFit="1" customWidth="1" style="1436" min="13829" max="13829"/>
    <col width="16.28515625" bestFit="1" customWidth="1" style="1436" min="13830" max="13830"/>
    <col width="10" customWidth="1" style="1436" min="13831" max="14078"/>
    <col width="7.85546875" customWidth="1" style="1436" min="14079" max="14079"/>
    <col width="36.28515625" bestFit="1" customWidth="1" style="1436" min="14080" max="14080"/>
    <col width="18.42578125" bestFit="1" customWidth="1" style="1436" min="14081" max="14081"/>
    <col width="15.28515625" bestFit="1" customWidth="1" style="1436" min="14082" max="14082"/>
    <col width="23.42578125" customWidth="1" style="1436" min="14083" max="14083"/>
    <col width="17.28515625" bestFit="1" customWidth="1" style="1436" min="14084" max="14084"/>
    <col width="18.42578125" bestFit="1" customWidth="1" style="1436" min="14085" max="14085"/>
    <col width="16.28515625" bestFit="1" customWidth="1" style="1436" min="14086" max="14086"/>
    <col width="10" customWidth="1" style="1436" min="14087" max="14334"/>
    <col width="7.85546875" customWidth="1" style="1436" min="14335" max="14335"/>
    <col width="36.28515625" bestFit="1" customWidth="1" style="1436" min="14336" max="14336"/>
    <col width="18.42578125" bestFit="1" customWidth="1" style="1436" min="14337" max="14337"/>
    <col width="15.28515625" bestFit="1" customWidth="1" style="1436" min="14338" max="14338"/>
    <col width="23.42578125" customWidth="1" style="1436" min="14339" max="14339"/>
    <col width="17.28515625" bestFit="1" customWidth="1" style="1436" min="14340" max="14340"/>
    <col width="18.42578125" bestFit="1" customWidth="1" style="1436" min="14341" max="14341"/>
    <col width="16.28515625" bestFit="1" customWidth="1" style="1436" min="14342" max="14342"/>
    <col width="10" customWidth="1" style="1436" min="14343" max="14590"/>
    <col width="7.85546875" customWidth="1" style="1436" min="14591" max="14591"/>
    <col width="36.28515625" bestFit="1" customWidth="1" style="1436" min="14592" max="14592"/>
    <col width="18.42578125" bestFit="1" customWidth="1" style="1436" min="14593" max="14593"/>
    <col width="15.28515625" bestFit="1" customWidth="1" style="1436" min="14594" max="14594"/>
    <col width="23.42578125" customWidth="1" style="1436" min="14595" max="14595"/>
    <col width="17.28515625" bestFit="1" customWidth="1" style="1436" min="14596" max="14596"/>
    <col width="18.42578125" bestFit="1" customWidth="1" style="1436" min="14597" max="14597"/>
    <col width="16.28515625" bestFit="1" customWidth="1" style="1436" min="14598" max="14598"/>
    <col width="10" customWidth="1" style="1436" min="14599" max="14846"/>
    <col width="7.85546875" customWidth="1" style="1436" min="14847" max="14847"/>
    <col width="36.28515625" bestFit="1" customWidth="1" style="1436" min="14848" max="14848"/>
    <col width="18.42578125" bestFit="1" customWidth="1" style="1436" min="14849" max="14849"/>
    <col width="15.28515625" bestFit="1" customWidth="1" style="1436" min="14850" max="14850"/>
    <col width="23.42578125" customWidth="1" style="1436" min="14851" max="14851"/>
    <col width="17.28515625" bestFit="1" customWidth="1" style="1436" min="14852" max="14852"/>
    <col width="18.42578125" bestFit="1" customWidth="1" style="1436" min="14853" max="14853"/>
    <col width="16.28515625" bestFit="1" customWidth="1" style="1436" min="14854" max="14854"/>
    <col width="10" customWidth="1" style="1436" min="14855" max="15102"/>
    <col width="7.85546875" customWidth="1" style="1436" min="15103" max="15103"/>
    <col width="36.28515625" bestFit="1" customWidth="1" style="1436" min="15104" max="15104"/>
    <col width="18.42578125" bestFit="1" customWidth="1" style="1436" min="15105" max="15105"/>
    <col width="15.28515625" bestFit="1" customWidth="1" style="1436" min="15106" max="15106"/>
    <col width="23.42578125" customWidth="1" style="1436" min="15107" max="15107"/>
    <col width="17.28515625" bestFit="1" customWidth="1" style="1436" min="15108" max="15108"/>
    <col width="18.42578125" bestFit="1" customWidth="1" style="1436" min="15109" max="15109"/>
    <col width="16.28515625" bestFit="1" customWidth="1" style="1436" min="15110" max="15110"/>
    <col width="10" customWidth="1" style="1436" min="15111" max="15358"/>
    <col width="7.85546875" customWidth="1" style="1436" min="15359" max="15359"/>
    <col width="36.28515625" bestFit="1" customWidth="1" style="1436" min="15360" max="15360"/>
    <col width="18.42578125" bestFit="1" customWidth="1" style="1436" min="15361" max="15361"/>
    <col width="15.28515625" bestFit="1" customWidth="1" style="1436" min="15362" max="15362"/>
    <col width="23.42578125" customWidth="1" style="1436" min="15363" max="15363"/>
    <col width="17.28515625" bestFit="1" customWidth="1" style="1436" min="15364" max="15364"/>
    <col width="18.42578125" bestFit="1" customWidth="1" style="1436" min="15365" max="15365"/>
    <col width="16.28515625" bestFit="1" customWidth="1" style="1436" min="15366" max="15366"/>
    <col width="10" customWidth="1" style="1436" min="15367" max="15614"/>
    <col width="7.85546875" customWidth="1" style="1436" min="15615" max="15615"/>
    <col width="36.28515625" bestFit="1" customWidth="1" style="1436" min="15616" max="15616"/>
    <col width="18.42578125" bestFit="1" customWidth="1" style="1436" min="15617" max="15617"/>
    <col width="15.28515625" bestFit="1" customWidth="1" style="1436" min="15618" max="15618"/>
    <col width="23.42578125" customWidth="1" style="1436" min="15619" max="15619"/>
    <col width="17.28515625" bestFit="1" customWidth="1" style="1436" min="15620" max="15620"/>
    <col width="18.42578125" bestFit="1" customWidth="1" style="1436" min="15621" max="15621"/>
    <col width="16.28515625" bestFit="1" customWidth="1" style="1436" min="15622" max="15622"/>
    <col width="10" customWidth="1" style="1436" min="15623" max="15870"/>
    <col width="7.85546875" customWidth="1" style="1436" min="15871" max="15871"/>
    <col width="36.28515625" bestFit="1" customWidth="1" style="1436" min="15872" max="15872"/>
    <col width="18.42578125" bestFit="1" customWidth="1" style="1436" min="15873" max="15873"/>
    <col width="15.28515625" bestFit="1" customWidth="1" style="1436" min="15874" max="15874"/>
    <col width="23.42578125" customWidth="1" style="1436" min="15875" max="15875"/>
    <col width="17.28515625" bestFit="1" customWidth="1" style="1436" min="15876" max="15876"/>
    <col width="18.42578125" bestFit="1" customWidth="1" style="1436" min="15877" max="15877"/>
    <col width="16.28515625" bestFit="1" customWidth="1" style="1436" min="15878" max="15878"/>
    <col width="10" customWidth="1" style="1436" min="15879" max="16126"/>
    <col width="7.85546875" customWidth="1" style="1436" min="16127" max="16127"/>
    <col width="36.28515625" bestFit="1" customWidth="1" style="1436" min="16128" max="16128"/>
    <col width="18.42578125" bestFit="1" customWidth="1" style="1436" min="16129" max="16129"/>
    <col width="15.28515625" bestFit="1" customWidth="1" style="1436" min="16130" max="16130"/>
    <col width="23.42578125" customWidth="1" style="1436" min="16131" max="16131"/>
    <col width="17.28515625" bestFit="1" customWidth="1" style="1436" min="16132" max="16132"/>
    <col width="18.42578125" bestFit="1" customWidth="1" style="1436" min="16133" max="16133"/>
    <col width="16.28515625" bestFit="1" customWidth="1" style="1436" min="16134" max="16134"/>
    <col width="10" customWidth="1" style="1436" min="16135" max="16384"/>
  </cols>
  <sheetData>
    <row r="1" ht="14.45" customFormat="1" customHeight="1" s="1139">
      <c r="A1" s="1139" t="inlineStr">
        <is>
          <t>N° compte</t>
        </is>
      </c>
      <c r="B1" s="1139" t="inlineStr">
        <is>
          <t>Libellés</t>
        </is>
      </c>
      <c r="C1" s="1139" t="inlineStr">
        <is>
          <t>Débit</t>
        </is>
      </c>
      <c r="D1" s="1139" t="inlineStr">
        <is>
          <t>Crédit</t>
        </is>
      </c>
      <c r="E1" s="1139" t="inlineStr">
        <is>
          <t>Débit</t>
        </is>
      </c>
      <c r="F1" s="1139" t="inlineStr">
        <is>
          <t>Crédit</t>
        </is>
      </c>
      <c r="G1" s="1139" t="inlineStr">
        <is>
          <t>Débit</t>
        </is>
      </c>
      <c r="H1" s="1139" t="inlineStr">
        <is>
          <t>Crédit</t>
        </is>
      </c>
    </row>
    <row r="2" ht="14.45" customHeight="1" s="1225">
      <c r="A2" s="1436" t="inlineStr">
        <is>
          <t>101200</t>
        </is>
      </c>
      <c r="B2" s="1436" t="inlineStr">
        <is>
          <t>Capital souscrit, appelé, non</t>
        </is>
      </c>
      <c r="C2" s="1187" t="n">
        <v>0</v>
      </c>
      <c r="D2" s="1187" t="n">
        <v>0</v>
      </c>
      <c r="E2" s="1187" t="n">
        <v>193000000</v>
      </c>
      <c r="F2" s="1187" t="n">
        <v>193000000</v>
      </c>
      <c r="G2" s="1187" t="n">
        <v>0</v>
      </c>
      <c r="H2" s="1187" t="n">
        <v>0</v>
      </c>
    </row>
    <row r="3" ht="14.45" customHeight="1" s="1225">
      <c r="A3" s="1436" t="inlineStr">
        <is>
          <t>101300</t>
        </is>
      </c>
      <c r="B3" s="1436" t="inlineStr">
        <is>
          <t>Capital souscrit, appelé, vers</t>
        </is>
      </c>
      <c r="C3" s="1187" t="n">
        <v>0</v>
      </c>
      <c r="D3" s="1187" t="n">
        <v>100000000</v>
      </c>
      <c r="E3" s="1187" t="n">
        <v>0</v>
      </c>
      <c r="F3" s="1187" t="n">
        <v>9999999999.999998</v>
      </c>
      <c r="G3" s="1187" t="n">
        <v>0</v>
      </c>
      <c r="H3" s="1187" t="n">
        <v>10100000000</v>
      </c>
    </row>
    <row r="4" ht="14.45" customHeight="1" s="1225">
      <c r="A4" s="1436" t="inlineStr">
        <is>
          <t>129000</t>
        </is>
      </c>
      <c r="B4" s="1436" t="inlineStr">
        <is>
          <t>REPORT À NOUVEAU DÉBITEUR</t>
        </is>
      </c>
      <c r="C4" s="1187" t="n">
        <v>2748292</v>
      </c>
      <c r="D4" s="1187" t="n">
        <v>0</v>
      </c>
      <c r="E4" s="1187" t="n">
        <v>20055904</v>
      </c>
      <c r="F4" s="1187" t="n">
        <v>0</v>
      </c>
      <c r="G4" s="1187" t="n">
        <v>22804196</v>
      </c>
      <c r="H4" s="1187" t="n">
        <v>0</v>
      </c>
    </row>
    <row r="5" ht="14.45" customHeight="1" s="1225">
      <c r="A5" s="1436" t="inlineStr">
        <is>
          <t>139000</t>
        </is>
      </c>
      <c r="B5" s="1436" t="inlineStr">
        <is>
          <t>RÉSULTAT NET : PERTE</t>
        </is>
      </c>
      <c r="C5" s="1187" t="n">
        <v>20055904</v>
      </c>
      <c r="D5" s="1187" t="n">
        <v>0</v>
      </c>
      <c r="E5" s="1187" t="n">
        <v>0</v>
      </c>
      <c r="F5" s="1187" t="n">
        <v>20055904</v>
      </c>
      <c r="G5" s="1187" t="n">
        <v>0</v>
      </c>
      <c r="H5" s="1187" t="n">
        <v>0</v>
      </c>
    </row>
    <row r="6" ht="14.45" customHeight="1" s="1225">
      <c r="A6" s="1436" t="inlineStr">
        <is>
          <t>160000</t>
        </is>
      </c>
      <c r="B6" s="1436" t="inlineStr">
        <is>
          <t>EMPRUNTS ET DETTES ASSIMILÉES</t>
        </is>
      </c>
      <c r="C6" s="1187" t="n">
        <v>0</v>
      </c>
      <c r="D6" s="1187" t="n">
        <v>5125000000</v>
      </c>
      <c r="E6" s="1187" t="n">
        <v>5125000000</v>
      </c>
      <c r="F6" s="1187" t="n">
        <v>0</v>
      </c>
      <c r="G6" s="1187" t="n">
        <v>0</v>
      </c>
      <c r="H6" s="1187" t="n">
        <v>0</v>
      </c>
    </row>
    <row r="7" ht="14.45" customHeight="1" s="1225">
      <c r="A7" s="1436" t="inlineStr">
        <is>
          <t>161100</t>
        </is>
      </c>
      <c r="B7" s="1436" t="inlineStr">
        <is>
          <t>Emprunts obligataires ordinair</t>
        </is>
      </c>
      <c r="C7" s="1187" t="n">
        <v>0</v>
      </c>
      <c r="D7" s="1187" t="n">
        <v>7500000000</v>
      </c>
      <c r="E7" s="1187" t="n">
        <v>7500000000</v>
      </c>
      <c r="F7" s="1187" t="n">
        <v>0</v>
      </c>
      <c r="G7" s="1187" t="n">
        <v>0</v>
      </c>
      <c r="H7" s="1187" t="n">
        <v>0</v>
      </c>
    </row>
    <row r="8" ht="14.45" customHeight="1" s="1225">
      <c r="A8" s="1436" t="inlineStr">
        <is>
          <t>162010</t>
        </is>
      </c>
      <c r="B8" s="1436" t="inlineStr">
        <is>
          <t>EMPRUNT CORIS BANK</t>
        </is>
      </c>
      <c r="C8" s="1187" t="n">
        <v>0</v>
      </c>
      <c r="D8" s="1187" t="n">
        <v>0</v>
      </c>
      <c r="E8" s="1187" t="n">
        <v>247062318</v>
      </c>
      <c r="F8" s="1187" t="n">
        <v>500000000</v>
      </c>
      <c r="G8" s="1187" t="n">
        <v>0</v>
      </c>
      <c r="H8" s="1187" t="n">
        <v>252937682</v>
      </c>
    </row>
    <row r="9" ht="14.45" customHeight="1" s="1225">
      <c r="A9" s="1436" t="inlineStr">
        <is>
          <t>162020</t>
        </is>
      </c>
      <c r="B9" s="1436" t="inlineStr">
        <is>
          <t>EMPRUNT VISTA</t>
        </is>
      </c>
      <c r="C9" s="1187" t="n">
        <v>0</v>
      </c>
      <c r="D9" s="1187" t="n">
        <v>0</v>
      </c>
      <c r="E9" s="1187" t="n">
        <v>0</v>
      </c>
      <c r="F9" s="1187" t="n">
        <v>15000000000</v>
      </c>
      <c r="G9" s="1187" t="n">
        <v>0</v>
      </c>
      <c r="H9" s="1187" t="n">
        <v>15000000000</v>
      </c>
    </row>
    <row r="10" ht="14.45" customHeight="1" s="1225">
      <c r="A10" s="1436" t="inlineStr">
        <is>
          <t>162030</t>
        </is>
      </c>
      <c r="B10" s="1436" t="inlineStr">
        <is>
          <t>EMPRUNT WBI</t>
        </is>
      </c>
      <c r="C10" s="1187" t="n">
        <v>0</v>
      </c>
      <c r="D10" s="1187" t="n">
        <v>0</v>
      </c>
      <c r="E10" s="1187" t="n">
        <v>539354385</v>
      </c>
      <c r="F10" s="1187" t="n">
        <v>4999999999.999999</v>
      </c>
      <c r="G10" s="1187" t="n">
        <v>0</v>
      </c>
      <c r="H10" s="1187" t="n">
        <v>4460645614.999999</v>
      </c>
    </row>
    <row r="11" ht="14.45" customHeight="1" s="1225">
      <c r="A11" s="1436" t="inlineStr">
        <is>
          <t>213100</t>
        </is>
      </c>
      <c r="B11" s="1436" t="inlineStr">
        <is>
          <t>LOGICIELS</t>
        </is>
      </c>
      <c r="C11" s="1187" t="n">
        <v>0</v>
      </c>
      <c r="D11" s="1187" t="n">
        <v>0</v>
      </c>
      <c r="E11" s="1187" t="n">
        <v>64245912</v>
      </c>
      <c r="F11" s="1187" t="n">
        <v>0</v>
      </c>
      <c r="G11" s="1187" t="n">
        <v>64245912</v>
      </c>
      <c r="H11" s="1187" t="n">
        <v>0</v>
      </c>
    </row>
    <row r="12" ht="14.45" customHeight="1" s="1225">
      <c r="A12" s="1436" t="inlineStr">
        <is>
          <t>221800</t>
        </is>
      </c>
      <c r="B12" s="1436" t="inlineStr">
        <is>
          <t>AUTRES TERRAINS</t>
        </is>
      </c>
      <c r="C12" s="1187" t="n">
        <v>0</v>
      </c>
      <c r="D12" s="1187" t="n">
        <v>0</v>
      </c>
      <c r="E12" s="1187" t="n">
        <v>962734139</v>
      </c>
      <c r="F12" s="1187" t="n">
        <v>0</v>
      </c>
      <c r="G12" s="1187" t="n">
        <v>962734139</v>
      </c>
      <c r="H12" s="1187" t="n">
        <v>0</v>
      </c>
    </row>
    <row r="13" ht="14.45" customHeight="1" s="1225">
      <c r="A13" s="1436" t="inlineStr">
        <is>
          <t>222800</t>
        </is>
      </c>
      <c r="B13" s="1436" t="inlineStr">
        <is>
          <t>TERRAINS RIVERAINS</t>
        </is>
      </c>
      <c r="C13" s="1187" t="n">
        <v>3000000</v>
      </c>
      <c r="D13" s="1187" t="n">
        <v>0</v>
      </c>
      <c r="E13" s="1187" t="n">
        <v>437179000</v>
      </c>
      <c r="F13" s="1187" t="n">
        <v>4400000</v>
      </c>
      <c r="G13" s="1187" t="n">
        <v>435779000</v>
      </c>
      <c r="H13" s="1187" t="n">
        <v>0</v>
      </c>
    </row>
    <row r="14" ht="14.45" customHeight="1" s="1225">
      <c r="A14" s="1436" t="inlineStr">
        <is>
          <t>228801</t>
        </is>
      </c>
      <c r="B14" s="1436" t="inlineStr">
        <is>
          <t>TERRAIN RIVERAIN</t>
        </is>
      </c>
      <c r="C14" s="1187" t="n">
        <v>4500000</v>
      </c>
      <c r="D14" s="1187" t="n">
        <v>0</v>
      </c>
      <c r="E14" s="1187" t="n">
        <v>0</v>
      </c>
      <c r="F14" s="1187" t="n">
        <v>4500000</v>
      </c>
      <c r="G14" s="1187" t="n">
        <v>0</v>
      </c>
      <c r="H14" s="1187" t="n">
        <v>0</v>
      </c>
    </row>
    <row r="15" ht="14.45" customHeight="1" s="1225">
      <c r="A15" s="1436" t="inlineStr">
        <is>
          <t>231102</t>
        </is>
      </c>
      <c r="B15" s="1436" t="inlineStr">
        <is>
          <t>HALL DE STOCKAGE Matières prem</t>
        </is>
      </c>
      <c r="C15" s="1187" t="n">
        <v>0</v>
      </c>
      <c r="D15" s="1187" t="n">
        <v>0</v>
      </c>
      <c r="E15" s="1187" t="n">
        <v>1437878625</v>
      </c>
      <c r="F15" s="1187" t="n">
        <v>0</v>
      </c>
      <c r="G15" s="1187" t="n">
        <v>1437878625</v>
      </c>
      <c r="H15" s="1187" t="n">
        <v>0</v>
      </c>
    </row>
    <row r="16" ht="14.45" customHeight="1" s="1225">
      <c r="A16" s="1436" t="inlineStr">
        <is>
          <t>231103</t>
        </is>
      </c>
      <c r="B16" s="1436" t="inlineStr">
        <is>
          <t>PONT BASCULE -Sorties IA5.1</t>
        </is>
      </c>
      <c r="C16" s="1187" t="n">
        <v>0</v>
      </c>
      <c r="D16" s="1187" t="n">
        <v>0</v>
      </c>
      <c r="E16" s="1187" t="n">
        <v>16501045</v>
      </c>
      <c r="F16" s="1187" t="n">
        <v>0</v>
      </c>
      <c r="G16" s="1187" t="n">
        <v>16501045</v>
      </c>
      <c r="H16" s="1187" t="n">
        <v>0</v>
      </c>
    </row>
    <row r="17" ht="14.45" customHeight="1" s="1225">
      <c r="A17" s="1436" t="inlineStr">
        <is>
          <t>231106</t>
        </is>
      </c>
      <c r="B17" s="1436" t="inlineStr">
        <is>
          <t>ZONE TRANSFORMATEUR IA7.1</t>
        </is>
      </c>
      <c r="C17" s="1187" t="n">
        <v>0</v>
      </c>
      <c r="D17" s="1187" t="n">
        <v>0</v>
      </c>
      <c r="E17" s="1187" t="n">
        <v>333928425</v>
      </c>
      <c r="F17" s="1187" t="n">
        <v>0</v>
      </c>
      <c r="G17" s="1187" t="n">
        <v>333928425</v>
      </c>
      <c r="H17" s="1187" t="n">
        <v>0</v>
      </c>
    </row>
    <row r="18" ht="14.45" customHeight="1" s="1225">
      <c r="A18" s="1436" t="inlineStr">
        <is>
          <t>231108</t>
        </is>
      </c>
      <c r="B18" s="1436" t="inlineStr">
        <is>
          <t>HANGAR ATELIER ET MAGASIN</t>
        </is>
      </c>
      <c r="C18" s="1187" t="n">
        <v>0</v>
      </c>
      <c r="D18" s="1187" t="n">
        <v>0</v>
      </c>
      <c r="E18" s="1187" t="n">
        <v>159646906</v>
      </c>
      <c r="F18" s="1187" t="n">
        <v>0</v>
      </c>
      <c r="G18" s="1187" t="n">
        <v>159646906</v>
      </c>
      <c r="H18" s="1187" t="n">
        <v>0</v>
      </c>
    </row>
    <row r="19" ht="14.45" customHeight="1" s="1225">
      <c r="A19" s="1436" t="inlineStr">
        <is>
          <t>231109</t>
        </is>
      </c>
      <c r="B19" s="1436" t="inlineStr">
        <is>
          <t>USINE-CHARPENTE ACIER -INSTALL</t>
        </is>
      </c>
      <c r="C19" s="1187" t="n">
        <v>0</v>
      </c>
      <c r="D19" s="1187" t="n">
        <v>0</v>
      </c>
      <c r="E19" s="1187" t="n">
        <v>998913888</v>
      </c>
      <c r="F19" s="1187" t="n">
        <v>0</v>
      </c>
      <c r="G19" s="1187" t="n">
        <v>998913888</v>
      </c>
      <c r="H19" s="1187" t="n">
        <v>0</v>
      </c>
    </row>
    <row r="20" ht="14.45" customHeight="1" s="1225">
      <c r="A20" s="1436" t="inlineStr">
        <is>
          <t>231301</t>
        </is>
      </c>
      <c r="B20" s="1436" t="inlineStr">
        <is>
          <t>BATIMENT ADMINISTRATIF</t>
        </is>
      </c>
      <c r="C20" s="1187" t="n">
        <v>0</v>
      </c>
      <c r="D20" s="1187" t="n">
        <v>0</v>
      </c>
      <c r="E20" s="1187" t="n">
        <v>244245977</v>
      </c>
      <c r="F20" s="1187" t="n">
        <v>0</v>
      </c>
      <c r="G20" s="1187" t="n">
        <v>244245977</v>
      </c>
      <c r="H20" s="1187" t="n">
        <v>0</v>
      </c>
    </row>
    <row r="21" ht="14.45" customHeight="1" s="1225">
      <c r="A21" s="1436" t="inlineStr">
        <is>
          <t>231302</t>
        </is>
      </c>
      <c r="B21" s="1436" t="inlineStr">
        <is>
          <t>BATIMENT LABORATOIRE</t>
        </is>
      </c>
      <c r="C21" s="1187" t="n">
        <v>0</v>
      </c>
      <c r="D21" s="1187" t="n">
        <v>0</v>
      </c>
      <c r="E21" s="1187" t="n">
        <v>48657553</v>
      </c>
      <c r="F21" s="1187" t="n">
        <v>0</v>
      </c>
      <c r="G21" s="1187" t="n">
        <v>48657553</v>
      </c>
      <c r="H21" s="1187" t="n">
        <v>0</v>
      </c>
    </row>
    <row r="22" ht="14.45" customHeight="1" s="1225">
      <c r="A22" s="1436" t="inlineStr">
        <is>
          <t>233800</t>
        </is>
      </c>
      <c r="B22" s="1436" t="inlineStr">
        <is>
          <t>AUTRES OUVRAGES CHATEAU D'EAU</t>
        </is>
      </c>
      <c r="C22" s="1187" t="n">
        <v>0</v>
      </c>
      <c r="D22" s="1187" t="n">
        <v>0</v>
      </c>
      <c r="E22" s="1187" t="n">
        <v>43875500</v>
      </c>
      <c r="F22" s="1187" t="n">
        <v>0</v>
      </c>
      <c r="G22" s="1187" t="n">
        <v>43875500</v>
      </c>
      <c r="H22" s="1187" t="n">
        <v>0</v>
      </c>
    </row>
    <row r="23" ht="14.45" customHeight="1" s="1225">
      <c r="A23" s="1436" t="inlineStr">
        <is>
          <t>233801</t>
        </is>
      </c>
      <c r="B23" s="1436" t="inlineStr">
        <is>
          <t>Pompe Hybride</t>
        </is>
      </c>
      <c r="C23" s="1187" t="n">
        <v>603000</v>
      </c>
      <c r="D23" s="1187" t="n">
        <v>0</v>
      </c>
      <c r="E23" s="1187" t="n">
        <v>0</v>
      </c>
      <c r="F23" s="1187" t="n">
        <v>603000</v>
      </c>
      <c r="G23" s="1187" t="n">
        <v>0</v>
      </c>
      <c r="H23" s="1187" t="n">
        <v>0</v>
      </c>
    </row>
    <row r="24" ht="14.45" customHeight="1" s="1225">
      <c r="A24" s="1436" t="inlineStr">
        <is>
          <t>234000</t>
        </is>
      </c>
      <c r="B24" s="1436" t="inlineStr">
        <is>
          <t>INSTALLATIONS, AGENCEMENTS ET</t>
        </is>
      </c>
      <c r="C24" s="1187" t="n">
        <v>850000</v>
      </c>
      <c r="D24" s="1187" t="n">
        <v>0</v>
      </c>
      <c r="E24" s="1187" t="n">
        <v>266848569</v>
      </c>
      <c r="F24" s="1187" t="n">
        <v>0</v>
      </c>
      <c r="G24" s="1187" t="n">
        <v>267698569</v>
      </c>
      <c r="H24" s="1187" t="n">
        <v>0</v>
      </c>
    </row>
    <row r="25" ht="14.45" customHeight="1" s="1225">
      <c r="A25" s="1436" t="inlineStr">
        <is>
          <t>234102</t>
        </is>
      </c>
      <c r="B25" s="1436" t="inlineStr">
        <is>
          <t>VANNES-TREMIS-CONVOYEURS IA1.0</t>
        </is>
      </c>
      <c r="C25" s="1187" t="n">
        <v>0</v>
      </c>
      <c r="D25" s="1187" t="n">
        <v>0</v>
      </c>
      <c r="E25" s="1187" t="n">
        <v>419812480</v>
      </c>
      <c r="F25" s="1187" t="n">
        <v>0</v>
      </c>
      <c r="G25" s="1187" t="n">
        <v>419812480</v>
      </c>
      <c r="H25" s="1187" t="n">
        <v>0</v>
      </c>
    </row>
    <row r="26" ht="14.45" customHeight="1" s="1225">
      <c r="A26" s="1436" t="inlineStr">
        <is>
          <t>234105</t>
        </is>
      </c>
      <c r="B26" s="1436" t="inlineStr">
        <is>
          <t>ZONE BROYEUR IA2.0</t>
        </is>
      </c>
      <c r="C26" s="1187" t="n">
        <v>0</v>
      </c>
      <c r="D26" s="1187" t="n">
        <v>0</v>
      </c>
      <c r="E26" s="1187" t="n">
        <v>3750200533</v>
      </c>
      <c r="F26" s="1187" t="n">
        <v>0</v>
      </c>
      <c r="G26" s="1187" t="n">
        <v>3750200533</v>
      </c>
      <c r="H26" s="1187" t="n">
        <v>0</v>
      </c>
    </row>
    <row r="27" ht="14.45" customHeight="1" s="1225">
      <c r="A27" s="1436" t="inlineStr">
        <is>
          <t>234107</t>
        </is>
      </c>
      <c r="B27" s="1436" t="inlineStr">
        <is>
          <t>ZONE DU FILTRE IA 3.0</t>
        </is>
      </c>
      <c r="C27" s="1187" t="n">
        <v>0</v>
      </c>
      <c r="D27" s="1187" t="n">
        <v>0</v>
      </c>
      <c r="E27" s="1187" t="n">
        <v>361303936</v>
      </c>
      <c r="F27" s="1187" t="n">
        <v>0</v>
      </c>
      <c r="G27" s="1187" t="n">
        <v>361303936</v>
      </c>
      <c r="H27" s="1187" t="n">
        <v>0</v>
      </c>
    </row>
    <row r="28" ht="14.45" customHeight="1" s="1225">
      <c r="A28" s="1436" t="inlineStr">
        <is>
          <t>234108</t>
        </is>
      </c>
      <c r="B28" s="1436" t="inlineStr">
        <is>
          <t>ZONE VENTILLATEUR -FROID IA3.1</t>
        </is>
      </c>
      <c r="C28" s="1187" t="n">
        <v>0</v>
      </c>
      <c r="D28" s="1187" t="n">
        <v>0</v>
      </c>
      <c r="E28" s="1187" t="n">
        <v>334246609</v>
      </c>
      <c r="F28" s="1187" t="n">
        <v>0</v>
      </c>
      <c r="G28" s="1187" t="n">
        <v>334246609</v>
      </c>
      <c r="H28" s="1187" t="n">
        <v>0</v>
      </c>
    </row>
    <row r="29" ht="14.45" customHeight="1" s="1225">
      <c r="A29" s="1436" t="inlineStr">
        <is>
          <t>234112</t>
        </is>
      </c>
      <c r="B29" s="1436" t="inlineStr">
        <is>
          <t>SILOS DE STOCKAGE IA5.0</t>
        </is>
      </c>
      <c r="C29" s="1187" t="n">
        <v>0</v>
      </c>
      <c r="D29" s="1187" t="n">
        <v>0</v>
      </c>
      <c r="E29" s="1187" t="n">
        <v>426851125</v>
      </c>
      <c r="F29" s="1187" t="n">
        <v>0</v>
      </c>
      <c r="G29" s="1187" t="n">
        <v>426851125</v>
      </c>
      <c r="H29" s="1187" t="n">
        <v>0</v>
      </c>
    </row>
    <row r="30" ht="14.45" customHeight="1" s="1225">
      <c r="A30" s="1436" t="inlineStr">
        <is>
          <t>235800</t>
        </is>
      </c>
      <c r="B30" s="1436" t="inlineStr">
        <is>
          <t>AUTRES AMÉNAGEMENTS DE BUREAUX</t>
        </is>
      </c>
      <c r="C30" s="1187" t="n">
        <v>8764000</v>
      </c>
      <c r="D30" s="1187" t="n">
        <v>0</v>
      </c>
      <c r="E30" s="1187" t="n">
        <v>0</v>
      </c>
      <c r="F30" s="1187" t="n">
        <v>0</v>
      </c>
      <c r="G30" s="1187" t="n">
        <v>8764000</v>
      </c>
      <c r="H30" s="1187" t="n">
        <v>0</v>
      </c>
    </row>
    <row r="31" ht="14.45" customHeight="1" s="1225">
      <c r="A31" s="1436" t="inlineStr">
        <is>
          <t>239100</t>
        </is>
      </c>
      <c r="B31" s="1436" t="inlineStr">
        <is>
          <t>BÂTIMENTS EN COURS</t>
        </is>
      </c>
      <c r="C31" s="1187" t="n">
        <v>439513020</v>
      </c>
      <c r="D31" s="1187" t="n">
        <v>0</v>
      </c>
      <c r="E31" s="1187" t="n">
        <v>30112199</v>
      </c>
      <c r="F31" s="1187" t="n">
        <v>149592500</v>
      </c>
      <c r="G31" s="1187" t="n">
        <v>320032719</v>
      </c>
      <c r="H31" s="1187" t="n">
        <v>0</v>
      </c>
    </row>
    <row r="32" ht="14.45" customHeight="1" s="1225">
      <c r="A32" s="1436" t="inlineStr">
        <is>
          <t>239101</t>
        </is>
      </c>
      <c r="B32" s="1436" t="inlineStr">
        <is>
          <t>POSTE DE TRANSFORMATION SONABE</t>
        </is>
      </c>
      <c r="C32" s="1187" t="n">
        <v>15003585</v>
      </c>
      <c r="D32" s="1187" t="n">
        <v>0</v>
      </c>
      <c r="E32" s="1187" t="n">
        <v>2761000</v>
      </c>
      <c r="F32" s="1187" t="n">
        <v>0</v>
      </c>
      <c r="G32" s="1187" t="n">
        <v>17764585</v>
      </c>
      <c r="H32" s="1187" t="n">
        <v>0</v>
      </c>
    </row>
    <row r="33" ht="14.45" customHeight="1" s="1225">
      <c r="A33" s="1436" t="inlineStr">
        <is>
          <t>239102</t>
        </is>
      </c>
      <c r="B33" s="1436" t="inlineStr">
        <is>
          <t>LABORATOIRE</t>
        </is>
      </c>
      <c r="C33" s="1187" t="n">
        <v>25536358</v>
      </c>
      <c r="D33" s="1187" t="n">
        <v>0</v>
      </c>
      <c r="E33" s="1187" t="n">
        <v>17416318</v>
      </c>
      <c r="F33" s="1187" t="n">
        <v>42952676</v>
      </c>
      <c r="G33" s="1187" t="n">
        <v>0</v>
      </c>
      <c r="H33" s="1187" t="n">
        <v>0</v>
      </c>
    </row>
    <row r="34" ht="14.45" customHeight="1" s="1225">
      <c r="A34" s="1436" t="inlineStr">
        <is>
          <t>239103</t>
        </is>
      </c>
      <c r="B34" s="1436" t="inlineStr">
        <is>
          <t>LOCAL LOESCHE</t>
        </is>
      </c>
      <c r="C34" s="1187" t="n">
        <v>2064250</v>
      </c>
      <c r="D34" s="1187" t="n">
        <v>0</v>
      </c>
      <c r="E34" s="1187" t="n">
        <v>0</v>
      </c>
      <c r="F34" s="1187" t="n">
        <v>0</v>
      </c>
      <c r="G34" s="1187" t="n">
        <v>2064250</v>
      </c>
      <c r="H34" s="1187" t="n">
        <v>0</v>
      </c>
    </row>
    <row r="35" ht="14.45" customHeight="1" s="1225">
      <c r="A35" s="1436" t="inlineStr">
        <is>
          <t>239104</t>
        </is>
      </c>
      <c r="B35" s="1436" t="inlineStr">
        <is>
          <t>BATIMENT ADMINISTRATIF</t>
        </is>
      </c>
      <c r="C35" s="1187" t="n">
        <v>18388000</v>
      </c>
      <c r="D35" s="1187" t="n">
        <v>0</v>
      </c>
      <c r="E35" s="1187" t="n">
        <v>44228077</v>
      </c>
      <c r="F35" s="1187" t="n">
        <v>62616077</v>
      </c>
      <c r="G35" s="1187" t="n">
        <v>0</v>
      </c>
      <c r="H35" s="1187" t="n">
        <v>0</v>
      </c>
    </row>
    <row r="36" ht="14.45" customHeight="1" s="1225">
      <c r="A36" s="1436" t="inlineStr">
        <is>
          <t>239105</t>
        </is>
      </c>
      <c r="B36" s="1436" t="inlineStr">
        <is>
          <t>ALIMENTATION HTA USINE</t>
        </is>
      </c>
      <c r="C36" s="1187" t="n">
        <v>301841686</v>
      </c>
      <c r="D36" s="1187" t="n">
        <v>0</v>
      </c>
      <c r="E36" s="1187" t="n">
        <v>0</v>
      </c>
      <c r="F36" s="1187" t="n">
        <v>301841686</v>
      </c>
      <c r="G36" s="1187" t="n">
        <v>0</v>
      </c>
      <c r="H36" s="1187" t="n">
        <v>0</v>
      </c>
    </row>
    <row r="37" ht="14.45" customHeight="1" s="1225">
      <c r="A37" s="1436" t="inlineStr">
        <is>
          <t>239200</t>
        </is>
      </c>
      <c r="B37" s="1436" t="inlineStr">
        <is>
          <t>INSTALLATIONS EN COURS</t>
        </is>
      </c>
      <c r="C37" s="1187" t="n">
        <v>458585709</v>
      </c>
      <c r="D37" s="1187" t="n">
        <v>0</v>
      </c>
      <c r="E37" s="1187" t="n">
        <v>1155510909</v>
      </c>
      <c r="F37" s="1187" t="n">
        <v>382109002</v>
      </c>
      <c r="G37" s="1187" t="n">
        <v>1231987616</v>
      </c>
      <c r="H37" s="1187" t="n">
        <v>0</v>
      </c>
    </row>
    <row r="38" ht="14.45" customHeight="1" s="1225">
      <c r="A38" s="1436" t="inlineStr">
        <is>
          <t>239201</t>
        </is>
      </c>
      <c r="B38" s="1436" t="inlineStr">
        <is>
          <t>SYSTEME D'ALIMENTATION USINE</t>
        </is>
      </c>
      <c r="C38" s="1187" t="n">
        <v>298617865</v>
      </c>
      <c r="D38" s="1187" t="n">
        <v>0</v>
      </c>
      <c r="E38" s="1187" t="n">
        <v>0</v>
      </c>
      <c r="F38" s="1187" t="n">
        <v>0</v>
      </c>
      <c r="G38" s="1187" t="n">
        <v>298617865</v>
      </c>
      <c r="H38" s="1187" t="n">
        <v>0</v>
      </c>
    </row>
    <row r="39" ht="14.45" customHeight="1" s="1225">
      <c r="A39" s="1436" t="inlineStr">
        <is>
          <t>239202</t>
        </is>
      </c>
      <c r="B39" s="1436" t="inlineStr">
        <is>
          <t>BROYEUR</t>
        </is>
      </c>
      <c r="C39" s="1187" t="n">
        <v>2274491680</v>
      </c>
      <c r="D39" s="1187" t="n">
        <v>0</v>
      </c>
      <c r="E39" s="1187" t="n">
        <v>0</v>
      </c>
      <c r="F39" s="1187" t="n">
        <v>1463896613</v>
      </c>
      <c r="G39" s="1187" t="n">
        <v>810595067</v>
      </c>
      <c r="H39" s="1187" t="n">
        <v>0</v>
      </c>
    </row>
    <row r="40" ht="14.45" customHeight="1" s="1225">
      <c r="A40" s="1436" t="inlineStr">
        <is>
          <t>239204</t>
        </is>
      </c>
      <c r="B40" s="1436" t="inlineStr">
        <is>
          <t>FILTRE DEPOUSSIERAGE</t>
        </is>
      </c>
      <c r="C40" s="1187" t="n">
        <v>384593493</v>
      </c>
      <c r="D40" s="1187" t="n">
        <v>0</v>
      </c>
      <c r="E40" s="1187" t="n">
        <v>0</v>
      </c>
      <c r="F40" s="1187" t="n">
        <v>292759513</v>
      </c>
      <c r="G40" s="1187" t="n">
        <v>91833980</v>
      </c>
      <c r="H40" s="1187" t="n">
        <v>0</v>
      </c>
    </row>
    <row r="41" ht="14.45" customHeight="1" s="1225">
      <c r="A41" s="1436" t="inlineStr">
        <is>
          <t>239206</t>
        </is>
      </c>
      <c r="B41" s="1436" t="inlineStr">
        <is>
          <t>SYSTEME DE STOCKAGE DE PRODUIT</t>
        </is>
      </c>
      <c r="C41" s="1187" t="n">
        <v>1228301315</v>
      </c>
      <c r="D41" s="1187" t="n">
        <v>0</v>
      </c>
      <c r="E41" s="1187" t="n">
        <v>-804094579</v>
      </c>
      <c r="F41" s="1187" t="n">
        <v>227419636</v>
      </c>
      <c r="G41" s="1187" t="n">
        <v>196787100</v>
      </c>
      <c r="H41" s="1187" t="n">
        <v>0</v>
      </c>
    </row>
    <row r="42" ht="14.45" customHeight="1" s="1225">
      <c r="A42" s="1436" t="inlineStr">
        <is>
          <t>239208</t>
        </is>
      </c>
      <c r="B42" s="1436" t="inlineStr">
        <is>
          <t>EQUIPEMENT ADDITIONNEL</t>
        </is>
      </c>
      <c r="C42" s="1187" t="n">
        <v>332104470</v>
      </c>
      <c r="D42" s="1187" t="n">
        <v>0</v>
      </c>
      <c r="E42" s="1187" t="n">
        <v>0</v>
      </c>
      <c r="F42" s="1187" t="n">
        <v>332104470</v>
      </c>
      <c r="G42" s="1187" t="n">
        <v>0</v>
      </c>
      <c r="H42" s="1187" t="n">
        <v>0</v>
      </c>
    </row>
    <row r="43" ht="14.45" customHeight="1" s="1225">
      <c r="A43" s="1436" t="inlineStr">
        <is>
          <t>239209</t>
        </is>
      </c>
      <c r="B43" s="1436" t="inlineStr">
        <is>
          <t>EQUIPEMENT ELECTRIQUE ET AUTOM</t>
        </is>
      </c>
      <c r="C43" s="1187" t="n">
        <v>2463054035</v>
      </c>
      <c r="D43" s="1187" t="n">
        <v>0</v>
      </c>
      <c r="E43" s="1187" t="n">
        <v>23904915</v>
      </c>
      <c r="F43" s="1187" t="n">
        <v>1367533534</v>
      </c>
      <c r="G43" s="1187" t="n">
        <v>1119425416</v>
      </c>
      <c r="H43" s="1187" t="n">
        <v>0</v>
      </c>
    </row>
    <row r="44" ht="14.45" customHeight="1" s="1225">
      <c r="A44" s="1436" t="inlineStr">
        <is>
          <t>239210</t>
        </is>
      </c>
      <c r="B44" s="1436" t="inlineStr">
        <is>
          <t>STRUCTURE EN ACIER</t>
        </is>
      </c>
      <c r="C44" s="1187" t="n">
        <v>2292932645</v>
      </c>
      <c r="D44" s="1187" t="n">
        <v>0</v>
      </c>
      <c r="E44" s="1187" t="n">
        <v>2493548</v>
      </c>
      <c r="F44" s="1187" t="n">
        <v>1301845716</v>
      </c>
      <c r="G44" s="1187" t="n">
        <v>993580477.0000001</v>
      </c>
      <c r="H44" s="1187" t="n">
        <v>0</v>
      </c>
    </row>
    <row r="45" ht="14.45" customHeight="1" s="1225">
      <c r="A45" s="1436" t="inlineStr">
        <is>
          <t>239211</t>
        </is>
      </c>
      <c r="B45" s="1436" t="inlineStr">
        <is>
          <t>STRUCTURE EN BETON ET TRAVAUX</t>
        </is>
      </c>
      <c r="C45" s="1187" t="n">
        <v>400133770</v>
      </c>
      <c r="D45" s="1187" t="n">
        <v>0</v>
      </c>
      <c r="E45" s="1187" t="n">
        <v>0</v>
      </c>
      <c r="F45" s="1187" t="n">
        <v>229584950</v>
      </c>
      <c r="G45" s="1187" t="n">
        <v>170548820</v>
      </c>
      <c r="H45" s="1187" t="n">
        <v>0</v>
      </c>
    </row>
    <row r="46" ht="14.45" customHeight="1" s="1225">
      <c r="A46" s="1436" t="inlineStr">
        <is>
          <t>239212</t>
        </is>
      </c>
      <c r="B46" s="1436" t="inlineStr">
        <is>
          <t>SERVICE D'INGENIERIE</t>
        </is>
      </c>
      <c r="C46" s="1187" t="n">
        <v>2246652725</v>
      </c>
      <c r="D46" s="1187" t="n">
        <v>0</v>
      </c>
      <c r="E46" s="1187" t="n">
        <v>655957000</v>
      </c>
      <c r="F46" s="1187" t="n">
        <v>0</v>
      </c>
      <c r="G46" s="1187" t="n">
        <v>2902609725</v>
      </c>
      <c r="H46" s="1187" t="n">
        <v>0</v>
      </c>
    </row>
    <row r="47" ht="14.45" customHeight="1" s="1225">
      <c r="A47" s="1436" t="inlineStr">
        <is>
          <t>239216</t>
        </is>
      </c>
      <c r="B47" s="1436" t="inlineStr">
        <is>
          <t>SILO 3</t>
        </is>
      </c>
      <c r="C47" s="1187" t="n">
        <v>0</v>
      </c>
      <c r="D47" s="1187" t="n">
        <v>0</v>
      </c>
      <c r="E47" s="1187" t="n">
        <v>32276000</v>
      </c>
      <c r="F47" s="1187" t="n">
        <v>32276000</v>
      </c>
      <c r="G47" s="1187" t="n">
        <v>0</v>
      </c>
      <c r="H47" s="1187" t="n">
        <v>0</v>
      </c>
    </row>
    <row r="48" ht="14.45" customHeight="1" s="1225">
      <c r="A48" s="1436" t="inlineStr">
        <is>
          <t>239217</t>
        </is>
      </c>
      <c r="B48" s="1436" t="inlineStr">
        <is>
          <t>EQUIPEMENT MECANIQUE</t>
        </is>
      </c>
      <c r="C48" s="1187" t="n">
        <v>0</v>
      </c>
      <c r="D48" s="1187" t="n">
        <v>0</v>
      </c>
      <c r="E48" s="1187" t="n">
        <v>679205393</v>
      </c>
      <c r="F48" s="1187" t="n">
        <v>0</v>
      </c>
      <c r="G48" s="1187" t="n">
        <v>679205393</v>
      </c>
      <c r="H48" s="1187" t="n">
        <v>0</v>
      </c>
    </row>
    <row r="49" ht="14.45" customHeight="1" s="1225">
      <c r="A49" s="1436" t="inlineStr">
        <is>
          <t>239218</t>
        </is>
      </c>
      <c r="B49" s="1436" t="inlineStr">
        <is>
          <t>MISE SOUS TERRE TRÉMI VOYAGEUR</t>
        </is>
      </c>
      <c r="C49" s="1187" t="n">
        <v>25630000</v>
      </c>
      <c r="D49" s="1187" t="n">
        <v>0</v>
      </c>
      <c r="E49" s="1187" t="n">
        <v>0</v>
      </c>
      <c r="F49" s="1187" t="n">
        <v>0</v>
      </c>
      <c r="G49" s="1187" t="n">
        <v>25630000</v>
      </c>
      <c r="H49" s="1187" t="n">
        <v>0</v>
      </c>
    </row>
    <row r="50" ht="14.45" customHeight="1" s="1225">
      <c r="A50" s="1436" t="inlineStr">
        <is>
          <t>239219</t>
        </is>
      </c>
      <c r="B50" s="1436" t="inlineStr">
        <is>
          <t>TREMIS HALL CALCAIRE</t>
        </is>
      </c>
      <c r="C50" s="1187" t="n">
        <v>237888982</v>
      </c>
      <c r="D50" s="1187" t="n">
        <v>0</v>
      </c>
      <c r="E50" s="1187" t="n">
        <v>1198250</v>
      </c>
      <c r="F50" s="1187" t="n">
        <v>0</v>
      </c>
      <c r="G50" s="1187" t="n">
        <v>239087232</v>
      </c>
      <c r="H50" s="1187" t="n">
        <v>0</v>
      </c>
    </row>
    <row r="51" ht="14.45" customHeight="1" s="1225">
      <c r="A51" s="1436" t="inlineStr">
        <is>
          <t>239220</t>
        </is>
      </c>
      <c r="B51" s="1436" t="inlineStr">
        <is>
          <t>TUYAUTERIE USINE</t>
        </is>
      </c>
      <c r="C51" s="1187" t="n">
        <v>6300000</v>
      </c>
      <c r="D51" s="1187" t="n">
        <v>0</v>
      </c>
      <c r="E51" s="1187" t="n">
        <v>0</v>
      </c>
      <c r="F51" s="1187" t="n">
        <v>0</v>
      </c>
      <c r="G51" s="1187" t="n">
        <v>6300000</v>
      </c>
      <c r="H51" s="1187" t="n">
        <v>0</v>
      </c>
    </row>
    <row r="52" ht="14.45" customHeight="1" s="1225">
      <c r="A52" s="1436" t="inlineStr">
        <is>
          <t>239221</t>
        </is>
      </c>
      <c r="B52" s="1436" t="inlineStr">
        <is>
          <t>HANGAR PARLYM</t>
        </is>
      </c>
      <c r="C52" s="1187" t="n">
        <v>15649400</v>
      </c>
      <c r="D52" s="1187" t="n">
        <v>0</v>
      </c>
      <c r="E52" s="1187" t="n">
        <v>0</v>
      </c>
      <c r="F52" s="1187" t="n">
        <v>0</v>
      </c>
      <c r="G52" s="1187" t="n">
        <v>15649400</v>
      </c>
      <c r="H52" s="1187" t="n">
        <v>0</v>
      </c>
    </row>
    <row r="53" ht="14.45" customHeight="1" s="1225">
      <c r="A53" s="1436" t="inlineStr">
        <is>
          <t>239300</t>
        </is>
      </c>
      <c r="B53" s="1436" t="inlineStr">
        <is>
          <t>OUVRAGES D'INFRASTRUCTURE EN C</t>
        </is>
      </c>
      <c r="C53" s="1187" t="n">
        <v>5930350</v>
      </c>
      <c r="D53" s="1187" t="n">
        <v>0</v>
      </c>
      <c r="E53" s="1187" t="n">
        <v>0</v>
      </c>
      <c r="F53" s="1187" t="n">
        <v>0</v>
      </c>
      <c r="G53" s="1187" t="n">
        <v>5930350</v>
      </c>
      <c r="H53" s="1187" t="n">
        <v>0</v>
      </c>
    </row>
    <row r="54" ht="14.45" customHeight="1" s="1225">
      <c r="A54" s="1436" t="inlineStr">
        <is>
          <t>239301</t>
        </is>
      </c>
      <c r="B54" s="1436" t="inlineStr">
        <is>
          <t>DOUANE, MISE EN PLACE CIMENTER</t>
        </is>
      </c>
      <c r="C54" s="1187" t="n">
        <v>368229547</v>
      </c>
      <c r="D54" s="1187" t="n">
        <v>0</v>
      </c>
      <c r="E54" s="1187" t="n">
        <v>0</v>
      </c>
      <c r="F54" s="1187" t="n">
        <v>126972685</v>
      </c>
      <c r="G54" s="1187" t="n">
        <v>241256862</v>
      </c>
      <c r="H54" s="1187" t="n">
        <v>0</v>
      </c>
    </row>
    <row r="55" ht="14.45" customHeight="1" s="1225">
      <c r="A55" s="1436" t="inlineStr">
        <is>
          <t>239302</t>
        </is>
      </c>
      <c r="B55" s="1436" t="inlineStr">
        <is>
          <t>TRANSPORT MATERIELS USINE</t>
        </is>
      </c>
      <c r="C55" s="1187" t="n">
        <v>882060366</v>
      </c>
      <c r="D55" s="1187" t="n">
        <v>0</v>
      </c>
      <c r="E55" s="1187" t="n">
        <v>231864246</v>
      </c>
      <c r="F55" s="1187" t="n">
        <v>286073667</v>
      </c>
      <c r="G55" s="1187" t="n">
        <v>827850945</v>
      </c>
      <c r="H55" s="1187" t="n">
        <v>0</v>
      </c>
    </row>
    <row r="56" ht="14.45" customHeight="1" s="1225">
      <c r="A56" s="1436" t="inlineStr">
        <is>
          <t>239303</t>
        </is>
      </c>
      <c r="B56" s="1436" t="inlineStr">
        <is>
          <t>EXPERTISE, EQUIPEMENTS CIMENTE</t>
        </is>
      </c>
      <c r="C56" s="1187" t="n">
        <v>106541923</v>
      </c>
      <c r="D56" s="1187" t="n">
        <v>0</v>
      </c>
      <c r="E56" s="1187" t="n">
        <v>1757750</v>
      </c>
      <c r="F56" s="1187" t="n">
        <v>0</v>
      </c>
      <c r="G56" s="1187" t="n">
        <v>108299673</v>
      </c>
      <c r="H56" s="1187" t="n">
        <v>0</v>
      </c>
    </row>
    <row r="57" ht="14.45" customHeight="1" s="1225">
      <c r="A57" s="1436" t="inlineStr">
        <is>
          <t>239304</t>
        </is>
      </c>
      <c r="B57" s="1436" t="inlineStr">
        <is>
          <t>CHATEAU D'EAU METALLIQUE</t>
        </is>
      </c>
      <c r="C57" s="1187" t="n">
        <v>40000000</v>
      </c>
      <c r="D57" s="1187" t="n">
        <v>0</v>
      </c>
      <c r="E57" s="1187" t="n">
        <v>0</v>
      </c>
      <c r="F57" s="1187" t="n">
        <v>40000000</v>
      </c>
      <c r="G57" s="1187" t="n">
        <v>0</v>
      </c>
      <c r="H57" s="1187" t="n">
        <v>0</v>
      </c>
    </row>
    <row r="58" ht="14.45" customHeight="1" s="1225">
      <c r="A58" s="1436" t="inlineStr">
        <is>
          <t>239305</t>
        </is>
      </c>
      <c r="B58" s="1436" t="inlineStr">
        <is>
          <t>POSTE DE PESEE</t>
        </is>
      </c>
      <c r="C58" s="1187" t="n">
        <v>2974500</v>
      </c>
      <c r="D58" s="1187" t="n">
        <v>0</v>
      </c>
      <c r="E58" s="1187" t="n">
        <v>17312544</v>
      </c>
      <c r="F58" s="1187" t="n">
        <v>20287044</v>
      </c>
      <c r="G58" s="1187" t="n">
        <v>0</v>
      </c>
      <c r="H58" s="1187" t="n">
        <v>0</v>
      </c>
    </row>
    <row r="59" ht="14.45" customHeight="1" s="1225">
      <c r="A59" s="1436" t="inlineStr">
        <is>
          <t>239306</t>
        </is>
      </c>
      <c r="B59" s="1436" t="inlineStr">
        <is>
          <t>POSTE DE PESEE A2B</t>
        </is>
      </c>
      <c r="C59" s="1187" t="n">
        <v>9750000</v>
      </c>
      <c r="D59" s="1187" t="n">
        <v>0</v>
      </c>
      <c r="E59" s="1187" t="n">
        <v>1500000</v>
      </c>
      <c r="F59" s="1187" t="n">
        <v>0</v>
      </c>
      <c r="G59" s="1187" t="n">
        <v>11250000</v>
      </c>
      <c r="H59" s="1187" t="n">
        <v>0</v>
      </c>
    </row>
    <row r="60" ht="14.45" customHeight="1" s="1225">
      <c r="A60" s="1436" t="inlineStr">
        <is>
          <t>239307</t>
        </is>
      </c>
      <c r="B60" s="1436" t="inlineStr">
        <is>
          <t>GUERITE</t>
        </is>
      </c>
      <c r="C60" s="1187" t="n">
        <v>888050</v>
      </c>
      <c r="D60" s="1187" t="n">
        <v>0</v>
      </c>
      <c r="E60" s="1187" t="n">
        <v>1676530</v>
      </c>
      <c r="F60" s="1187" t="n">
        <v>0</v>
      </c>
      <c r="G60" s="1187" t="n">
        <v>2564580</v>
      </c>
      <c r="H60" s="1187" t="n">
        <v>0</v>
      </c>
    </row>
    <row r="61" ht="14.45" customHeight="1" s="1225">
      <c r="A61" s="1436" t="inlineStr">
        <is>
          <t>239308</t>
        </is>
      </c>
      <c r="B61" s="1436" t="inlineStr">
        <is>
          <t>RESEAU INCENDIE</t>
        </is>
      </c>
      <c r="C61" s="1187" t="n">
        <v>4100000</v>
      </c>
      <c r="D61" s="1187" t="n">
        <v>0</v>
      </c>
      <c r="E61" s="1187" t="n">
        <v>0</v>
      </c>
      <c r="F61" s="1187" t="n">
        <v>0</v>
      </c>
      <c r="G61" s="1187" t="n">
        <v>4100000</v>
      </c>
      <c r="H61" s="1187" t="n">
        <v>0</v>
      </c>
    </row>
    <row r="62" ht="14.45" customHeight="1" s="1225">
      <c r="A62" s="1436" t="inlineStr">
        <is>
          <t>239309</t>
        </is>
      </c>
      <c r="B62" s="1436" t="inlineStr">
        <is>
          <t>GUERITE B</t>
        </is>
      </c>
      <c r="C62" s="1187" t="n">
        <v>260000</v>
      </c>
      <c r="D62" s="1187" t="n">
        <v>0</v>
      </c>
      <c r="E62" s="1187" t="n">
        <v>0</v>
      </c>
      <c r="F62" s="1187" t="n">
        <v>0</v>
      </c>
      <c r="G62" s="1187" t="n">
        <v>260000</v>
      </c>
      <c r="H62" s="1187" t="n">
        <v>0</v>
      </c>
    </row>
    <row r="63" ht="14.45" customHeight="1" s="1225">
      <c r="A63" s="1436" t="inlineStr">
        <is>
          <t>239310</t>
        </is>
      </c>
      <c r="B63" s="1436" t="inlineStr">
        <is>
          <t>AUTRES IMMOBILISATION EN COURS</t>
        </is>
      </c>
      <c r="C63" s="1187" t="n">
        <v>872947901</v>
      </c>
      <c r="D63" s="1187" t="n">
        <v>0</v>
      </c>
      <c r="E63" s="1187" t="n">
        <v>792356135</v>
      </c>
      <c r="F63" s="1187" t="n">
        <v>258580862</v>
      </c>
      <c r="G63" s="1187" t="n">
        <v>1406723174</v>
      </c>
      <c r="H63" s="1187" t="n">
        <v>0</v>
      </c>
    </row>
    <row r="64" ht="14.45" customHeight="1" s="1225">
      <c r="A64" s="1436" t="inlineStr">
        <is>
          <t>239311</t>
        </is>
      </c>
      <c r="B64" s="1436" t="inlineStr">
        <is>
          <t>HALL DE STOCKAGE/RIGA</t>
        </is>
      </c>
      <c r="C64" s="1187" t="n">
        <v>0</v>
      </c>
      <c r="D64" s="1187" t="n">
        <v>0</v>
      </c>
      <c r="E64" s="1187" t="n">
        <v>1699257320</v>
      </c>
      <c r="F64" s="1187" t="n">
        <v>1410891825</v>
      </c>
      <c r="G64" s="1187" t="n">
        <v>288365495</v>
      </c>
      <c r="H64" s="1187" t="n">
        <v>0</v>
      </c>
    </row>
    <row r="65" ht="14.45" customHeight="1" s="1225">
      <c r="A65" s="1436" t="inlineStr">
        <is>
          <t>239400</t>
        </is>
      </c>
      <c r="B65" s="1436" t="inlineStr">
        <is>
          <t>AMÉNAGEMENTS ET AGENCEMENTS ET</t>
        </is>
      </c>
      <c r="C65" s="1187" t="n">
        <v>3737034</v>
      </c>
      <c r="D65" s="1187" t="n">
        <v>0</v>
      </c>
      <c r="E65" s="1187" t="n">
        <v>38403760</v>
      </c>
      <c r="F65" s="1187" t="n">
        <v>0</v>
      </c>
      <c r="G65" s="1187" t="n">
        <v>42140794</v>
      </c>
      <c r="H65" s="1187" t="n">
        <v>0</v>
      </c>
    </row>
    <row r="66" ht="14.45" customHeight="1" s="1225">
      <c r="A66" s="1436" t="inlineStr">
        <is>
          <t>239800</t>
        </is>
      </c>
      <c r="B66" s="1436" t="inlineStr">
        <is>
          <t>AUTRES INSTALLATIONS ET AGENCE</t>
        </is>
      </c>
      <c r="C66" s="1187" t="n">
        <v>0</v>
      </c>
      <c r="D66" s="1187" t="n">
        <v>0</v>
      </c>
      <c r="E66" s="1187" t="n">
        <v>5576977</v>
      </c>
      <c r="F66" s="1187" t="n">
        <v>0</v>
      </c>
      <c r="G66" s="1187" t="n">
        <v>5576977</v>
      </c>
      <c r="H66" s="1187" t="n">
        <v>0</v>
      </c>
    </row>
    <row r="67" ht="14.45" customHeight="1" s="1225">
      <c r="A67" s="1436" t="inlineStr">
        <is>
          <t>241000</t>
        </is>
      </c>
      <c r="B67" s="1436" t="inlineStr">
        <is>
          <t>MATÉRIEL ET OUTILLAGE INDUSTRI</t>
        </is>
      </c>
      <c r="C67" s="1187" t="n">
        <v>0</v>
      </c>
      <c r="D67" s="1187" t="n">
        <v>0</v>
      </c>
      <c r="E67" s="1187" t="n">
        <v>114369524</v>
      </c>
      <c r="F67" s="1187" t="n">
        <v>0</v>
      </c>
      <c r="G67" s="1187" t="n">
        <v>114369524</v>
      </c>
      <c r="H67" s="1187" t="n">
        <v>0</v>
      </c>
    </row>
    <row r="68" ht="14.45" customHeight="1" s="1225">
      <c r="A68" s="1436" t="inlineStr">
        <is>
          <t>241101</t>
        </is>
      </c>
      <c r="B68" s="1436" t="inlineStr">
        <is>
          <t>TRANSPALETTE</t>
        </is>
      </c>
      <c r="C68" s="1187" t="n">
        <v>514321</v>
      </c>
      <c r="D68" s="1187" t="n">
        <v>0</v>
      </c>
      <c r="E68" s="1187" t="n">
        <v>0</v>
      </c>
      <c r="F68" s="1187" t="n">
        <v>0</v>
      </c>
      <c r="G68" s="1187" t="n">
        <v>514321</v>
      </c>
      <c r="H68" s="1187" t="n">
        <v>0</v>
      </c>
    </row>
    <row r="69" ht="14.45" customHeight="1" s="1225">
      <c r="A69" s="1436" t="inlineStr">
        <is>
          <t>241102</t>
        </is>
      </c>
      <c r="B69" s="1436" t="inlineStr">
        <is>
          <t>CONVOYEUR MOBILE</t>
        </is>
      </c>
      <c r="C69" s="1187" t="n">
        <v>30141000</v>
      </c>
      <c r="D69" s="1187" t="n">
        <v>0</v>
      </c>
      <c r="E69" s="1187" t="n">
        <v>0</v>
      </c>
      <c r="F69" s="1187" t="n">
        <v>0</v>
      </c>
      <c r="G69" s="1187" t="n">
        <v>30141000</v>
      </c>
      <c r="H69" s="1187" t="n">
        <v>0</v>
      </c>
    </row>
    <row r="70" ht="14.45" customHeight="1" s="1225">
      <c r="A70" s="1436" t="inlineStr">
        <is>
          <t>241103</t>
        </is>
      </c>
      <c r="B70" s="1436" t="inlineStr">
        <is>
          <t>BACHES 35/35</t>
        </is>
      </c>
      <c r="C70" s="1187" t="n">
        <v>18121580</v>
      </c>
      <c r="D70" s="1187" t="n">
        <v>0</v>
      </c>
      <c r="E70" s="1187" t="n">
        <v>22855000</v>
      </c>
      <c r="F70" s="1187" t="n">
        <v>0</v>
      </c>
      <c r="G70" s="1187" t="n">
        <v>40976580</v>
      </c>
      <c r="H70" s="1187" t="n">
        <v>0</v>
      </c>
    </row>
    <row r="71" ht="14.45" customHeight="1" s="1225">
      <c r="A71" s="1436" t="inlineStr">
        <is>
          <t>241201</t>
        </is>
      </c>
      <c r="B71" s="1436" t="inlineStr">
        <is>
          <t>EQUIPEMENTS DE PRTECTION-EPC</t>
        </is>
      </c>
      <c r="C71" s="1187" t="n">
        <v>0</v>
      </c>
      <c r="D71" s="1187" t="n">
        <v>0</v>
      </c>
      <c r="E71" s="1187" t="n">
        <v>2390000</v>
      </c>
      <c r="F71" s="1187" t="n">
        <v>0</v>
      </c>
      <c r="G71" s="1187" t="n">
        <v>2390000</v>
      </c>
      <c r="H71" s="1187" t="n">
        <v>0</v>
      </c>
    </row>
    <row r="72" ht="14.45" customHeight="1" s="1225">
      <c r="A72" s="1436" t="inlineStr">
        <is>
          <t>241302</t>
        </is>
      </c>
      <c r="B72" s="1436" t="inlineStr">
        <is>
          <t>EQUIPEMENTS DE LABORATOIRE</t>
        </is>
      </c>
      <c r="C72" s="1187" t="n">
        <v>0</v>
      </c>
      <c r="D72" s="1187" t="n">
        <v>0</v>
      </c>
      <c r="E72" s="1187" t="n">
        <v>125144033</v>
      </c>
      <c r="F72" s="1187" t="n">
        <v>0</v>
      </c>
      <c r="G72" s="1187" t="n">
        <v>125144033</v>
      </c>
      <c r="H72" s="1187" t="n">
        <v>0</v>
      </c>
    </row>
    <row r="73" ht="14.45" customHeight="1" s="1225">
      <c r="A73" s="1436" t="inlineStr">
        <is>
          <t>244100</t>
        </is>
      </c>
      <c r="B73" s="1436" t="inlineStr">
        <is>
          <t>MATÉRIEL DE BUREAU</t>
        </is>
      </c>
      <c r="C73" s="1187" t="n">
        <v>200000</v>
      </c>
      <c r="D73" s="1187" t="n">
        <v>0</v>
      </c>
      <c r="E73" s="1187" t="n">
        <v>7310602</v>
      </c>
      <c r="F73" s="1187" t="n">
        <v>0</v>
      </c>
      <c r="G73" s="1187" t="n">
        <v>7510602</v>
      </c>
      <c r="H73" s="1187" t="n">
        <v>0</v>
      </c>
    </row>
    <row r="74" ht="14.45" customHeight="1" s="1225">
      <c r="A74" s="1436" t="inlineStr">
        <is>
          <t>244101</t>
        </is>
      </c>
      <c r="B74" s="1436" t="inlineStr">
        <is>
          <t>CHARIOT +CONVOYEURS MAT  IA0.0</t>
        </is>
      </c>
      <c r="C74" s="1187" t="n">
        <v>0</v>
      </c>
      <c r="D74" s="1187" t="n">
        <v>0</v>
      </c>
      <c r="E74" s="1187" t="n">
        <v>20510890</v>
      </c>
      <c r="F74" s="1187" t="n">
        <v>8304416</v>
      </c>
      <c r="G74" s="1187" t="n">
        <v>12206474</v>
      </c>
      <c r="H74" s="1187" t="n">
        <v>0</v>
      </c>
    </row>
    <row r="75" ht="14.45" customHeight="1" s="1225">
      <c r="A75" s="1436" t="inlineStr">
        <is>
          <t>244200</t>
        </is>
      </c>
      <c r="B75" s="1436" t="inlineStr">
        <is>
          <t>MATÉRIEL INFORMATIQUE</t>
        </is>
      </c>
      <c r="C75" s="1187" t="n">
        <v>9670287.000000002</v>
      </c>
      <c r="D75" s="1187" t="n">
        <v>0</v>
      </c>
      <c r="E75" s="1187" t="n">
        <v>61856457</v>
      </c>
      <c r="F75" s="1187" t="n">
        <v>0</v>
      </c>
      <c r="G75" s="1187" t="n">
        <v>71526744</v>
      </c>
      <c r="H75" s="1187" t="n">
        <v>0</v>
      </c>
    </row>
    <row r="76" ht="14.45" customHeight="1" s="1225">
      <c r="A76" s="1436" t="inlineStr">
        <is>
          <t>244400</t>
        </is>
      </c>
      <c r="B76" s="1436" t="inlineStr">
        <is>
          <t>MOBILIER DE BUREAU</t>
        </is>
      </c>
      <c r="C76" s="1187" t="n">
        <v>4198000</v>
      </c>
      <c r="D76" s="1187" t="n">
        <v>0</v>
      </c>
      <c r="E76" s="1187" t="n">
        <v>19355500</v>
      </c>
      <c r="F76" s="1187" t="n">
        <v>0</v>
      </c>
      <c r="G76" s="1187" t="n">
        <v>23553500</v>
      </c>
      <c r="H76" s="1187" t="n">
        <v>0</v>
      </c>
    </row>
    <row r="77" ht="14.45" customHeight="1" s="1225">
      <c r="A77" s="1436" t="inlineStr">
        <is>
          <t>245000</t>
        </is>
      </c>
      <c r="B77" s="1436" t="inlineStr">
        <is>
          <t>MATÉRIEL DE TRANSPORT</t>
        </is>
      </c>
      <c r="C77" s="1187" t="n">
        <v>0</v>
      </c>
      <c r="D77" s="1187" t="n">
        <v>0</v>
      </c>
      <c r="E77" s="1187" t="n">
        <v>68723691</v>
      </c>
      <c r="F77" s="1187" t="n">
        <v>0</v>
      </c>
      <c r="G77" s="1187" t="n">
        <v>68723691</v>
      </c>
      <c r="H77" s="1187" t="n">
        <v>0</v>
      </c>
    </row>
    <row r="78" ht="14.45" customHeight="1" s="1225">
      <c r="A78" s="1436" t="inlineStr">
        <is>
          <t>245100</t>
        </is>
      </c>
      <c r="B78" s="1436" t="inlineStr">
        <is>
          <t>MATÉRIEL AUTOMOBILE</t>
        </is>
      </c>
      <c r="C78" s="1187" t="n">
        <v>4833800</v>
      </c>
      <c r="D78" s="1187" t="n">
        <v>0</v>
      </c>
      <c r="E78" s="1187" t="n">
        <v>5467613045</v>
      </c>
      <c r="F78" s="1187" t="n">
        <v>0</v>
      </c>
      <c r="G78" s="1187" t="n">
        <v>5472446845</v>
      </c>
      <c r="H78" s="1187" t="n">
        <v>0</v>
      </c>
    </row>
    <row r="79" ht="14.45" customHeight="1" s="1225">
      <c r="A79" s="1436" t="inlineStr">
        <is>
          <t>252000</t>
        </is>
      </c>
      <c r="B79" s="1436" t="inlineStr">
        <is>
          <t>AVANCES ET ACOMPTES VERSÉS SUR</t>
        </is>
      </c>
      <c r="C79" s="1187" t="n">
        <v>324618032</v>
      </c>
      <c r="D79" s="1187" t="n">
        <v>0</v>
      </c>
      <c r="E79" s="1187" t="n">
        <v>0</v>
      </c>
      <c r="F79" s="1187" t="n">
        <v>0</v>
      </c>
      <c r="G79" s="1187" t="n">
        <v>324618032</v>
      </c>
      <c r="H79" s="1187" t="n">
        <v>0</v>
      </c>
    </row>
    <row r="80" ht="14.45" customHeight="1" s="1225">
      <c r="A80" s="1436" t="inlineStr">
        <is>
          <t>272000</t>
        </is>
      </c>
      <c r="B80" s="1436" t="inlineStr">
        <is>
          <t>PRÊTS AU PERSONNEL</t>
        </is>
      </c>
      <c r="C80" s="1187" t="n">
        <v>0</v>
      </c>
      <c r="D80" s="1187" t="n">
        <v>0</v>
      </c>
      <c r="E80" s="1187" t="n">
        <v>1850000</v>
      </c>
      <c r="F80" s="1187" t="n">
        <v>1850000</v>
      </c>
      <c r="G80" s="1187" t="n">
        <v>0</v>
      </c>
      <c r="H80" s="1187" t="n">
        <v>0</v>
      </c>
    </row>
    <row r="81" ht="14.45" customHeight="1" s="1225">
      <c r="A81" s="1436" t="inlineStr">
        <is>
          <t>275100</t>
        </is>
      </c>
      <c r="B81" s="1436" t="inlineStr">
        <is>
          <t>Dépôts pour loyers d’avance</t>
        </is>
      </c>
      <c r="C81" s="1187" t="n">
        <v>700000</v>
      </c>
      <c r="D81" s="1187" t="n">
        <v>0</v>
      </c>
      <c r="E81" s="1187" t="n">
        <v>750000</v>
      </c>
      <c r="F81" s="1187" t="n">
        <v>0</v>
      </c>
      <c r="G81" s="1187" t="n">
        <v>1450000</v>
      </c>
      <c r="H81" s="1187" t="n">
        <v>0</v>
      </c>
    </row>
    <row r="82" ht="14.45" customHeight="1" s="1225">
      <c r="A82" s="1436" t="inlineStr">
        <is>
          <t>275800</t>
        </is>
      </c>
      <c r="B82" s="1436" t="inlineStr">
        <is>
          <t>Autres dépôts et cautionnement</t>
        </is>
      </c>
      <c r="C82" s="1187" t="n">
        <v>130900771</v>
      </c>
      <c r="D82" s="1187" t="n">
        <v>0</v>
      </c>
      <c r="E82" s="1187" t="n">
        <v>424723738</v>
      </c>
      <c r="F82" s="1187" t="n">
        <v>361159834</v>
      </c>
      <c r="G82" s="1187" t="n">
        <v>194464675</v>
      </c>
      <c r="H82" s="1187" t="n">
        <v>0</v>
      </c>
    </row>
    <row r="83" ht="14.45" customHeight="1" s="1225">
      <c r="A83" s="1436" t="inlineStr">
        <is>
          <t>278400</t>
        </is>
      </c>
      <c r="B83" s="1436" t="inlineStr">
        <is>
          <t>Banques dépôts à terme</t>
        </is>
      </c>
      <c r="C83" s="1187" t="n">
        <v>1000000000</v>
      </c>
      <c r="D83" s="1187" t="n">
        <v>0</v>
      </c>
      <c r="E83" s="1187" t="n">
        <v>500000000</v>
      </c>
      <c r="F83" s="1187" t="n">
        <v>0</v>
      </c>
      <c r="G83" s="1187" t="n">
        <v>1500000000</v>
      </c>
      <c r="H83" s="1187" t="n">
        <v>0</v>
      </c>
    </row>
    <row r="84" ht="14.45" customHeight="1" s="1225">
      <c r="A84" s="1436" t="inlineStr">
        <is>
          <t>281300</t>
        </is>
      </c>
      <c r="B84" s="1436" t="inlineStr">
        <is>
          <t>Amortissements des logiciels e</t>
        </is>
      </c>
      <c r="C84" s="1187" t="n">
        <v>0</v>
      </c>
      <c r="D84" s="1187" t="n">
        <v>0</v>
      </c>
      <c r="E84" s="1187" t="n">
        <v>0</v>
      </c>
      <c r="F84" s="1187" t="n">
        <v>16230977</v>
      </c>
      <c r="G84" s="1187" t="n">
        <v>0</v>
      </c>
      <c r="H84" s="1187" t="n">
        <v>16230977</v>
      </c>
    </row>
    <row r="85" ht="14.45" customHeight="1" s="1225">
      <c r="A85" s="1436" t="inlineStr">
        <is>
          <t>283100</t>
        </is>
      </c>
      <c r="B85" s="1436" t="inlineStr">
        <is>
          <t>Amortissements des bâtiments i</t>
        </is>
      </c>
      <c r="C85" s="1187" t="n">
        <v>0</v>
      </c>
      <c r="D85" s="1187" t="n">
        <v>0</v>
      </c>
      <c r="E85" s="1187" t="n">
        <v>0</v>
      </c>
      <c r="F85" s="1187" t="n">
        <v>138730642.5</v>
      </c>
      <c r="G85" s="1187" t="n">
        <v>0</v>
      </c>
      <c r="H85" s="1187" t="n">
        <v>138730642.5</v>
      </c>
    </row>
    <row r="86" ht="14.45" customHeight="1" s="1225">
      <c r="A86" s="1436" t="inlineStr">
        <is>
          <t>283400</t>
        </is>
      </c>
      <c r="B86" s="1436" t="inlineStr">
        <is>
          <t>Amortissements des aménagement</t>
        </is>
      </c>
      <c r="C86" s="1187" t="n">
        <v>0</v>
      </c>
      <c r="D86" s="1187" t="n">
        <v>3599350</v>
      </c>
      <c r="E86" s="1187" t="n">
        <v>0</v>
      </c>
      <c r="F86" s="1187" t="n">
        <v>409014220.48</v>
      </c>
      <c r="G86" s="1187" t="n">
        <v>0</v>
      </c>
      <c r="H86" s="1187" t="n">
        <v>412613570.48</v>
      </c>
    </row>
    <row r="87" ht="14.45" customHeight="1" s="1225">
      <c r="A87" s="1436" t="inlineStr">
        <is>
          <t>284100</t>
        </is>
      </c>
      <c r="B87" s="1436" t="inlineStr">
        <is>
          <t>Amortissements du matériel et</t>
        </is>
      </c>
      <c r="C87" s="1187" t="n">
        <v>0</v>
      </c>
      <c r="D87" s="1187" t="n">
        <v>0</v>
      </c>
      <c r="E87" s="1187" t="n">
        <v>0</v>
      </c>
      <c r="F87" s="1187" t="n">
        <v>15044968</v>
      </c>
      <c r="G87" s="1187" t="n">
        <v>0</v>
      </c>
      <c r="H87" s="1187" t="n">
        <v>15044968</v>
      </c>
    </row>
    <row r="88" ht="14.45" customHeight="1" s="1225">
      <c r="A88" s="1436" t="inlineStr">
        <is>
          <t>284400</t>
        </is>
      </c>
      <c r="B88" s="1436" t="inlineStr">
        <is>
          <t>Amortissements du MAT et MOB</t>
        </is>
      </c>
      <c r="C88" s="1187" t="n">
        <v>0</v>
      </c>
      <c r="D88" s="1187" t="n">
        <v>3109747</v>
      </c>
      <c r="E88" s="1187" t="n">
        <v>0</v>
      </c>
      <c r="F88" s="1187" t="n">
        <v>14883157</v>
      </c>
      <c r="G88" s="1187" t="n">
        <v>0</v>
      </c>
      <c r="H88" s="1187" t="n">
        <v>17992904</v>
      </c>
    </row>
    <row r="89" ht="14.45" customHeight="1" s="1225">
      <c r="A89" s="1436" t="inlineStr">
        <is>
          <t>284500</t>
        </is>
      </c>
      <c r="B89" s="1436" t="inlineStr">
        <is>
          <t>Amortissements du matériel de</t>
        </is>
      </c>
      <c r="C89" s="1187" t="n">
        <v>0</v>
      </c>
      <c r="D89" s="1187" t="n">
        <v>1498477</v>
      </c>
      <c r="E89" s="1187" t="n">
        <v>0</v>
      </c>
      <c r="F89" s="1187" t="n">
        <v>579857243</v>
      </c>
      <c r="G89" s="1187" t="n">
        <v>0</v>
      </c>
      <c r="H89" s="1187" t="n">
        <v>581355720</v>
      </c>
    </row>
    <row r="90" ht="14.45" customHeight="1" s="1225">
      <c r="A90" s="1436" t="inlineStr">
        <is>
          <t>321001</t>
        </is>
      </c>
      <c r="B90" s="1436" t="inlineStr">
        <is>
          <t>CLINKER</t>
        </is>
      </c>
      <c r="C90" s="1187" t="n">
        <v>0</v>
      </c>
      <c r="D90" s="1187" t="n">
        <v>0</v>
      </c>
      <c r="E90" s="1187" t="n">
        <v>2535060857</v>
      </c>
      <c r="F90" s="1187" t="n">
        <v>0</v>
      </c>
      <c r="G90" s="1187" t="n">
        <v>2535060857</v>
      </c>
      <c r="H90" s="1187" t="n">
        <v>0</v>
      </c>
    </row>
    <row r="91" ht="14.45" customHeight="1" s="1225">
      <c r="A91" s="1436" t="inlineStr">
        <is>
          <t>321002</t>
        </is>
      </c>
      <c r="B91" s="1436" t="inlineStr">
        <is>
          <t>GYPSE</t>
        </is>
      </c>
      <c r="C91" s="1187" t="n">
        <v>0</v>
      </c>
      <c r="D91" s="1187" t="n">
        <v>0</v>
      </c>
      <c r="E91" s="1187" t="n">
        <v>812728654</v>
      </c>
      <c r="F91" s="1187" t="n">
        <v>0</v>
      </c>
      <c r="G91" s="1187" t="n">
        <v>812728654</v>
      </c>
      <c r="H91" s="1187" t="n">
        <v>0</v>
      </c>
    </row>
    <row r="92" ht="14.45" customHeight="1" s="1225">
      <c r="A92" s="1436" t="inlineStr">
        <is>
          <t>321003</t>
        </is>
      </c>
      <c r="B92" s="1436" t="inlineStr">
        <is>
          <t>CALCAIRE</t>
        </is>
      </c>
      <c r="C92" s="1187" t="n">
        <v>22651650</v>
      </c>
      <c r="D92" s="1187" t="n">
        <v>0</v>
      </c>
      <c r="E92" s="1187" t="n">
        <v>37596168</v>
      </c>
      <c r="F92" s="1187" t="n">
        <v>22651650</v>
      </c>
      <c r="G92" s="1187" t="n">
        <v>37596168</v>
      </c>
      <c r="H92" s="1187" t="n">
        <v>0</v>
      </c>
    </row>
    <row r="93" ht="14.45" customHeight="1" s="1225">
      <c r="A93" s="1436" t="inlineStr">
        <is>
          <t>321004</t>
        </is>
      </c>
      <c r="B93" s="1436" t="inlineStr">
        <is>
          <t>SACS VIDES</t>
        </is>
      </c>
      <c r="C93" s="1187" t="n">
        <v>0</v>
      </c>
      <c r="D93" s="1187" t="n">
        <v>0</v>
      </c>
      <c r="E93" s="1187" t="n">
        <v>166973440</v>
      </c>
      <c r="F93" s="1187" t="n">
        <v>0</v>
      </c>
      <c r="G93" s="1187" t="n">
        <v>166973440</v>
      </c>
      <c r="H93" s="1187" t="n">
        <v>0</v>
      </c>
    </row>
    <row r="94" ht="14.45" customHeight="1" s="1225">
      <c r="A94" s="1436" t="inlineStr">
        <is>
          <t>321005</t>
        </is>
      </c>
      <c r="B94" s="1436" t="inlineStr">
        <is>
          <t>DDO/GASOIL</t>
        </is>
      </c>
      <c r="C94" s="1187" t="n">
        <v>0</v>
      </c>
      <c r="D94" s="1187" t="n">
        <v>0</v>
      </c>
      <c r="E94" s="1187" t="n">
        <v>15822000</v>
      </c>
      <c r="F94" s="1187" t="n">
        <v>0</v>
      </c>
      <c r="G94" s="1187" t="n">
        <v>15822000</v>
      </c>
      <c r="H94" s="1187" t="n">
        <v>0</v>
      </c>
    </row>
    <row r="95" ht="14.45" customHeight="1" s="1225">
      <c r="A95" s="1436" t="inlineStr">
        <is>
          <t>335100</t>
        </is>
      </c>
      <c r="B95" s="1436" t="inlineStr">
        <is>
          <t>Emballages perdus</t>
        </is>
      </c>
      <c r="C95" s="1187" t="n">
        <v>175899812</v>
      </c>
      <c r="D95" s="1187" t="n">
        <v>0</v>
      </c>
      <c r="E95" s="1187" t="n">
        <v>0</v>
      </c>
      <c r="F95" s="1187" t="n">
        <v>175899812</v>
      </c>
      <c r="G95" s="1187" t="n">
        <v>0</v>
      </c>
      <c r="H95" s="1187" t="n">
        <v>0</v>
      </c>
    </row>
    <row r="96" ht="14.45" customHeight="1" s="1225">
      <c r="A96" s="1436" t="inlineStr">
        <is>
          <t>338100</t>
        </is>
      </c>
      <c r="B96" s="1436" t="inlineStr">
        <is>
          <t>STOCKS DE PIECES DE RECHANGE</t>
        </is>
      </c>
      <c r="C96" s="1187" t="n">
        <v>0</v>
      </c>
      <c r="D96" s="1187" t="n">
        <v>0</v>
      </c>
      <c r="E96" s="1187" t="n">
        <v>194278580</v>
      </c>
      <c r="F96" s="1187" t="n">
        <v>0</v>
      </c>
      <c r="G96" s="1187" t="n">
        <v>194278580</v>
      </c>
      <c r="H96" s="1187" t="n">
        <v>0</v>
      </c>
    </row>
    <row r="97" ht="14.45" customHeight="1" s="1225">
      <c r="A97" s="1436" t="inlineStr">
        <is>
          <t>361000</t>
        </is>
      </c>
      <c r="B97" s="1436" t="inlineStr">
        <is>
          <t>PRODUITS FINIS CPJ SILO 1</t>
        </is>
      </c>
      <c r="C97" s="1187" t="n">
        <v>0</v>
      </c>
      <c r="D97" s="1187" t="n">
        <v>0</v>
      </c>
      <c r="E97" s="1187" t="n">
        <v>45140418</v>
      </c>
      <c r="F97" s="1187" t="n">
        <v>0</v>
      </c>
      <c r="G97" s="1187" t="n">
        <v>45140418</v>
      </c>
      <c r="H97" s="1187" t="n">
        <v>0</v>
      </c>
    </row>
    <row r="98" ht="14.45" customHeight="1" s="1225">
      <c r="A98" s="1436" t="inlineStr">
        <is>
          <t>362000</t>
        </is>
      </c>
      <c r="B98" s="1436" t="inlineStr">
        <is>
          <t>PRODUITS FINIS CPA SILO 2</t>
        </is>
      </c>
      <c r="C98" s="1187" t="n">
        <v>0</v>
      </c>
      <c r="D98" s="1187" t="n">
        <v>0</v>
      </c>
      <c r="E98" s="1187" t="n">
        <v>70351382</v>
      </c>
      <c r="F98" s="1187" t="n">
        <v>0</v>
      </c>
      <c r="G98" s="1187" t="n">
        <v>70351382</v>
      </c>
      <c r="H98" s="1187" t="n">
        <v>0</v>
      </c>
    </row>
    <row r="99" ht="14.45" customHeight="1" s="1225">
      <c r="A99" s="1436" t="inlineStr">
        <is>
          <t>382001</t>
        </is>
      </c>
      <c r="B99" s="1436" t="inlineStr">
        <is>
          <t>CLINKER EN COURS</t>
        </is>
      </c>
      <c r="C99" s="1187" t="n">
        <v>2507850429</v>
      </c>
      <c r="D99" s="1187" t="n">
        <v>0</v>
      </c>
      <c r="E99" s="1187" t="n">
        <v>1636467942</v>
      </c>
      <c r="F99" s="1187" t="n">
        <v>2507850429</v>
      </c>
      <c r="G99" s="1187" t="n">
        <v>1636467942</v>
      </c>
      <c r="H99" s="1187" t="n">
        <v>0</v>
      </c>
    </row>
    <row r="100" ht="14.45" customHeight="1" s="1225">
      <c r="A100" s="1436" t="inlineStr">
        <is>
          <t>382002</t>
        </is>
      </c>
      <c r="B100" s="1436" t="inlineStr">
        <is>
          <t>GYPSE en cours</t>
        </is>
      </c>
      <c r="C100" s="1187" t="n">
        <v>1636110170</v>
      </c>
      <c r="D100" s="1187" t="n">
        <v>0</v>
      </c>
      <c r="E100" s="1187" t="n">
        <v>0</v>
      </c>
      <c r="F100" s="1187" t="n">
        <v>1636110170</v>
      </c>
      <c r="G100" s="1187" t="n">
        <v>0</v>
      </c>
      <c r="H100" s="1187" t="n">
        <v>0</v>
      </c>
    </row>
    <row r="101" ht="14.45" customHeight="1" s="1225">
      <c r="A101" s="1436" t="inlineStr">
        <is>
          <t>401100</t>
        </is>
      </c>
      <c r="B101" s="1436" t="inlineStr">
        <is>
          <t>Fournisseurs LOCAUX</t>
        </is>
      </c>
      <c r="C101" s="1187" t="n">
        <v>0</v>
      </c>
      <c r="D101" s="1187" t="n">
        <v>828656284</v>
      </c>
      <c r="E101" s="1187" t="n">
        <v>10622084543</v>
      </c>
      <c r="F101" s="1187" t="n">
        <v>12069074549</v>
      </c>
      <c r="G101" s="1187" t="n">
        <v>0</v>
      </c>
      <c r="H101" s="1187" t="n">
        <v>2275646290</v>
      </c>
    </row>
    <row r="102" ht="14.45" customHeight="1" s="1225">
      <c r="A102" s="1436" t="inlineStr">
        <is>
          <t>401200</t>
        </is>
      </c>
      <c r="B102" s="1436" t="inlineStr">
        <is>
          <t>Fournisseurs ETRANGERS</t>
        </is>
      </c>
      <c r="C102" s="1187" t="n">
        <v>0</v>
      </c>
      <c r="D102" s="1187" t="n">
        <v>16698073</v>
      </c>
      <c r="E102" s="1187" t="n">
        <v>12831850463</v>
      </c>
      <c r="F102" s="1187" t="n">
        <v>15185592422</v>
      </c>
      <c r="G102" s="1187" t="n">
        <v>0</v>
      </c>
      <c r="H102" s="1187" t="n">
        <v>2370440032</v>
      </c>
    </row>
    <row r="103" ht="14.45" customHeight="1" s="1225">
      <c r="A103" s="1436" t="inlineStr">
        <is>
          <t>401700</t>
        </is>
      </c>
      <c r="B103" s="1436" t="inlineStr">
        <is>
          <t>Fournisseur, retenues de garan</t>
        </is>
      </c>
      <c r="C103" s="1187" t="n">
        <v>0</v>
      </c>
      <c r="D103" s="1187" t="n">
        <v>100000</v>
      </c>
      <c r="E103" s="1187" t="n">
        <v>100000</v>
      </c>
      <c r="F103" s="1187" t="n">
        <v>2206499</v>
      </c>
      <c r="G103" s="1187" t="n">
        <v>0</v>
      </c>
      <c r="H103" s="1187" t="n">
        <v>2206499</v>
      </c>
    </row>
    <row r="104" ht="14.45" customHeight="1" s="1225">
      <c r="A104" s="1436" t="inlineStr">
        <is>
          <t>408000</t>
        </is>
      </c>
      <c r="B104" s="1436" t="inlineStr">
        <is>
          <t>FOURNISSEURS, FACTURES NON PAR</t>
        </is>
      </c>
      <c r="C104" s="1187" t="n">
        <v>0</v>
      </c>
      <c r="D104" s="1187" t="n">
        <v>0</v>
      </c>
      <c r="E104" s="1187" t="n">
        <v>0</v>
      </c>
      <c r="F104" s="1187" t="n">
        <v>118612480</v>
      </c>
      <c r="G104" s="1187" t="n">
        <v>0</v>
      </c>
      <c r="H104" s="1187" t="n">
        <v>118612480</v>
      </c>
    </row>
    <row r="105" ht="14.45" customHeight="1" s="1225">
      <c r="A105" s="1436" t="inlineStr">
        <is>
          <t>408100</t>
        </is>
      </c>
      <c r="B105" s="1436" t="inlineStr">
        <is>
          <t>Fournisseurs fact non parvenue</t>
        </is>
      </c>
      <c r="C105" s="1187" t="n">
        <v>0</v>
      </c>
      <c r="D105" s="1187" t="n">
        <v>7298693</v>
      </c>
      <c r="E105" s="1187" t="n">
        <v>0</v>
      </c>
      <c r="F105" s="1187" t="n">
        <v>0</v>
      </c>
      <c r="G105" s="1187" t="n">
        <v>0</v>
      </c>
      <c r="H105" s="1187" t="n">
        <v>7298693</v>
      </c>
    </row>
    <row r="106" ht="14.45" customHeight="1" s="1225">
      <c r="A106" s="1436" t="inlineStr">
        <is>
          <t>409100</t>
        </is>
      </c>
      <c r="B106" s="1436" t="inlineStr">
        <is>
          <t>FRS LOCAUX AVANCES ET ACOMPT</t>
        </is>
      </c>
      <c r="C106" s="1187" t="n">
        <v>16771287</v>
      </c>
      <c r="D106" s="1187" t="n">
        <v>0</v>
      </c>
      <c r="E106" s="1187" t="n">
        <v>0</v>
      </c>
      <c r="F106" s="1187" t="n">
        <v>665000</v>
      </c>
      <c r="G106" s="1187" t="n">
        <v>16106287</v>
      </c>
      <c r="H106" s="1187" t="n">
        <v>0</v>
      </c>
    </row>
    <row r="107" ht="14.45" customHeight="1" s="1225">
      <c r="A107" s="1436" t="inlineStr">
        <is>
          <t>409110</t>
        </is>
      </c>
      <c r="B107" s="1436" t="inlineStr">
        <is>
          <t>FRS ETRANGERS AVANCE ET ACOMPT</t>
        </is>
      </c>
      <c r="C107" s="1187" t="n">
        <v>1637916567</v>
      </c>
      <c r="D107" s="1187" t="n">
        <v>0</v>
      </c>
      <c r="E107" s="1187" t="n">
        <v>1422950637</v>
      </c>
      <c r="F107" s="1187" t="n">
        <v>2641623659</v>
      </c>
      <c r="G107" s="1187" t="n">
        <v>419243545</v>
      </c>
      <c r="H107" s="1187" t="n">
        <v>0</v>
      </c>
    </row>
    <row r="108" ht="14.45" customHeight="1" s="1225">
      <c r="A108" s="1436" t="inlineStr">
        <is>
          <t>411100</t>
        </is>
      </c>
      <c r="B108" s="1436" t="inlineStr">
        <is>
          <t>Clients</t>
        </is>
      </c>
      <c r="C108" s="1187" t="n">
        <v>0</v>
      </c>
      <c r="D108" s="1187" t="n">
        <v>0</v>
      </c>
      <c r="E108" s="1187" t="n">
        <v>26799373210.6</v>
      </c>
      <c r="F108" s="1187" t="n">
        <v>26092635159.8</v>
      </c>
      <c r="G108" s="1187" t="n">
        <v>706738050.8</v>
      </c>
      <c r="H108" s="1187" t="n">
        <v>0</v>
      </c>
    </row>
    <row r="109" ht="14.45" customHeight="1" s="1225">
      <c r="A109" s="1436" t="inlineStr">
        <is>
          <t>419100</t>
        </is>
      </c>
      <c r="B109" s="1436" t="inlineStr">
        <is>
          <t>CLIENTS, AVCES ET ACPTS VERSEE</t>
        </is>
      </c>
      <c r="C109" s="1187" t="n">
        <v>0</v>
      </c>
      <c r="D109" s="1187" t="n">
        <v>0</v>
      </c>
      <c r="E109" s="1187" t="n">
        <v>0</v>
      </c>
      <c r="F109" s="1187" t="n">
        <v>126819681</v>
      </c>
      <c r="G109" s="1187" t="n">
        <v>0</v>
      </c>
      <c r="H109" s="1187" t="n">
        <v>126819681</v>
      </c>
    </row>
    <row r="110" ht="14.45" customHeight="1" s="1225">
      <c r="A110" s="1436" t="inlineStr">
        <is>
          <t>421000</t>
        </is>
      </c>
      <c r="B110" s="1436" t="inlineStr">
        <is>
          <t>PERSONNEL, AVANCES ET ACOMPTES</t>
        </is>
      </c>
      <c r="C110" s="1187" t="n">
        <v>0</v>
      </c>
      <c r="D110" s="1187" t="n">
        <v>1700000</v>
      </c>
      <c r="E110" s="1187" t="n">
        <v>5255000</v>
      </c>
      <c r="F110" s="1187" t="n">
        <v>0</v>
      </c>
      <c r="G110" s="1187" t="n">
        <v>3555000</v>
      </c>
      <c r="H110" s="1187" t="n">
        <v>0</v>
      </c>
    </row>
    <row r="111" ht="14.45" customHeight="1" s="1225">
      <c r="A111" s="1436" t="inlineStr">
        <is>
          <t>421100</t>
        </is>
      </c>
      <c r="B111" s="1436" t="inlineStr">
        <is>
          <t>Personnel, avances</t>
        </is>
      </c>
      <c r="C111" s="1187" t="n">
        <v>2005000</v>
      </c>
      <c r="D111" s="1187" t="n">
        <v>0</v>
      </c>
      <c r="E111" s="1187" t="n">
        <v>0</v>
      </c>
      <c r="F111" s="1187" t="n">
        <v>2005000</v>
      </c>
      <c r="G111" s="1187" t="n">
        <v>0</v>
      </c>
      <c r="H111" s="1187" t="n">
        <v>0</v>
      </c>
    </row>
    <row r="112" ht="14.45" customHeight="1" s="1225">
      <c r="A112" s="1436" t="inlineStr">
        <is>
          <t>422000</t>
        </is>
      </c>
      <c r="B112" s="1436" t="inlineStr">
        <is>
          <t>PERSONNEL, RÉMUNÉRATIONS DUES</t>
        </is>
      </c>
      <c r="C112" s="1187" t="n">
        <v>0</v>
      </c>
      <c r="D112" s="1187" t="n">
        <v>6026595</v>
      </c>
      <c r="E112" s="1187" t="n">
        <v>439020463</v>
      </c>
      <c r="F112" s="1187" t="n">
        <v>417331647</v>
      </c>
      <c r="G112" s="1187" t="n">
        <v>15662221</v>
      </c>
      <c r="H112" s="1187" t="n">
        <v>0</v>
      </c>
    </row>
    <row r="113" ht="14.45" customHeight="1" s="1225">
      <c r="A113" s="1436" t="inlineStr">
        <is>
          <t>431000</t>
        </is>
      </c>
      <c r="B113" s="1436" t="inlineStr">
        <is>
          <t>SÉCURITÉ SOCIALE</t>
        </is>
      </c>
      <c r="C113" s="1187" t="n">
        <v>0</v>
      </c>
      <c r="D113" s="1187" t="n">
        <v>5052139</v>
      </c>
      <c r="E113" s="1187" t="n">
        <v>51893605</v>
      </c>
      <c r="F113" s="1187" t="n">
        <v>59919319</v>
      </c>
      <c r="G113" s="1187" t="n">
        <v>0</v>
      </c>
      <c r="H113" s="1187" t="n">
        <v>13077853</v>
      </c>
    </row>
    <row r="114" ht="14.45" customHeight="1" s="1225">
      <c r="A114" s="1436" t="inlineStr">
        <is>
          <t>431300</t>
        </is>
      </c>
      <c r="B114" s="1436" t="inlineStr">
        <is>
          <t>Caisse de retraite obligatoire</t>
        </is>
      </c>
      <c r="C114" s="1187" t="n">
        <v>0</v>
      </c>
      <c r="D114" s="1187" t="n">
        <v>0</v>
      </c>
      <c r="E114" s="1187" t="n">
        <v>0</v>
      </c>
      <c r="F114" s="1187" t="n">
        <v>3680636</v>
      </c>
      <c r="G114" s="1187" t="n">
        <v>0</v>
      </c>
      <c r="H114" s="1187" t="n">
        <v>3680636</v>
      </c>
    </row>
    <row r="115" ht="14.45" customHeight="1" s="1225">
      <c r="A115" s="1436" t="inlineStr">
        <is>
          <t>441200</t>
        </is>
      </c>
      <c r="B115" s="1436" t="inlineStr">
        <is>
          <t>ETAT, AP IS DUE</t>
        </is>
      </c>
      <c r="C115" s="1187" t="n">
        <v>0</v>
      </c>
      <c r="D115" s="1187" t="n">
        <v>500000</v>
      </c>
      <c r="E115" s="1187" t="n">
        <v>750000</v>
      </c>
      <c r="F115" s="1187" t="n">
        <v>1000000</v>
      </c>
      <c r="G115" s="1187" t="n">
        <v>0</v>
      </c>
      <c r="H115" s="1187" t="n">
        <v>750000</v>
      </c>
    </row>
    <row r="116" ht="14.45" customHeight="1" s="1225">
      <c r="A116" s="1436" t="inlineStr">
        <is>
          <t>442210</t>
        </is>
      </c>
      <c r="B116" s="1436" t="inlineStr">
        <is>
          <t>PATENTE ET TAXE DE VOIRIE</t>
        </is>
      </c>
      <c r="C116" s="1187" t="n">
        <v>0</v>
      </c>
      <c r="D116" s="1187" t="n">
        <v>0</v>
      </c>
      <c r="E116" s="1187" t="n">
        <v>2000</v>
      </c>
      <c r="F116" s="1187" t="n">
        <v>0</v>
      </c>
      <c r="G116" s="1187" t="n">
        <v>2000</v>
      </c>
      <c r="H116" s="1187" t="n">
        <v>0</v>
      </c>
    </row>
    <row r="117" ht="14.45" customHeight="1" s="1225">
      <c r="A117" s="1436" t="inlineStr">
        <is>
          <t>442800</t>
        </is>
      </c>
      <c r="B117" s="1436" t="inlineStr">
        <is>
          <t>Autres impôts et taxes-TSC</t>
        </is>
      </c>
      <c r="C117" s="1187" t="n">
        <v>0</v>
      </c>
      <c r="D117" s="1187" t="n">
        <v>0</v>
      </c>
      <c r="E117" s="1187" t="n">
        <v>243965872</v>
      </c>
      <c r="F117" s="1187" t="n">
        <v>277746520</v>
      </c>
      <c r="G117" s="1187" t="n">
        <v>0</v>
      </c>
      <c r="H117" s="1187" t="n">
        <v>33780648</v>
      </c>
    </row>
    <row r="118" ht="14.45" customHeight="1" s="1225">
      <c r="A118" s="1436" t="inlineStr">
        <is>
          <t>442810</t>
        </is>
      </c>
      <c r="B118" s="1436" t="inlineStr">
        <is>
          <t>TPA- AUTRES</t>
        </is>
      </c>
      <c r="C118" s="1187" t="n">
        <v>0</v>
      </c>
      <c r="D118" s="1187" t="n">
        <v>497215</v>
      </c>
      <c r="E118" s="1187" t="n">
        <v>497215</v>
      </c>
      <c r="F118" s="1187" t="n">
        <v>0</v>
      </c>
      <c r="G118" s="1187" t="n">
        <v>0</v>
      </c>
      <c r="H118" s="1187" t="n">
        <v>0</v>
      </c>
    </row>
    <row r="119" ht="14.45" customHeight="1" s="1225">
      <c r="A119" s="1436" t="inlineStr">
        <is>
          <t>443100</t>
        </is>
      </c>
      <c r="B119" s="1436" t="inlineStr">
        <is>
          <t>T.V.A. facturée sur ventes</t>
        </is>
      </c>
      <c r="C119" s="1187" t="n">
        <v>0</v>
      </c>
      <c r="D119" s="1187" t="n">
        <v>0</v>
      </c>
      <c r="E119" s="1187" t="n">
        <v>152217982</v>
      </c>
      <c r="F119" s="1187" t="n">
        <v>153636264.8</v>
      </c>
      <c r="G119" s="1187" t="n">
        <v>0</v>
      </c>
      <c r="H119" s="1187" t="n">
        <v>1418282.8</v>
      </c>
    </row>
    <row r="120" ht="14.45" customHeight="1" s="1225">
      <c r="A120" s="1436" t="inlineStr">
        <is>
          <t>446000</t>
        </is>
      </c>
      <c r="B120" s="1436" t="inlineStr">
        <is>
          <t>ÉTAT, AUTRES TAXES SUR LE CHIF</t>
        </is>
      </c>
      <c r="C120" s="1187" t="n">
        <v>0</v>
      </c>
      <c r="D120" s="1187" t="n">
        <v>0</v>
      </c>
      <c r="E120" s="1187" t="n">
        <v>0</v>
      </c>
      <c r="F120" s="1187" t="n">
        <v>2000</v>
      </c>
      <c r="G120" s="1187" t="n">
        <v>0</v>
      </c>
      <c r="H120" s="1187" t="n">
        <v>2000</v>
      </c>
    </row>
    <row r="121" ht="14.45" customHeight="1" s="1225">
      <c r="A121" s="1436" t="inlineStr">
        <is>
          <t>447200</t>
        </is>
      </c>
      <c r="B121" s="1436" t="inlineStr">
        <is>
          <t>TPA -Impôts sur salaires</t>
        </is>
      </c>
      <c r="C121" s="1187" t="n">
        <v>0</v>
      </c>
      <c r="D121" s="1187" t="n">
        <v>0</v>
      </c>
      <c r="E121" s="1187" t="n">
        <v>12610333</v>
      </c>
      <c r="F121" s="1187" t="n">
        <v>15009922</v>
      </c>
      <c r="G121" s="1187" t="n">
        <v>0</v>
      </c>
      <c r="H121" s="1187" t="n">
        <v>2399588.999999998</v>
      </c>
    </row>
    <row r="122" ht="14.45" customHeight="1" s="1225">
      <c r="A122" s="1436" t="inlineStr">
        <is>
          <t>447210</t>
        </is>
      </c>
      <c r="B122" s="1436" t="inlineStr">
        <is>
          <t>IUTS</t>
        </is>
      </c>
      <c r="C122" s="1187" t="n">
        <v>0</v>
      </c>
      <c r="D122" s="1187" t="n">
        <v>1299792</v>
      </c>
      <c r="E122" s="1187" t="n">
        <v>54740700</v>
      </c>
      <c r="F122" s="1187" t="n">
        <v>61970336</v>
      </c>
      <c r="G122" s="1187" t="n">
        <v>0</v>
      </c>
      <c r="H122" s="1187" t="n">
        <v>8529428</v>
      </c>
    </row>
    <row r="123" ht="14.45" customHeight="1" s="1225">
      <c r="A123" s="1436" t="inlineStr">
        <is>
          <t>447810</t>
        </is>
      </c>
      <c r="B123" s="1436" t="inlineStr">
        <is>
          <t>RETENUE 5% OPÉRÉE</t>
        </is>
      </c>
      <c r="C123" s="1187" t="n">
        <v>231741</v>
      </c>
      <c r="D123" s="1187" t="n">
        <v>0</v>
      </c>
      <c r="E123" s="1187" t="n">
        <v>86625557</v>
      </c>
      <c r="F123" s="1187" t="n">
        <v>101405629</v>
      </c>
      <c r="G123" s="1187" t="n">
        <v>0</v>
      </c>
      <c r="H123" s="1187" t="n">
        <v>14548331</v>
      </c>
    </row>
    <row r="124" ht="14.45" customHeight="1" s="1225">
      <c r="A124" s="1436" t="inlineStr">
        <is>
          <t>447820</t>
        </is>
      </c>
      <c r="B124" s="1436" t="inlineStr">
        <is>
          <t>RETENUE 1% OPÉRÉE</t>
        </is>
      </c>
      <c r="C124" s="1187" t="n">
        <v>0</v>
      </c>
      <c r="D124" s="1187" t="n">
        <v>9446552</v>
      </c>
      <c r="E124" s="1187" t="n">
        <v>9112897</v>
      </c>
      <c r="F124" s="1187" t="n">
        <v>-7297384.000000001</v>
      </c>
      <c r="G124" s="1187" t="n">
        <v>6963729.000000001</v>
      </c>
      <c r="H124" s="1187" t="n">
        <v>0</v>
      </c>
    </row>
    <row r="125" ht="14.45" customHeight="1" s="1225">
      <c r="A125" s="1436" t="inlineStr">
        <is>
          <t>447831</t>
        </is>
      </c>
      <c r="B125" s="1436" t="inlineStr">
        <is>
          <t>RETENUE LIBÉRATOIRE 25%</t>
        </is>
      </c>
      <c r="C125" s="1187" t="n">
        <v>0</v>
      </c>
      <c r="D125" s="1187" t="n">
        <v>1394800</v>
      </c>
      <c r="E125" s="1187" t="n">
        <v>0</v>
      </c>
      <c r="F125" s="1187" t="n">
        <v>0</v>
      </c>
      <c r="G125" s="1187" t="n">
        <v>0</v>
      </c>
      <c r="H125" s="1187" t="n">
        <v>1394800</v>
      </c>
    </row>
    <row r="126" ht="14.45" customHeight="1" s="1225">
      <c r="A126" s="1436" t="inlineStr">
        <is>
          <t>447840</t>
        </is>
      </c>
      <c r="B126" s="1436" t="inlineStr">
        <is>
          <t>RETENUE/PRESTATAIRE NON RESIDE</t>
        </is>
      </c>
      <c r="C126" s="1187" t="n">
        <v>0</v>
      </c>
      <c r="D126" s="1187" t="n">
        <v>44981473</v>
      </c>
      <c r="E126" s="1187" t="n">
        <v>45197471</v>
      </c>
      <c r="F126" s="1187" t="n">
        <v>358640</v>
      </c>
      <c r="G126" s="1187" t="n">
        <v>0</v>
      </c>
      <c r="H126" s="1187" t="n">
        <v>142642</v>
      </c>
    </row>
    <row r="127" ht="14.45" customHeight="1" s="1225">
      <c r="A127" s="1436" t="inlineStr">
        <is>
          <t>447850</t>
        </is>
      </c>
      <c r="B127" s="1436" t="inlineStr">
        <is>
          <t>RETENUE IRF OPÉRÉE</t>
        </is>
      </c>
      <c r="C127" s="1187" t="n">
        <v>0</v>
      </c>
      <c r="D127" s="1187" t="n">
        <v>110250</v>
      </c>
      <c r="E127" s="1187" t="n">
        <v>1029000</v>
      </c>
      <c r="F127" s="1187" t="n">
        <v>991500</v>
      </c>
      <c r="G127" s="1187" t="n">
        <v>0</v>
      </c>
      <c r="H127" s="1187" t="n">
        <v>72750</v>
      </c>
    </row>
    <row r="128" ht="14.45" customHeight="1" s="1225">
      <c r="A128" s="1436" t="inlineStr">
        <is>
          <t>449200</t>
        </is>
      </c>
      <c r="B128" s="1436" t="inlineStr">
        <is>
          <t>État, avances et acomptes vers</t>
        </is>
      </c>
      <c r="C128" s="1187" t="n">
        <v>22285104</v>
      </c>
      <c r="D128" s="1187" t="n">
        <v>0</v>
      </c>
      <c r="E128" s="1187" t="n">
        <v>2819179</v>
      </c>
      <c r="F128" s="1187" t="n">
        <v>25104283</v>
      </c>
      <c r="G128" s="1187" t="n">
        <v>0</v>
      </c>
      <c r="H128" s="1187" t="n">
        <v>0</v>
      </c>
    </row>
    <row r="129" ht="14.45" customHeight="1" s="1225">
      <c r="A129" s="1436" t="inlineStr">
        <is>
          <t>449210</t>
        </is>
      </c>
      <c r="B129" s="1436" t="inlineStr">
        <is>
          <t>AP, IS DÉCLARÉ</t>
        </is>
      </c>
      <c r="C129" s="1187" t="n">
        <v>0</v>
      </c>
      <c r="D129" s="1187" t="n">
        <v>0</v>
      </c>
      <c r="E129" s="1187" t="n">
        <v>1500000</v>
      </c>
      <c r="F129" s="1187" t="n">
        <v>250000</v>
      </c>
      <c r="G129" s="1187" t="n">
        <v>1250000</v>
      </c>
      <c r="H129" s="1187" t="n">
        <v>0</v>
      </c>
    </row>
    <row r="130" ht="14.45" customHeight="1" s="1225">
      <c r="A130" s="1436" t="inlineStr">
        <is>
          <t>449230</t>
        </is>
      </c>
      <c r="B130" s="1436" t="inlineStr">
        <is>
          <t>AP, PATENTE</t>
        </is>
      </c>
      <c r="C130" s="1187" t="n">
        <v>0</v>
      </c>
      <c r="D130" s="1187" t="n">
        <v>0</v>
      </c>
      <c r="E130" s="1187" t="n">
        <v>139892</v>
      </c>
      <c r="F130" s="1187" t="n">
        <v>139892</v>
      </c>
      <c r="G130" s="1187" t="n">
        <v>0</v>
      </c>
      <c r="H130" s="1187" t="n">
        <v>0</v>
      </c>
    </row>
    <row r="131" ht="14.45" customHeight="1" s="1225">
      <c r="A131" s="1436" t="inlineStr">
        <is>
          <t>461341</t>
        </is>
      </c>
      <c r="B131" s="1436" t="inlineStr">
        <is>
          <t>SOUSCRIPTEUR NAKAMA</t>
        </is>
      </c>
      <c r="C131" s="1187" t="n">
        <v>0</v>
      </c>
      <c r="D131" s="1187" t="n">
        <v>0</v>
      </c>
      <c r="E131" s="1187" t="n">
        <v>95000000</v>
      </c>
      <c r="F131" s="1187" t="n">
        <v>0</v>
      </c>
      <c r="G131" s="1187" t="n">
        <v>95000000</v>
      </c>
      <c r="H131" s="1187" t="n">
        <v>0</v>
      </c>
    </row>
    <row r="132" ht="14.45" customHeight="1" s="1225">
      <c r="A132" s="1436" t="inlineStr">
        <is>
          <t>461342</t>
        </is>
      </c>
      <c r="B132" s="1436" t="inlineStr">
        <is>
          <t>SOUSCRIPTEUR</t>
        </is>
      </c>
      <c r="C132" s="1187" t="n">
        <v>0</v>
      </c>
      <c r="D132" s="1187" t="n">
        <v>0</v>
      </c>
      <c r="E132" s="1187" t="n">
        <v>98000000</v>
      </c>
      <c r="F132" s="1187" t="n">
        <v>0</v>
      </c>
      <c r="G132" s="1187" t="n">
        <v>98000000</v>
      </c>
      <c r="H132" s="1187" t="n">
        <v>0</v>
      </c>
    </row>
    <row r="133" ht="14.45" customHeight="1" s="1225">
      <c r="A133" s="1436" t="inlineStr">
        <is>
          <t>462110</t>
        </is>
      </c>
      <c r="B133" s="1436" t="inlineStr">
        <is>
          <t>ASSOCIE KOUANDA MOUSSA</t>
        </is>
      </c>
      <c r="C133" s="1187" t="n">
        <v>0</v>
      </c>
      <c r="D133" s="1187" t="n">
        <v>9425380042</v>
      </c>
      <c r="E133" s="1187" t="n">
        <v>10886132372</v>
      </c>
      <c r="F133" s="1187" t="n">
        <v>1460752330</v>
      </c>
      <c r="G133" s="1187" t="n">
        <v>1.220703125e-06</v>
      </c>
      <c r="H133" s="1187" t="n">
        <v>0</v>
      </c>
    </row>
    <row r="134" ht="14.45" customHeight="1" s="1225">
      <c r="A134" s="1436" t="inlineStr">
        <is>
          <t>462120</t>
        </is>
      </c>
      <c r="B134" s="1436" t="inlineStr">
        <is>
          <t>ASSOCIE KOUANDA ZAKARIA</t>
        </is>
      </c>
      <c r="C134" s="1187" t="n">
        <v>0</v>
      </c>
      <c r="D134" s="1187" t="n">
        <v>0</v>
      </c>
      <c r="E134" s="1187" t="n">
        <v>8450000</v>
      </c>
      <c r="F134" s="1187" t="n">
        <v>8450000</v>
      </c>
      <c r="G134" s="1187" t="n">
        <v>0</v>
      </c>
      <c r="H134" s="1187" t="n">
        <v>0</v>
      </c>
    </row>
    <row r="135" ht="14.45" customHeight="1" s="1225">
      <c r="A135" s="1436" t="inlineStr">
        <is>
          <t>462140</t>
        </is>
      </c>
      <c r="B135" s="1436" t="inlineStr">
        <is>
          <t>ASSOCIE ECO-OIL</t>
        </is>
      </c>
      <c r="C135" s="1187" t="n">
        <v>0</v>
      </c>
      <c r="D135" s="1187" t="n">
        <v>0</v>
      </c>
      <c r="E135" s="1187" t="n">
        <v>10833957318</v>
      </c>
      <c r="F135" s="1187" t="n">
        <v>10860189372</v>
      </c>
      <c r="G135" s="1187" t="n">
        <v>0</v>
      </c>
      <c r="H135" s="1187" t="n">
        <v>26232054</v>
      </c>
    </row>
    <row r="136" ht="14.45" customHeight="1" s="1225">
      <c r="A136" s="1436" t="inlineStr">
        <is>
          <t>471100</t>
        </is>
      </c>
      <c r="B136" s="1436" t="inlineStr">
        <is>
          <t>Débiteurs divers</t>
        </is>
      </c>
      <c r="C136" s="1187" t="n">
        <v>0</v>
      </c>
      <c r="D136" s="1187" t="n">
        <v>0</v>
      </c>
      <c r="E136" s="1187" t="n">
        <v>274652382</v>
      </c>
      <c r="F136" s="1187" t="n">
        <v>0</v>
      </c>
      <c r="G136" s="1187" t="n">
        <v>274652382</v>
      </c>
      <c r="H136" s="1187" t="n">
        <v>0</v>
      </c>
    </row>
    <row r="137" ht="14.45" customHeight="1" s="1225">
      <c r="A137" s="1436" t="inlineStr">
        <is>
          <t>471103</t>
        </is>
      </c>
      <c r="B137" s="1436" t="inlineStr">
        <is>
          <t>GERANT ALT Mission à justifier</t>
        </is>
      </c>
      <c r="C137" s="1187" t="n">
        <v>0</v>
      </c>
      <c r="D137" s="1187" t="n">
        <v>0</v>
      </c>
      <c r="E137" s="1187" t="n">
        <v>98659000</v>
      </c>
      <c r="F137" s="1187" t="n">
        <v>98659000</v>
      </c>
      <c r="G137" s="1187" t="n">
        <v>0</v>
      </c>
      <c r="H137" s="1187" t="n">
        <v>0</v>
      </c>
    </row>
    <row r="138" ht="14.45" customHeight="1" s="1225">
      <c r="A138" s="1436" t="inlineStr">
        <is>
          <t>471104</t>
        </is>
      </c>
      <c r="B138" s="1436" t="inlineStr">
        <is>
          <t>FASO ENERGIE</t>
        </is>
      </c>
      <c r="C138" s="1187" t="n">
        <v>0</v>
      </c>
      <c r="D138" s="1187" t="n">
        <v>0</v>
      </c>
      <c r="E138" s="1187" t="n">
        <v>46000000</v>
      </c>
      <c r="F138" s="1187" t="n">
        <v>0</v>
      </c>
      <c r="G138" s="1187" t="n">
        <v>46000000</v>
      </c>
      <c r="H138" s="1187" t="n">
        <v>0</v>
      </c>
    </row>
    <row r="139" ht="14.45" customHeight="1" s="1225">
      <c r="A139" s="1436" t="inlineStr">
        <is>
          <t>471110</t>
        </is>
      </c>
      <c r="B139" s="1436" t="inlineStr">
        <is>
          <t>DEBITEUR DIVERS CAISSE KM</t>
        </is>
      </c>
      <c r="C139" s="1187" t="n">
        <v>0</v>
      </c>
      <c r="D139" s="1187" t="n">
        <v>0</v>
      </c>
      <c r="E139" s="1187" t="n">
        <v>410000000</v>
      </c>
      <c r="F139" s="1187" t="n">
        <v>0</v>
      </c>
      <c r="G139" s="1187" t="n">
        <v>410000000</v>
      </c>
      <c r="H139" s="1187" t="n">
        <v>0</v>
      </c>
    </row>
    <row r="140" ht="14.45" customHeight="1" s="1225">
      <c r="A140" s="1436" t="inlineStr">
        <is>
          <t>471120</t>
        </is>
      </c>
      <c r="B140" s="1436" t="inlineStr">
        <is>
          <t>DEBITEUR DIVERS K ZAKARIA</t>
        </is>
      </c>
      <c r="C140" s="1187" t="n">
        <v>0</v>
      </c>
      <c r="D140" s="1187" t="n">
        <v>0</v>
      </c>
      <c r="E140" s="1187" t="n">
        <v>600000</v>
      </c>
      <c r="F140" s="1187" t="n">
        <v>0</v>
      </c>
      <c r="G140" s="1187" t="n">
        <v>600000</v>
      </c>
      <c r="H140" s="1187" t="n">
        <v>0</v>
      </c>
    </row>
    <row r="141" ht="14.45" customHeight="1" s="1225">
      <c r="A141" s="1436" t="inlineStr">
        <is>
          <t>471200</t>
        </is>
      </c>
      <c r="B141" s="1436" t="inlineStr">
        <is>
          <t>Créditeurs divers</t>
        </is>
      </c>
      <c r="C141" s="1187" t="n">
        <v>41516939</v>
      </c>
      <c r="D141" s="1187" t="n">
        <v>0</v>
      </c>
      <c r="E141" s="1187" t="n">
        <v>992526862</v>
      </c>
      <c r="F141" s="1187" t="n">
        <v>1034043801</v>
      </c>
      <c r="G141" s="1187" t="n">
        <v>0</v>
      </c>
      <c r="H141" s="1187" t="n">
        <v>0</v>
      </c>
    </row>
    <row r="142" ht="14.45" customHeight="1" s="1225">
      <c r="A142" s="1436" t="inlineStr">
        <is>
          <t>476000</t>
        </is>
      </c>
      <c r="B142" s="1436" t="inlineStr">
        <is>
          <t>CHARGES CONSTATÉES D'AVANCE</t>
        </is>
      </c>
      <c r="C142" s="1187" t="n">
        <v>30000</v>
      </c>
      <c r="D142" s="1187" t="n">
        <v>0</v>
      </c>
      <c r="E142" s="1187" t="n">
        <v>32991480</v>
      </c>
      <c r="F142" s="1187" t="n">
        <v>2694416</v>
      </c>
      <c r="G142" s="1187" t="n">
        <v>30327064</v>
      </c>
      <c r="H142" s="1187" t="n">
        <v>0</v>
      </c>
    </row>
    <row r="143" ht="14.45" customHeight="1" s="1225">
      <c r="A143" s="1436" t="inlineStr">
        <is>
          <t>481000</t>
        </is>
      </c>
      <c r="B143" s="1436" t="inlineStr">
        <is>
          <t>FOURNISSEURS D'INVESTISSEMENTS</t>
        </is>
      </c>
      <c r="C143" s="1187" t="n">
        <v>0</v>
      </c>
      <c r="D143" s="1187" t="n">
        <v>1810087648</v>
      </c>
      <c r="E143" s="1187" t="n">
        <v>7677055134</v>
      </c>
      <c r="F143" s="1187" t="n">
        <v>8217324614</v>
      </c>
      <c r="G143" s="1187" t="n">
        <v>0</v>
      </c>
      <c r="H143" s="1187" t="n">
        <v>2350357128</v>
      </c>
    </row>
    <row r="144" ht="14.45" customHeight="1" s="1225">
      <c r="A144" s="1436" t="inlineStr">
        <is>
          <t>481700</t>
        </is>
      </c>
      <c r="B144" s="1436" t="inlineStr">
        <is>
          <t>Retenues de garantie (3)</t>
        </is>
      </c>
      <c r="C144" s="1187" t="n">
        <v>0</v>
      </c>
      <c r="D144" s="1187" t="n">
        <v>28556151</v>
      </c>
      <c r="E144" s="1187" t="n">
        <v>0</v>
      </c>
      <c r="F144" s="1187" t="n">
        <v>-26140001</v>
      </c>
      <c r="G144" s="1187" t="n">
        <v>0</v>
      </c>
      <c r="H144" s="1187" t="n">
        <v>2416150</v>
      </c>
    </row>
    <row r="145" ht="14.45" customHeight="1" s="1225">
      <c r="A145" s="1436" t="inlineStr">
        <is>
          <t>512000</t>
        </is>
      </c>
      <c r="B145" s="1436" t="inlineStr">
        <is>
          <t>EFFETS À L'ENCAISSEMENT</t>
        </is>
      </c>
      <c r="C145" s="1187" t="n">
        <v>0</v>
      </c>
      <c r="D145" s="1187" t="n">
        <v>0</v>
      </c>
      <c r="E145" s="1187" t="n">
        <v>106555000</v>
      </c>
      <c r="F145" s="1187" t="n">
        <v>106555000</v>
      </c>
      <c r="G145" s="1187" t="n">
        <v>0</v>
      </c>
      <c r="H145" s="1187" t="n">
        <v>0</v>
      </c>
    </row>
    <row r="146" ht="14.45" customHeight="1" s="1225">
      <c r="A146" s="1436" t="inlineStr">
        <is>
          <t>521110</t>
        </is>
      </c>
      <c r="B146" s="1436" t="inlineStr">
        <is>
          <t>WENDKUNI BANK</t>
        </is>
      </c>
      <c r="C146" s="1187" t="n">
        <v>70178691</v>
      </c>
      <c r="D146" s="1187" t="n">
        <v>0</v>
      </c>
      <c r="E146" s="1187" t="n">
        <v>11922686358</v>
      </c>
      <c r="F146" s="1187" t="n">
        <v>11815847453</v>
      </c>
      <c r="G146" s="1187" t="n">
        <v>177017596</v>
      </c>
      <c r="H146" s="1187" t="n">
        <v>0</v>
      </c>
    </row>
    <row r="147" ht="14.45" customHeight="1" s="1225">
      <c r="A147" s="1436" t="inlineStr">
        <is>
          <t>521111</t>
        </is>
      </c>
      <c r="B147" s="1436" t="inlineStr">
        <is>
          <t>WENDKUNI BANK/TRANSPORT</t>
        </is>
      </c>
      <c r="C147" s="1187" t="n">
        <v>99963500</v>
      </c>
      <c r="D147" s="1187" t="n">
        <v>0</v>
      </c>
      <c r="E147" s="1187" t="n">
        <v>8437657065</v>
      </c>
      <c r="F147" s="1187" t="n">
        <v>8582593362</v>
      </c>
      <c r="G147" s="1187" t="n">
        <v>0</v>
      </c>
      <c r="H147" s="1187" t="n">
        <v>44972797</v>
      </c>
    </row>
    <row r="148" ht="14.45" customHeight="1" s="1225">
      <c r="A148" s="1436" t="inlineStr">
        <is>
          <t>521120</t>
        </is>
      </c>
      <c r="B148" s="1436" t="inlineStr">
        <is>
          <t>CORIS BANK</t>
        </is>
      </c>
      <c r="C148" s="1187" t="n">
        <v>436432014</v>
      </c>
      <c r="D148" s="1187" t="n">
        <v>0</v>
      </c>
      <c r="E148" s="1187" t="n">
        <v>17099149894</v>
      </c>
      <c r="F148" s="1187" t="n">
        <v>17094202864</v>
      </c>
      <c r="G148" s="1187" t="n">
        <v>441379044</v>
      </c>
      <c r="H148" s="1187" t="n">
        <v>0</v>
      </c>
    </row>
    <row r="149" ht="14.45" customHeight="1" s="1225">
      <c r="A149" s="1436" t="inlineStr">
        <is>
          <t>521130</t>
        </is>
      </c>
      <c r="B149" s="1436" t="inlineStr">
        <is>
          <t>IB BANK</t>
        </is>
      </c>
      <c r="C149" s="1187" t="n">
        <v>3410452</v>
      </c>
      <c r="D149" s="1187" t="n">
        <v>0</v>
      </c>
      <c r="E149" s="1187" t="n">
        <v>617796404</v>
      </c>
      <c r="F149" s="1187" t="n">
        <v>591513144</v>
      </c>
      <c r="G149" s="1187" t="n">
        <v>29693712</v>
      </c>
      <c r="H149" s="1187" t="n">
        <v>0</v>
      </c>
    </row>
    <row r="150" ht="14.45" customHeight="1" s="1225">
      <c r="A150" s="1436" t="inlineStr">
        <is>
          <t>521140</t>
        </is>
      </c>
      <c r="B150" s="1436" t="inlineStr">
        <is>
          <t>BANK OF AFRICA</t>
        </is>
      </c>
      <c r="C150" s="1187" t="n">
        <v>17139</v>
      </c>
      <c r="D150" s="1187" t="n">
        <v>0</v>
      </c>
      <c r="E150" s="1187" t="n">
        <v>910837308</v>
      </c>
      <c r="F150" s="1187" t="n">
        <v>909426284</v>
      </c>
      <c r="G150" s="1187" t="n">
        <v>1428163</v>
      </c>
      <c r="H150" s="1187" t="n">
        <v>0</v>
      </c>
    </row>
    <row r="151" ht="14.45" customHeight="1" s="1225">
      <c r="A151" s="1436" t="inlineStr">
        <is>
          <t>521150</t>
        </is>
      </c>
      <c r="B151" s="1436" t="inlineStr">
        <is>
          <t>BANQUE ATLANTIQUE</t>
        </is>
      </c>
      <c r="C151" s="1187" t="n">
        <v>244894</v>
      </c>
      <c r="D151" s="1187" t="n">
        <v>0</v>
      </c>
      <c r="E151" s="1187" t="n">
        <v>831904480</v>
      </c>
      <c r="F151" s="1187" t="n">
        <v>824411260</v>
      </c>
      <c r="G151" s="1187" t="n">
        <v>7738114</v>
      </c>
      <c r="H151" s="1187" t="n">
        <v>0</v>
      </c>
    </row>
    <row r="152" ht="14.45" customHeight="1" s="1225">
      <c r="A152" s="1436" t="inlineStr">
        <is>
          <t>521160</t>
        </is>
      </c>
      <c r="B152" s="1436" t="inlineStr">
        <is>
          <t>VISTA BANK</t>
        </is>
      </c>
      <c r="C152" s="1187" t="n">
        <v>218393858</v>
      </c>
      <c r="D152" s="1187" t="n">
        <v>0</v>
      </c>
      <c r="E152" s="1187" t="n">
        <v>10754029584</v>
      </c>
      <c r="F152" s="1187" t="n">
        <v>10884627892</v>
      </c>
      <c r="G152" s="1187" t="n">
        <v>87795550</v>
      </c>
      <c r="H152" s="1187" t="n">
        <v>0</v>
      </c>
    </row>
    <row r="153" ht="14.45" customHeight="1" s="1225">
      <c r="A153" s="1436" t="inlineStr">
        <is>
          <t>521161</t>
        </is>
      </c>
      <c r="B153" s="1436" t="inlineStr">
        <is>
          <t>VISTA BANK</t>
        </is>
      </c>
      <c r="C153" s="1187" t="n">
        <v>0</v>
      </c>
      <c r="D153" s="1187" t="n">
        <v>37612</v>
      </c>
      <c r="E153" s="1187" t="n">
        <v>8255092360</v>
      </c>
      <c r="F153" s="1187" t="n">
        <v>8631907438</v>
      </c>
      <c r="G153" s="1187" t="n">
        <v>0</v>
      </c>
      <c r="H153" s="1187" t="n">
        <v>376852690</v>
      </c>
    </row>
    <row r="154" ht="14.45" customHeight="1" s="1225">
      <c r="A154" s="1436" t="inlineStr">
        <is>
          <t>521170</t>
        </is>
      </c>
      <c r="B154" s="1436" t="inlineStr">
        <is>
          <t>ECOBANK</t>
        </is>
      </c>
      <c r="C154" s="1187" t="n">
        <v>0</v>
      </c>
      <c r="D154" s="1187" t="n">
        <v>0</v>
      </c>
      <c r="E154" s="1187" t="n">
        <v>1288218605</v>
      </c>
      <c r="F154" s="1187" t="n">
        <v>1288191598</v>
      </c>
      <c r="G154" s="1187" t="n">
        <v>27007</v>
      </c>
      <c r="H154" s="1187" t="n">
        <v>0</v>
      </c>
    </row>
    <row r="155" ht="14.45" customHeight="1" s="1225">
      <c r="A155" s="1436" t="inlineStr">
        <is>
          <t>521180</t>
        </is>
      </c>
      <c r="B155" s="1436" t="inlineStr">
        <is>
          <t>Banque de l'union</t>
        </is>
      </c>
      <c r="C155" s="1187" t="n">
        <v>0</v>
      </c>
      <c r="D155" s="1187" t="n">
        <v>0</v>
      </c>
      <c r="E155" s="1187" t="n">
        <v>3951355640</v>
      </c>
      <c r="F155" s="1187" t="n">
        <v>3734658925</v>
      </c>
      <c r="G155" s="1187" t="n">
        <v>216696715</v>
      </c>
      <c r="H155" s="1187" t="n">
        <v>0</v>
      </c>
    </row>
    <row r="156" ht="14.45" customHeight="1" s="1225">
      <c r="A156" s="1436" t="inlineStr">
        <is>
          <t>521190</t>
        </is>
      </c>
      <c r="B156" s="1436" t="inlineStr">
        <is>
          <t>BSIC BURKINA</t>
        </is>
      </c>
      <c r="C156" s="1187" t="n">
        <v>0</v>
      </c>
      <c r="D156" s="1187" t="n">
        <v>0</v>
      </c>
      <c r="E156" s="1187" t="n">
        <v>51491707</v>
      </c>
      <c r="F156" s="1187" t="n">
        <v>51263696</v>
      </c>
      <c r="G156" s="1187" t="n">
        <v>228011</v>
      </c>
      <c r="H156" s="1187" t="n">
        <v>0</v>
      </c>
    </row>
    <row r="157" ht="14.45" customHeight="1" s="1225">
      <c r="A157" s="1436" t="inlineStr">
        <is>
          <t>521200</t>
        </is>
      </c>
      <c r="B157" s="1436" t="inlineStr">
        <is>
          <t>BDU DEPENSES</t>
        </is>
      </c>
      <c r="C157" s="1187" t="n">
        <v>0</v>
      </c>
      <c r="D157" s="1187" t="n">
        <v>0</v>
      </c>
      <c r="E157" s="1187" t="n">
        <v>100000</v>
      </c>
      <c r="F157" s="1187" t="n">
        <v>129609</v>
      </c>
      <c r="G157" s="1187" t="n">
        <v>0</v>
      </c>
      <c r="H157" s="1187" t="n">
        <v>29609</v>
      </c>
    </row>
    <row r="158" ht="14.45" customHeight="1" s="1225">
      <c r="A158" s="1436" t="inlineStr">
        <is>
          <t>525000</t>
        </is>
      </c>
      <c r="B158" s="1436" t="inlineStr">
        <is>
          <t>BANQUES DEPOT A TERME</t>
        </is>
      </c>
      <c r="C158" s="1187" t="n">
        <v>700000000</v>
      </c>
      <c r="D158" s="1187" t="n">
        <v>0</v>
      </c>
      <c r="E158" s="1187" t="n">
        <v>0</v>
      </c>
      <c r="F158" s="1187" t="n">
        <v>700000000</v>
      </c>
      <c r="G158" s="1187" t="n">
        <v>0</v>
      </c>
      <c r="H158" s="1187" t="n">
        <v>0</v>
      </c>
    </row>
    <row r="159" ht="14.45" customHeight="1" s="1225">
      <c r="A159" s="1436" t="inlineStr">
        <is>
          <t>565000</t>
        </is>
      </c>
      <c r="B159" s="1436" t="inlineStr">
        <is>
          <t>ESCOMPTE DE CRÉDITS ORDINAIRES</t>
        </is>
      </c>
      <c r="C159" s="1187" t="n">
        <v>0</v>
      </c>
      <c r="D159" s="1187" t="n">
        <v>0</v>
      </c>
      <c r="E159" s="1187" t="n">
        <v>221650000</v>
      </c>
      <c r="F159" s="1187" t="n">
        <v>221650000</v>
      </c>
      <c r="G159" s="1187" t="n">
        <v>0</v>
      </c>
      <c r="H159" s="1187" t="n">
        <v>0</v>
      </c>
    </row>
    <row r="160" ht="14.45" customHeight="1" s="1225">
      <c r="A160" s="1436" t="inlineStr">
        <is>
          <t>585000</t>
        </is>
      </c>
      <c r="B160" s="1436" t="inlineStr">
        <is>
          <t>VIREMENTS DE FONDS</t>
        </is>
      </c>
      <c r="C160" s="1187" t="n">
        <v>0</v>
      </c>
      <c r="D160" s="1187" t="n">
        <v>0</v>
      </c>
      <c r="E160" s="1187" t="n">
        <v>27663690486</v>
      </c>
      <c r="F160" s="1187" t="n">
        <v>27663690486</v>
      </c>
      <c r="G160" s="1187" t="n">
        <v>0</v>
      </c>
      <c r="H160" s="1187" t="n">
        <v>0</v>
      </c>
    </row>
    <row r="161" ht="14.45" customHeight="1" s="1225">
      <c r="A161" s="1436" t="inlineStr">
        <is>
          <t>602101</t>
        </is>
      </c>
      <c r="B161" s="1436" t="inlineStr">
        <is>
          <t>ACHAT CLINKER</t>
        </is>
      </c>
      <c r="C161" s="1187" t="n">
        <v>0</v>
      </c>
      <c r="D161" s="1187" t="n">
        <v>0</v>
      </c>
      <c r="E161" s="1187" t="n">
        <v>8502800440</v>
      </c>
      <c r="F161" s="1187" t="n">
        <v>0</v>
      </c>
      <c r="G161" s="1187" t="n">
        <v>8502800440</v>
      </c>
      <c r="H161" s="1187" t="n">
        <v>0</v>
      </c>
    </row>
    <row r="162" ht="14.45" customHeight="1" s="1225">
      <c r="A162" s="1436" t="inlineStr">
        <is>
          <t>602103</t>
        </is>
      </c>
      <c r="B162" s="1436" t="inlineStr">
        <is>
          <t>ACHAT DE CALCAIRE</t>
        </is>
      </c>
      <c r="C162" s="1187" t="n">
        <v>0</v>
      </c>
      <c r="D162" s="1187" t="n">
        <v>0</v>
      </c>
      <c r="E162" s="1187" t="n">
        <v>308695205</v>
      </c>
      <c r="F162" s="1187" t="n">
        <v>0</v>
      </c>
      <c r="G162" s="1187" t="n">
        <v>308695205</v>
      </c>
      <c r="H162" s="1187" t="n">
        <v>0</v>
      </c>
    </row>
    <row r="163" ht="14.45" customHeight="1" s="1225">
      <c r="A163" s="1436" t="inlineStr">
        <is>
          <t>602500</t>
        </is>
      </c>
      <c r="B163" s="1436" t="inlineStr">
        <is>
          <t>Frais sur achats</t>
        </is>
      </c>
      <c r="C163" s="1187" t="n">
        <v>0</v>
      </c>
      <c r="D163" s="1187" t="n">
        <v>0</v>
      </c>
      <c r="E163" s="1187" t="n">
        <v>38658394</v>
      </c>
      <c r="F163" s="1187" t="n">
        <v>0</v>
      </c>
      <c r="G163" s="1187" t="n">
        <v>38658394</v>
      </c>
      <c r="H163" s="1187" t="n">
        <v>0</v>
      </c>
    </row>
    <row r="164" ht="14.45" customHeight="1" s="1225">
      <c r="A164" s="1436" t="inlineStr">
        <is>
          <t>602501</t>
        </is>
      </c>
      <c r="B164" s="1436" t="inlineStr">
        <is>
          <t>TRANSPORT CLINKER</t>
        </is>
      </c>
      <c r="C164" s="1187" t="n">
        <v>0</v>
      </c>
      <c r="D164" s="1187" t="n">
        <v>0</v>
      </c>
      <c r="E164" s="1187" t="n">
        <v>5133479257</v>
      </c>
      <c r="F164" s="1187" t="n">
        <v>2</v>
      </c>
      <c r="G164" s="1187" t="n">
        <v>5133479255</v>
      </c>
      <c r="H164" s="1187" t="n">
        <v>0</v>
      </c>
    </row>
    <row r="165" ht="14.45" customHeight="1" s="1225">
      <c r="A165" s="1436" t="inlineStr">
        <is>
          <t>602502</t>
        </is>
      </c>
      <c r="B165" s="1436" t="inlineStr">
        <is>
          <t>TRANSPORT GYPSE</t>
        </is>
      </c>
      <c r="C165" s="1187" t="n">
        <v>0</v>
      </c>
      <c r="D165" s="1187" t="n">
        <v>0</v>
      </c>
      <c r="E165" s="1187" t="n">
        <v>306491519</v>
      </c>
      <c r="F165" s="1187" t="n">
        <v>0</v>
      </c>
      <c r="G165" s="1187" t="n">
        <v>306491519</v>
      </c>
      <c r="H165" s="1187" t="n">
        <v>0</v>
      </c>
    </row>
    <row r="166" ht="14.45" customHeight="1" s="1225">
      <c r="A166" s="1436" t="inlineStr">
        <is>
          <t>602504</t>
        </is>
      </c>
      <c r="B166" s="1436" t="inlineStr">
        <is>
          <t>TRANSPORT CALCAIRE</t>
        </is>
      </c>
      <c r="C166" s="1187" t="n">
        <v>0</v>
      </c>
      <c r="D166" s="1187" t="n">
        <v>0</v>
      </c>
      <c r="E166" s="1187" t="n">
        <v>398150020</v>
      </c>
      <c r="F166" s="1187" t="n">
        <v>0</v>
      </c>
      <c r="G166" s="1187" t="n">
        <v>398150020</v>
      </c>
      <c r="H166" s="1187" t="n">
        <v>0</v>
      </c>
    </row>
    <row r="167" ht="14.45" customHeight="1" s="1225">
      <c r="A167" s="1436" t="inlineStr">
        <is>
          <t>602505</t>
        </is>
      </c>
      <c r="B167" s="1436" t="inlineStr">
        <is>
          <t>TRANSIT CLINKER</t>
        </is>
      </c>
      <c r="C167" s="1187" t="n">
        <v>0</v>
      </c>
      <c r="D167" s="1187" t="n">
        <v>0</v>
      </c>
      <c r="E167" s="1187" t="n">
        <v>1316436928</v>
      </c>
      <c r="F167" s="1187" t="n">
        <v>0</v>
      </c>
      <c r="G167" s="1187" t="n">
        <v>1316436928</v>
      </c>
      <c r="H167" s="1187" t="n">
        <v>0</v>
      </c>
    </row>
    <row r="168" ht="14.45" customHeight="1" s="1225">
      <c r="A168" s="1436" t="inlineStr">
        <is>
          <t>602506</t>
        </is>
      </c>
      <c r="B168" s="1436" t="inlineStr">
        <is>
          <t>TRANSIT GYPSE</t>
        </is>
      </c>
      <c r="C168" s="1187" t="n">
        <v>0</v>
      </c>
      <c r="D168" s="1187" t="n">
        <v>0</v>
      </c>
      <c r="E168" s="1187" t="n">
        <v>116191078</v>
      </c>
      <c r="F168" s="1187" t="n">
        <v>0</v>
      </c>
      <c r="G168" s="1187" t="n">
        <v>116191078</v>
      </c>
      <c r="H168" s="1187" t="n">
        <v>0</v>
      </c>
    </row>
    <row r="169" ht="14.45" customHeight="1" s="1225">
      <c r="A169" s="1436" t="inlineStr">
        <is>
          <t>602507</t>
        </is>
      </c>
      <c r="B169" s="1436" t="inlineStr">
        <is>
          <t>AUTRES FRAIS MAT 1ERS</t>
        </is>
      </c>
      <c r="C169" s="1187" t="n">
        <v>0</v>
      </c>
      <c r="D169" s="1187" t="n">
        <v>0</v>
      </c>
      <c r="E169" s="1187" t="n">
        <v>312178549</v>
      </c>
      <c r="F169" s="1187" t="n">
        <v>0</v>
      </c>
      <c r="G169" s="1187" t="n">
        <v>312178549</v>
      </c>
      <c r="H169" s="1187" t="n">
        <v>0</v>
      </c>
    </row>
    <row r="170" ht="14.45" customHeight="1" s="1225">
      <c r="A170" s="1436" t="inlineStr">
        <is>
          <t>602508</t>
        </is>
      </c>
      <c r="B170" s="1436" t="inlineStr">
        <is>
          <t>ASSURANCE SUR CLINKER</t>
        </is>
      </c>
      <c r="C170" s="1187" t="n">
        <v>0</v>
      </c>
      <c r="D170" s="1187" t="n">
        <v>0</v>
      </c>
      <c r="E170" s="1187" t="n">
        <v>9359375</v>
      </c>
      <c r="F170" s="1187" t="n">
        <v>0</v>
      </c>
      <c r="G170" s="1187" t="n">
        <v>9359375</v>
      </c>
      <c r="H170" s="1187" t="n">
        <v>0</v>
      </c>
    </row>
    <row r="171" ht="14.45" customHeight="1" s="1225">
      <c r="A171" s="1436" t="inlineStr">
        <is>
          <t>603201</t>
        </is>
      </c>
      <c r="B171" s="1436" t="inlineStr">
        <is>
          <t>VARIATION STOCK CLINKER</t>
        </is>
      </c>
      <c r="C171" s="1187" t="n">
        <v>0</v>
      </c>
      <c r="D171" s="1187" t="n">
        <v>0</v>
      </c>
      <c r="E171" s="1187" t="n">
        <v>0</v>
      </c>
      <c r="F171" s="1187" t="n">
        <v>4171528799</v>
      </c>
      <c r="G171" s="1187" t="n">
        <v>0</v>
      </c>
      <c r="H171" s="1187" t="n">
        <v>4171528799</v>
      </c>
    </row>
    <row r="172" ht="14.45" customHeight="1" s="1225">
      <c r="A172" s="1436" t="inlineStr">
        <is>
          <t>603220</t>
        </is>
      </c>
      <c r="B172" s="1436" t="inlineStr">
        <is>
          <t>VARIAT° STOCK GYPSE</t>
        </is>
      </c>
      <c r="C172" s="1187" t="n">
        <v>0</v>
      </c>
      <c r="D172" s="1187" t="n">
        <v>0</v>
      </c>
      <c r="E172" s="1187" t="n">
        <v>0</v>
      </c>
      <c r="F172" s="1187" t="n">
        <v>812728654</v>
      </c>
      <c r="G172" s="1187" t="n">
        <v>0</v>
      </c>
      <c r="H172" s="1187" t="n">
        <v>812728654</v>
      </c>
    </row>
    <row r="173" ht="14.45" customHeight="1" s="1225">
      <c r="A173" s="1436" t="inlineStr">
        <is>
          <t>603230</t>
        </is>
      </c>
      <c r="B173" s="1436" t="inlineStr">
        <is>
          <t>VARIAT° STOCK CALCAIRE</t>
        </is>
      </c>
      <c r="C173" s="1187" t="n">
        <v>0</v>
      </c>
      <c r="D173" s="1187" t="n">
        <v>0</v>
      </c>
      <c r="E173" s="1187" t="n">
        <v>22651650</v>
      </c>
      <c r="F173" s="1187" t="n">
        <v>37596168</v>
      </c>
      <c r="G173" s="1187" t="n">
        <v>0</v>
      </c>
      <c r="H173" s="1187" t="n">
        <v>14944518</v>
      </c>
    </row>
    <row r="174" ht="14.45" customHeight="1" s="1225">
      <c r="A174" s="1436" t="inlineStr">
        <is>
          <t>603240</t>
        </is>
      </c>
      <c r="B174" s="1436" t="inlineStr">
        <is>
          <t>VARIAT° STOCK SACS VIDES</t>
        </is>
      </c>
      <c r="C174" s="1187" t="n">
        <v>0</v>
      </c>
      <c r="D174" s="1187" t="n">
        <v>0</v>
      </c>
      <c r="E174" s="1187" t="n">
        <v>0</v>
      </c>
      <c r="F174" s="1187" t="n">
        <v>166973440</v>
      </c>
      <c r="G174" s="1187" t="n">
        <v>0</v>
      </c>
      <c r="H174" s="1187" t="n">
        <v>166973440</v>
      </c>
    </row>
    <row r="175" ht="14.45" customHeight="1" s="1225">
      <c r="A175" s="1436" t="inlineStr">
        <is>
          <t>603250</t>
        </is>
      </c>
      <c r="B175" s="1436" t="inlineStr">
        <is>
          <t>VARIAT° STOCK DDO/GASOIL</t>
        </is>
      </c>
      <c r="C175" s="1187" t="n">
        <v>0</v>
      </c>
      <c r="D175" s="1187" t="n">
        <v>0</v>
      </c>
      <c r="E175" s="1187" t="n">
        <v>0</v>
      </c>
      <c r="F175" s="1187" t="n">
        <v>15822000</v>
      </c>
      <c r="G175" s="1187" t="n">
        <v>0</v>
      </c>
      <c r="H175" s="1187" t="n">
        <v>15822000</v>
      </c>
    </row>
    <row r="176" ht="14.45" customHeight="1" s="1225">
      <c r="A176" s="1436" t="inlineStr">
        <is>
          <t>603300</t>
        </is>
      </c>
      <c r="B176" s="1436" t="inlineStr">
        <is>
          <t>Variations des stocks d'autres</t>
        </is>
      </c>
      <c r="C176" s="1187" t="n">
        <v>0</v>
      </c>
      <c r="D176" s="1187" t="n">
        <v>0</v>
      </c>
      <c r="E176" s="1187" t="n">
        <v>175899812</v>
      </c>
      <c r="F176" s="1187" t="n">
        <v>0</v>
      </c>
      <c r="G176" s="1187" t="n">
        <v>175899812</v>
      </c>
      <c r="H176" s="1187" t="n">
        <v>0</v>
      </c>
    </row>
    <row r="177" ht="14.45" customHeight="1" s="1225">
      <c r="A177" s="1436" t="inlineStr">
        <is>
          <t>603381</t>
        </is>
      </c>
      <c r="B177" s="1436" t="inlineStr">
        <is>
          <t>VARIAT DE STOCKS DE PIECES REC</t>
        </is>
      </c>
      <c r="C177" s="1187" t="n">
        <v>0</v>
      </c>
      <c r="D177" s="1187" t="n">
        <v>0</v>
      </c>
      <c r="E177" s="1187" t="n">
        <v>0</v>
      </c>
      <c r="F177" s="1187" t="n">
        <v>194278580</v>
      </c>
      <c r="G177" s="1187" t="n">
        <v>0</v>
      </c>
      <c r="H177" s="1187" t="n">
        <v>194278580</v>
      </c>
    </row>
    <row r="178" ht="14.45" customHeight="1" s="1225">
      <c r="A178" s="1436" t="inlineStr">
        <is>
          <t>603382</t>
        </is>
      </c>
      <c r="B178" s="1436" t="inlineStr">
        <is>
          <t>VARIAT° STOCK GYPSE EN COURS</t>
        </is>
      </c>
      <c r="C178" s="1187" t="n">
        <v>0</v>
      </c>
      <c r="D178" s="1187" t="n">
        <v>0</v>
      </c>
      <c r="E178" s="1187" t="n">
        <v>1636110170</v>
      </c>
      <c r="F178" s="1187" t="n">
        <v>0</v>
      </c>
      <c r="G178" s="1187" t="n">
        <v>1636110170</v>
      </c>
      <c r="H178" s="1187" t="n">
        <v>0</v>
      </c>
    </row>
    <row r="179" ht="14.45" customHeight="1" s="1225">
      <c r="A179" s="1436" t="inlineStr">
        <is>
          <t>603383</t>
        </is>
      </c>
      <c r="B179" s="1436" t="inlineStr">
        <is>
          <t>VARIAT° STOCK CLINKER EN COURS</t>
        </is>
      </c>
      <c r="C179" s="1187" t="n">
        <v>0</v>
      </c>
      <c r="D179" s="1187" t="n">
        <v>0</v>
      </c>
      <c r="E179" s="1187" t="n">
        <v>2507850429</v>
      </c>
      <c r="F179" s="1187" t="n">
        <v>0</v>
      </c>
      <c r="G179" s="1187" t="n">
        <v>2507850429</v>
      </c>
      <c r="H179" s="1187" t="n">
        <v>0</v>
      </c>
    </row>
    <row r="180" ht="14.45" customHeight="1" s="1225">
      <c r="A180" s="1436" t="inlineStr">
        <is>
          <t>604300</t>
        </is>
      </c>
      <c r="B180" s="1436" t="inlineStr">
        <is>
          <t>Produits d'entretien</t>
        </is>
      </c>
      <c r="C180" s="1187" t="n">
        <v>0</v>
      </c>
      <c r="D180" s="1187" t="n">
        <v>0</v>
      </c>
      <c r="E180" s="1187" t="n">
        <v>140000</v>
      </c>
      <c r="F180" s="1187" t="n">
        <v>0</v>
      </c>
      <c r="G180" s="1187" t="n">
        <v>140000</v>
      </c>
      <c r="H180" s="1187" t="n">
        <v>0</v>
      </c>
    </row>
    <row r="181" ht="14.45" customHeight="1" s="1225">
      <c r="A181" s="1436" t="inlineStr">
        <is>
          <t>604400</t>
        </is>
      </c>
      <c r="B181" s="1436" t="inlineStr">
        <is>
          <t>Fournitures d'atelier et d'usi</t>
        </is>
      </c>
      <c r="C181" s="1187" t="n">
        <v>0</v>
      </c>
      <c r="D181" s="1187" t="n">
        <v>0</v>
      </c>
      <c r="E181" s="1187" t="n">
        <v>20337035</v>
      </c>
      <c r="F181" s="1187" t="n">
        <v>0</v>
      </c>
      <c r="G181" s="1187" t="n">
        <v>20337035</v>
      </c>
      <c r="H181" s="1187" t="n">
        <v>0</v>
      </c>
    </row>
    <row r="182" ht="14.45" customHeight="1" s="1225">
      <c r="A182" s="1436" t="inlineStr">
        <is>
          <t>604401</t>
        </is>
      </c>
      <c r="B182" s="1436" t="inlineStr">
        <is>
          <t>MATERIEL DE PROTECTION</t>
        </is>
      </c>
      <c r="C182" s="1187" t="n">
        <v>0</v>
      </c>
      <c r="D182" s="1187" t="n">
        <v>0</v>
      </c>
      <c r="E182" s="1187" t="n">
        <v>5071000</v>
      </c>
      <c r="F182" s="1187" t="n">
        <v>0</v>
      </c>
      <c r="G182" s="1187" t="n">
        <v>5071000</v>
      </c>
      <c r="H182" s="1187" t="n">
        <v>0</v>
      </c>
    </row>
    <row r="183" ht="14.45" customHeight="1" s="1225">
      <c r="A183" s="1436" t="inlineStr">
        <is>
          <t>604402</t>
        </is>
      </c>
      <c r="B183" s="1436" t="inlineStr">
        <is>
          <t>PRODUITS DE LABORATOIRE</t>
        </is>
      </c>
      <c r="C183" s="1187" t="n">
        <v>0</v>
      </c>
      <c r="D183" s="1187" t="n">
        <v>0</v>
      </c>
      <c r="E183" s="1187" t="n">
        <v>1694820</v>
      </c>
      <c r="F183" s="1187" t="n">
        <v>0</v>
      </c>
      <c r="G183" s="1187" t="n">
        <v>1694820</v>
      </c>
      <c r="H183" s="1187" t="n">
        <v>0</v>
      </c>
    </row>
    <row r="184" ht="14.45" customHeight="1" s="1225">
      <c r="A184" s="1436" t="inlineStr">
        <is>
          <t>604502</t>
        </is>
      </c>
      <c r="B184" s="1436" t="inlineStr">
        <is>
          <t>DROITS DE DOUANES AUTRES ACHAT</t>
        </is>
      </c>
      <c r="C184" s="1187" t="n">
        <v>0</v>
      </c>
      <c r="D184" s="1187" t="n">
        <v>0</v>
      </c>
      <c r="E184" s="1187" t="n">
        <v>3334564</v>
      </c>
      <c r="F184" s="1187" t="n">
        <v>0</v>
      </c>
      <c r="G184" s="1187" t="n">
        <v>3334564</v>
      </c>
      <c r="H184" s="1187" t="n">
        <v>0</v>
      </c>
    </row>
    <row r="185" ht="14.45" customHeight="1" s="1225">
      <c r="A185" s="1436" t="inlineStr">
        <is>
          <t>604503</t>
        </is>
      </c>
      <c r="B185" s="1436" t="inlineStr">
        <is>
          <t>ASSURANCE AUTRES ACHATS</t>
        </is>
      </c>
      <c r="C185" s="1187" t="n">
        <v>0</v>
      </c>
      <c r="D185" s="1187" t="n">
        <v>0</v>
      </c>
      <c r="E185" s="1187" t="n">
        <v>3257006</v>
      </c>
      <c r="F185" s="1187" t="n">
        <v>0</v>
      </c>
      <c r="G185" s="1187" t="n">
        <v>3257006</v>
      </c>
      <c r="H185" s="1187" t="n">
        <v>0</v>
      </c>
    </row>
    <row r="186" ht="14.45" customHeight="1" s="1225">
      <c r="A186" s="1436" t="inlineStr">
        <is>
          <t>604700</t>
        </is>
      </c>
      <c r="B186" s="1436" t="inlineStr">
        <is>
          <t>Fournitures de bureau</t>
        </is>
      </c>
      <c r="C186" s="1187" t="n">
        <v>0</v>
      </c>
      <c r="D186" s="1187" t="n">
        <v>0</v>
      </c>
      <c r="E186" s="1187" t="n">
        <v>9379308</v>
      </c>
      <c r="F186" s="1187" t="n">
        <v>0</v>
      </c>
      <c r="G186" s="1187" t="n">
        <v>9379308</v>
      </c>
      <c r="H186" s="1187" t="n">
        <v>0</v>
      </c>
    </row>
    <row r="187" ht="14.45" customHeight="1" s="1225">
      <c r="A187" s="1436" t="inlineStr">
        <is>
          <t>605100</t>
        </is>
      </c>
      <c r="B187" s="1436" t="inlineStr">
        <is>
          <t>EAU</t>
        </is>
      </c>
      <c r="C187" s="1187" t="n">
        <v>0</v>
      </c>
      <c r="D187" s="1187" t="n">
        <v>0</v>
      </c>
      <c r="E187" s="1187" t="n">
        <v>19434165</v>
      </c>
      <c r="F187" s="1187" t="n">
        <v>0</v>
      </c>
      <c r="G187" s="1187" t="n">
        <v>19434165</v>
      </c>
      <c r="H187" s="1187" t="n">
        <v>0</v>
      </c>
    </row>
    <row r="188" ht="14.45" customHeight="1" s="1225">
      <c r="A188" s="1436" t="inlineStr">
        <is>
          <t>605101</t>
        </is>
      </c>
      <c r="B188" s="1436" t="inlineStr">
        <is>
          <t>EAU DISTILLEE</t>
        </is>
      </c>
      <c r="C188" s="1187" t="n">
        <v>0</v>
      </c>
      <c r="D188" s="1187" t="n">
        <v>0</v>
      </c>
      <c r="E188" s="1187" t="n">
        <v>569352</v>
      </c>
      <c r="F188" s="1187" t="n">
        <v>0</v>
      </c>
      <c r="G188" s="1187" t="n">
        <v>569352</v>
      </c>
      <c r="H188" s="1187" t="n">
        <v>0</v>
      </c>
    </row>
    <row r="189" ht="14.45" customHeight="1" s="1225">
      <c r="A189" s="1436" t="inlineStr">
        <is>
          <t>605200</t>
        </is>
      </c>
      <c r="B189" s="1436" t="inlineStr">
        <is>
          <t>ELECTRICITE</t>
        </is>
      </c>
      <c r="C189" s="1187" t="n">
        <v>0</v>
      </c>
      <c r="D189" s="1187" t="n">
        <v>0</v>
      </c>
      <c r="E189" s="1187" t="n">
        <v>730502210</v>
      </c>
      <c r="F189" s="1187" t="n">
        <v>0</v>
      </c>
      <c r="G189" s="1187" t="n">
        <v>730502210</v>
      </c>
      <c r="H189" s="1187" t="n">
        <v>0</v>
      </c>
    </row>
    <row r="190" ht="14.45" customHeight="1" s="1225">
      <c r="A190" s="1436" t="inlineStr">
        <is>
          <t>605300</t>
        </is>
      </c>
      <c r="B190" s="1436" t="inlineStr">
        <is>
          <t>CARBURANT -DDO USINE</t>
        </is>
      </c>
      <c r="C190" s="1187" t="n">
        <v>0</v>
      </c>
      <c r="D190" s="1187" t="n">
        <v>0</v>
      </c>
      <c r="E190" s="1187" t="n">
        <v>287983320</v>
      </c>
      <c r="F190" s="1187" t="n">
        <v>14850000</v>
      </c>
      <c r="G190" s="1187" t="n">
        <v>273133320</v>
      </c>
      <c r="H190" s="1187" t="n">
        <v>0</v>
      </c>
    </row>
    <row r="191" ht="14.45" customHeight="1" s="1225">
      <c r="A191" s="1436" t="inlineStr">
        <is>
          <t>605301</t>
        </is>
      </c>
      <c r="B191" s="1436" t="inlineStr">
        <is>
          <t>CARBURANT -TRANSPORTEURS</t>
        </is>
      </c>
      <c r="C191" s="1187" t="n">
        <v>0</v>
      </c>
      <c r="D191" s="1187" t="n">
        <v>0</v>
      </c>
      <c r="E191" s="1187" t="n">
        <v>1105128376</v>
      </c>
      <c r="F191" s="1187" t="n">
        <v>0</v>
      </c>
      <c r="G191" s="1187" t="n">
        <v>1105128376</v>
      </c>
      <c r="H191" s="1187" t="n">
        <v>0</v>
      </c>
    </row>
    <row r="192" ht="14.45" customHeight="1" s="1225">
      <c r="A192" s="1436" t="inlineStr">
        <is>
          <t>605310</t>
        </is>
      </c>
      <c r="B192" s="1436" t="inlineStr">
        <is>
          <t>CARBURANT- VEHICULE DE SERVICE</t>
        </is>
      </c>
      <c r="C192" s="1187" t="n">
        <v>0</v>
      </c>
      <c r="D192" s="1187" t="n">
        <v>0</v>
      </c>
      <c r="E192" s="1187" t="n">
        <v>23738549</v>
      </c>
      <c r="F192" s="1187" t="n">
        <v>0</v>
      </c>
      <c r="G192" s="1187" t="n">
        <v>23738549</v>
      </c>
      <c r="H192" s="1187" t="n">
        <v>0</v>
      </c>
    </row>
    <row r="193" ht="14.45" customHeight="1" s="1225">
      <c r="A193" s="1436" t="inlineStr">
        <is>
          <t>605311</t>
        </is>
      </c>
      <c r="B193" s="1436" t="inlineStr">
        <is>
          <t>CARBURANT-ESSENCE DOTATIONS</t>
        </is>
      </c>
      <c r="C193" s="1187" t="n">
        <v>0</v>
      </c>
      <c r="D193" s="1187" t="n">
        <v>0</v>
      </c>
      <c r="E193" s="1187" t="n">
        <v>5361067</v>
      </c>
      <c r="F193" s="1187" t="n">
        <v>0</v>
      </c>
      <c r="G193" s="1187" t="n">
        <v>5361067</v>
      </c>
      <c r="H193" s="1187" t="n">
        <v>0</v>
      </c>
    </row>
    <row r="194" ht="14.45" customHeight="1" s="1225">
      <c r="A194" s="1436" t="inlineStr">
        <is>
          <t>605320</t>
        </is>
      </c>
      <c r="B194" s="1436" t="inlineStr">
        <is>
          <t>LUBRIFIANTS</t>
        </is>
      </c>
      <c r="C194" s="1187" t="n">
        <v>0</v>
      </c>
      <c r="D194" s="1187" t="n">
        <v>0</v>
      </c>
      <c r="E194" s="1187" t="n">
        <v>15914949</v>
      </c>
      <c r="F194" s="1187" t="n">
        <v>0</v>
      </c>
      <c r="G194" s="1187" t="n">
        <v>15914949</v>
      </c>
      <c r="H194" s="1187" t="n">
        <v>0</v>
      </c>
    </row>
    <row r="195" ht="14.45" customHeight="1" s="1225">
      <c r="A195" s="1436" t="inlineStr">
        <is>
          <t>605400</t>
        </is>
      </c>
      <c r="B195" s="1436" t="inlineStr">
        <is>
          <t>PRODUITS D'ENTRETIEN</t>
        </is>
      </c>
      <c r="C195" s="1187" t="n">
        <v>0</v>
      </c>
      <c r="D195" s="1187" t="n">
        <v>0</v>
      </c>
      <c r="E195" s="1187" t="n">
        <v>2332767</v>
      </c>
      <c r="F195" s="1187" t="n">
        <v>0</v>
      </c>
      <c r="G195" s="1187" t="n">
        <v>2332767</v>
      </c>
      <c r="H195" s="1187" t="n">
        <v>0</v>
      </c>
    </row>
    <row r="196" ht="14.45" customHeight="1" s="1225">
      <c r="A196" s="1436" t="inlineStr">
        <is>
          <t>605500</t>
        </is>
      </c>
      <c r="B196" s="1436" t="inlineStr">
        <is>
          <t>FOURNITURES DE BUREAU</t>
        </is>
      </c>
      <c r="C196" s="1187" t="n">
        <v>0</v>
      </c>
      <c r="D196" s="1187" t="n">
        <v>0</v>
      </c>
      <c r="E196" s="1187" t="n">
        <v>37302500</v>
      </c>
      <c r="F196" s="1187" t="n">
        <v>0</v>
      </c>
      <c r="G196" s="1187" t="n">
        <v>37302500</v>
      </c>
      <c r="H196" s="1187" t="n">
        <v>0</v>
      </c>
    </row>
    <row r="197" ht="14.45" customHeight="1" s="1225">
      <c r="A197" s="1436" t="inlineStr">
        <is>
          <t>605600</t>
        </is>
      </c>
      <c r="B197" s="1436" t="inlineStr">
        <is>
          <t>Achats de petit matériel et ou</t>
        </is>
      </c>
      <c r="C197" s="1187" t="n">
        <v>0</v>
      </c>
      <c r="D197" s="1187" t="n">
        <v>0</v>
      </c>
      <c r="E197" s="1187" t="n">
        <v>28787852</v>
      </c>
      <c r="F197" s="1187" t="n">
        <v>0</v>
      </c>
      <c r="G197" s="1187" t="n">
        <v>28787852</v>
      </c>
      <c r="H197" s="1187" t="n">
        <v>0</v>
      </c>
    </row>
    <row r="198" ht="14.45" customHeight="1" s="1225">
      <c r="A198" s="1436" t="inlineStr">
        <is>
          <t>605700</t>
        </is>
      </c>
      <c r="B198" s="1436" t="inlineStr">
        <is>
          <t>Achats d'études et prestations</t>
        </is>
      </c>
      <c r="C198" s="1187" t="n">
        <v>0</v>
      </c>
      <c r="D198" s="1187" t="n">
        <v>0</v>
      </c>
      <c r="E198" s="1187" t="n">
        <v>129476092</v>
      </c>
      <c r="F198" s="1187" t="n">
        <v>73970240</v>
      </c>
      <c r="G198" s="1187" t="n">
        <v>55505852</v>
      </c>
      <c r="H198" s="1187" t="n">
        <v>0</v>
      </c>
    </row>
    <row r="199" ht="14.45" customHeight="1" s="1225">
      <c r="A199" s="1436" t="inlineStr">
        <is>
          <t>605800</t>
        </is>
      </c>
      <c r="B199" s="1436" t="inlineStr">
        <is>
          <t>Achats de travaux, matériels e</t>
        </is>
      </c>
      <c r="C199" s="1187" t="n">
        <v>0</v>
      </c>
      <c r="D199" s="1187" t="n">
        <v>0</v>
      </c>
      <c r="E199" s="1187" t="n">
        <v>799405975</v>
      </c>
      <c r="F199" s="1187" t="n">
        <v>0</v>
      </c>
      <c r="G199" s="1187" t="n">
        <v>799405975</v>
      </c>
      <c r="H199" s="1187" t="n">
        <v>0</v>
      </c>
    </row>
    <row r="200" ht="14.45" customHeight="1" s="1225">
      <c r="A200" s="1436" t="inlineStr">
        <is>
          <t>608100</t>
        </is>
      </c>
      <c r="B200" s="1436" t="inlineStr">
        <is>
          <t>ACHAT SACS VIDES</t>
        </is>
      </c>
      <c r="C200" s="1187" t="n">
        <v>0</v>
      </c>
      <c r="D200" s="1187" t="n">
        <v>0</v>
      </c>
      <c r="E200" s="1187" t="n">
        <v>1129513714</v>
      </c>
      <c r="F200" s="1187" t="n">
        <v>0</v>
      </c>
      <c r="G200" s="1187" t="n">
        <v>1129513714</v>
      </c>
      <c r="H200" s="1187" t="n">
        <v>0</v>
      </c>
    </row>
    <row r="201" ht="14.45" customHeight="1" s="1225">
      <c r="A201" s="1436" t="inlineStr">
        <is>
          <t>608501</t>
        </is>
      </c>
      <c r="B201" s="1436" t="inlineStr">
        <is>
          <t>TRANSIT SACS VIDES</t>
        </is>
      </c>
      <c r="C201" s="1187" t="n">
        <v>0</v>
      </c>
      <c r="D201" s="1187" t="n">
        <v>0</v>
      </c>
      <c r="E201" s="1187" t="n">
        <v>51361966</v>
      </c>
      <c r="F201" s="1187" t="n">
        <v>0</v>
      </c>
      <c r="G201" s="1187" t="n">
        <v>51361966</v>
      </c>
      <c r="H201" s="1187" t="n">
        <v>0</v>
      </c>
    </row>
    <row r="202" ht="14.45" customHeight="1" s="1225">
      <c r="A202" s="1436" t="inlineStr">
        <is>
          <t>612000</t>
        </is>
      </c>
      <c r="B202" s="1436" t="inlineStr">
        <is>
          <t>TRANSPORTS SUR VENTES</t>
        </is>
      </c>
      <c r="C202" s="1187" t="n">
        <v>0</v>
      </c>
      <c r="D202" s="1187" t="n">
        <v>0</v>
      </c>
      <c r="E202" s="1187" t="n">
        <v>1009293540</v>
      </c>
      <c r="F202" s="1187" t="n">
        <v>0</v>
      </c>
      <c r="G202" s="1187" t="n">
        <v>1009293540</v>
      </c>
      <c r="H202" s="1187" t="n">
        <v>0</v>
      </c>
    </row>
    <row r="203" ht="14.45" customHeight="1" s="1225">
      <c r="A203" s="1436" t="inlineStr">
        <is>
          <t>616000</t>
        </is>
      </c>
      <c r="B203" s="1436" t="inlineStr">
        <is>
          <t>TRANSPORTS DE PLIS</t>
        </is>
      </c>
      <c r="C203" s="1187" t="n">
        <v>0</v>
      </c>
      <c r="D203" s="1187" t="n">
        <v>0</v>
      </c>
      <c r="E203" s="1187" t="n">
        <v>483400</v>
      </c>
      <c r="F203" s="1187" t="n">
        <v>0</v>
      </c>
      <c r="G203" s="1187" t="n">
        <v>483400</v>
      </c>
      <c r="H203" s="1187" t="n">
        <v>0</v>
      </c>
    </row>
    <row r="204" ht="14.45" customHeight="1" s="1225">
      <c r="A204" s="1436" t="inlineStr">
        <is>
          <t>618000</t>
        </is>
      </c>
      <c r="B204" s="1436" t="inlineStr">
        <is>
          <t>AUTRES FRAIS DE TRANSPORT</t>
        </is>
      </c>
      <c r="C204" s="1187" t="n">
        <v>0</v>
      </c>
      <c r="D204" s="1187" t="n">
        <v>0</v>
      </c>
      <c r="E204" s="1187" t="n">
        <v>10215000</v>
      </c>
      <c r="F204" s="1187" t="n">
        <v>0</v>
      </c>
      <c r="G204" s="1187" t="n">
        <v>10215000</v>
      </c>
      <c r="H204" s="1187" t="n">
        <v>0</v>
      </c>
    </row>
    <row r="205" ht="14.45" customHeight="1" s="1225">
      <c r="A205" s="1436" t="inlineStr">
        <is>
          <t>618100</t>
        </is>
      </c>
      <c r="B205" s="1436" t="inlineStr">
        <is>
          <t>Voyages et déplacements</t>
        </is>
      </c>
      <c r="C205" s="1187" t="n">
        <v>0</v>
      </c>
      <c r="D205" s="1187" t="n">
        <v>0</v>
      </c>
      <c r="E205" s="1187" t="n">
        <v>37800900</v>
      </c>
      <c r="F205" s="1187" t="n">
        <v>0</v>
      </c>
      <c r="G205" s="1187" t="n">
        <v>37800900</v>
      </c>
      <c r="H205" s="1187" t="n">
        <v>0</v>
      </c>
    </row>
    <row r="206" ht="14.45" customHeight="1" s="1225">
      <c r="A206" s="1436" t="inlineStr">
        <is>
          <t>622100</t>
        </is>
      </c>
      <c r="B206" s="1436" t="inlineStr">
        <is>
          <t>Locations de terrains</t>
        </is>
      </c>
      <c r="C206" s="1187" t="n">
        <v>0</v>
      </c>
      <c r="D206" s="1187" t="n">
        <v>0</v>
      </c>
      <c r="E206" s="1187" t="n">
        <v>71376424</v>
      </c>
      <c r="F206" s="1187" t="n">
        <v>0</v>
      </c>
      <c r="G206" s="1187" t="n">
        <v>71376424</v>
      </c>
      <c r="H206" s="1187" t="n">
        <v>0</v>
      </c>
    </row>
    <row r="207" ht="14.45" customHeight="1" s="1225">
      <c r="A207" s="1436" t="inlineStr">
        <is>
          <t>622200</t>
        </is>
      </c>
      <c r="B207" s="1436" t="inlineStr">
        <is>
          <t>Locations de bâtiments</t>
        </is>
      </c>
      <c r="C207" s="1187" t="n">
        <v>0</v>
      </c>
      <c r="D207" s="1187" t="n">
        <v>0</v>
      </c>
      <c r="E207" s="1187" t="n">
        <v>12231500</v>
      </c>
      <c r="F207" s="1187" t="n">
        <v>326375</v>
      </c>
      <c r="G207" s="1187" t="n">
        <v>11905125</v>
      </c>
      <c r="H207" s="1187" t="n">
        <v>0</v>
      </c>
    </row>
    <row r="208" ht="14.45" customHeight="1" s="1225">
      <c r="A208" s="1436" t="inlineStr">
        <is>
          <t>622300</t>
        </is>
      </c>
      <c r="B208" s="1436" t="inlineStr">
        <is>
          <t>Locations de matériels et outi</t>
        </is>
      </c>
      <c r="C208" s="1187" t="n">
        <v>0</v>
      </c>
      <c r="D208" s="1187" t="n">
        <v>0</v>
      </c>
      <c r="E208" s="1187" t="n">
        <v>289365251</v>
      </c>
      <c r="F208" s="1187" t="n">
        <v>0</v>
      </c>
      <c r="G208" s="1187" t="n">
        <v>289365251</v>
      </c>
      <c r="H208" s="1187" t="n">
        <v>0</v>
      </c>
    </row>
    <row r="209" ht="14.45" customHeight="1" s="1225">
      <c r="A209" s="1436" t="inlineStr">
        <is>
          <t>622301</t>
        </is>
      </c>
      <c r="B209" s="1436" t="inlineStr">
        <is>
          <t>LOCATION DE CHARGEUR</t>
        </is>
      </c>
      <c r="C209" s="1187" t="n">
        <v>0</v>
      </c>
      <c r="D209" s="1187" t="n">
        <v>0</v>
      </c>
      <c r="E209" s="1187" t="n">
        <v>57264800</v>
      </c>
      <c r="F209" s="1187" t="n">
        <v>0</v>
      </c>
      <c r="G209" s="1187" t="n">
        <v>57264800</v>
      </c>
      <c r="H209" s="1187" t="n">
        <v>0</v>
      </c>
    </row>
    <row r="210" ht="14.45" customHeight="1" s="1225">
      <c r="A210" s="1436" t="inlineStr">
        <is>
          <t>622302</t>
        </is>
      </c>
      <c r="B210" s="1436" t="inlineStr">
        <is>
          <t>LOCATION VEHICULE INDUSTRIEL</t>
        </is>
      </c>
      <c r="C210" s="1187" t="n">
        <v>0</v>
      </c>
      <c r="D210" s="1187" t="n">
        <v>0</v>
      </c>
      <c r="E210" s="1187" t="n">
        <v>200000</v>
      </c>
      <c r="F210" s="1187" t="n">
        <v>0</v>
      </c>
      <c r="G210" s="1187" t="n">
        <v>200000</v>
      </c>
      <c r="H210" s="1187" t="n">
        <v>0</v>
      </c>
    </row>
    <row r="211" ht="14.45" customHeight="1" s="1225">
      <c r="A211" s="1436" t="inlineStr">
        <is>
          <t>624100</t>
        </is>
      </c>
      <c r="B211" s="1436" t="inlineStr">
        <is>
          <t>ENTRETIEN ET REPAR BIENS IMMOS</t>
        </is>
      </c>
      <c r="C211" s="1187" t="n">
        <v>0</v>
      </c>
      <c r="D211" s="1187" t="n">
        <v>0</v>
      </c>
      <c r="E211" s="1187" t="n">
        <v>41291009</v>
      </c>
      <c r="F211" s="1187" t="n">
        <v>0</v>
      </c>
      <c r="G211" s="1187" t="n">
        <v>41291009</v>
      </c>
      <c r="H211" s="1187" t="n">
        <v>0</v>
      </c>
    </row>
    <row r="212" ht="14.45" customHeight="1" s="1225">
      <c r="A212" s="1436" t="inlineStr">
        <is>
          <t>624101</t>
        </is>
      </c>
      <c r="B212" s="1436" t="inlineStr">
        <is>
          <t>ENT ET REPARATION INDUSTRIEL</t>
        </is>
      </c>
      <c r="C212" s="1187" t="n">
        <v>0</v>
      </c>
      <c r="D212" s="1187" t="n">
        <v>0</v>
      </c>
      <c r="E212" s="1187" t="n">
        <v>17232288</v>
      </c>
      <c r="F212" s="1187" t="n">
        <v>0</v>
      </c>
      <c r="G212" s="1187" t="n">
        <v>17232288</v>
      </c>
      <c r="H212" s="1187" t="n">
        <v>0</v>
      </c>
    </row>
    <row r="213" ht="14.45" customHeight="1" s="1225">
      <c r="A213" s="1436" t="inlineStr">
        <is>
          <t>624200</t>
        </is>
      </c>
      <c r="B213" s="1436" t="inlineStr">
        <is>
          <t>ENTRETIEN ET REPAR BIENS MOBIL</t>
        </is>
      </c>
      <c r="C213" s="1187" t="n">
        <v>0</v>
      </c>
      <c r="D213" s="1187" t="n">
        <v>0</v>
      </c>
      <c r="E213" s="1187" t="n">
        <v>15252650</v>
      </c>
      <c r="F213" s="1187" t="n">
        <v>0</v>
      </c>
      <c r="G213" s="1187" t="n">
        <v>15252650</v>
      </c>
      <c r="H213" s="1187" t="n">
        <v>0</v>
      </c>
    </row>
    <row r="214" ht="14.45" customHeight="1" s="1225">
      <c r="A214" s="1436" t="inlineStr">
        <is>
          <t>624300</t>
        </is>
      </c>
      <c r="B214" s="1436" t="inlineStr">
        <is>
          <t>Maintenance</t>
        </is>
      </c>
      <c r="C214" s="1187" t="n">
        <v>0</v>
      </c>
      <c r="D214" s="1187" t="n">
        <v>0</v>
      </c>
      <c r="E214" s="1187" t="n">
        <v>31087883</v>
      </c>
      <c r="F214" s="1187" t="n">
        <v>0</v>
      </c>
      <c r="G214" s="1187" t="n">
        <v>31087883</v>
      </c>
      <c r="H214" s="1187" t="n">
        <v>0</v>
      </c>
    </row>
    <row r="215" ht="14.45" customHeight="1" s="1225">
      <c r="A215" s="1436" t="inlineStr">
        <is>
          <t>624800</t>
        </is>
      </c>
      <c r="B215" s="1436" t="inlineStr">
        <is>
          <t>Autres entretiens et réparatio</t>
        </is>
      </c>
      <c r="C215" s="1187" t="n">
        <v>0</v>
      </c>
      <c r="D215" s="1187" t="n">
        <v>0</v>
      </c>
      <c r="E215" s="1187" t="n">
        <v>1205600</v>
      </c>
      <c r="F215" s="1187" t="n">
        <v>0</v>
      </c>
      <c r="G215" s="1187" t="n">
        <v>1205600</v>
      </c>
      <c r="H215" s="1187" t="n">
        <v>0</v>
      </c>
    </row>
    <row r="216" ht="14.45" customHeight="1" s="1225">
      <c r="A216" s="1436" t="inlineStr">
        <is>
          <t>625000</t>
        </is>
      </c>
      <c r="B216" s="1436" t="inlineStr">
        <is>
          <t>PRIMES D'ASSURANCE</t>
        </is>
      </c>
      <c r="C216" s="1187" t="n">
        <v>0</v>
      </c>
      <c r="D216" s="1187" t="n">
        <v>0</v>
      </c>
      <c r="E216" s="1187" t="n">
        <v>4143352</v>
      </c>
      <c r="F216" s="1187" t="n">
        <v>0</v>
      </c>
      <c r="G216" s="1187" t="n">
        <v>4143352</v>
      </c>
      <c r="H216" s="1187" t="n">
        <v>0</v>
      </c>
    </row>
    <row r="217" ht="14.45" customHeight="1" s="1225">
      <c r="A217" s="1436" t="inlineStr">
        <is>
          <t>625200</t>
        </is>
      </c>
      <c r="B217" s="1436" t="inlineStr">
        <is>
          <t>Assurances matériel de transpo</t>
        </is>
      </c>
      <c r="C217" s="1187" t="n">
        <v>0</v>
      </c>
      <c r="D217" s="1187" t="n">
        <v>0</v>
      </c>
      <c r="E217" s="1187" t="n">
        <v>35850692</v>
      </c>
      <c r="F217" s="1187" t="n">
        <v>0</v>
      </c>
      <c r="G217" s="1187" t="n">
        <v>35850692</v>
      </c>
      <c r="H217" s="1187" t="n">
        <v>0</v>
      </c>
    </row>
    <row r="218" ht="14.45" customHeight="1" s="1225">
      <c r="A218" s="1436" t="inlineStr">
        <is>
          <t>625800</t>
        </is>
      </c>
      <c r="B218" s="1436" t="inlineStr">
        <is>
          <t>Autres primes d'assurances</t>
        </is>
      </c>
      <c r="C218" s="1187" t="n">
        <v>0</v>
      </c>
      <c r="D218" s="1187" t="n">
        <v>0</v>
      </c>
      <c r="E218" s="1187" t="n">
        <v>34052139</v>
      </c>
      <c r="F218" s="1187" t="n">
        <v>0</v>
      </c>
      <c r="G218" s="1187" t="n">
        <v>34052139</v>
      </c>
      <c r="H218" s="1187" t="n">
        <v>0</v>
      </c>
    </row>
    <row r="219" ht="14.45" customHeight="1" s="1225">
      <c r="A219" s="1436" t="inlineStr">
        <is>
          <t>626500</t>
        </is>
      </c>
      <c r="B219" s="1436" t="inlineStr">
        <is>
          <t>Documentation générale</t>
        </is>
      </c>
      <c r="C219" s="1187" t="n">
        <v>0</v>
      </c>
      <c r="D219" s="1187" t="n">
        <v>0</v>
      </c>
      <c r="E219" s="1187" t="n">
        <v>635000</v>
      </c>
      <c r="F219" s="1187" t="n">
        <v>0</v>
      </c>
      <c r="G219" s="1187" t="n">
        <v>635000</v>
      </c>
      <c r="H219" s="1187" t="n">
        <v>0</v>
      </c>
    </row>
    <row r="220" ht="14.45" customHeight="1" s="1225">
      <c r="A220" s="1436" t="inlineStr">
        <is>
          <t>626600</t>
        </is>
      </c>
      <c r="B220" s="1436" t="inlineStr">
        <is>
          <t>Documentation technique</t>
        </is>
      </c>
      <c r="C220" s="1187" t="n">
        <v>0</v>
      </c>
      <c r="D220" s="1187" t="n">
        <v>0</v>
      </c>
      <c r="E220" s="1187" t="n">
        <v>6538730</v>
      </c>
      <c r="F220" s="1187" t="n">
        <v>0</v>
      </c>
      <c r="G220" s="1187" t="n">
        <v>6538730</v>
      </c>
      <c r="H220" s="1187" t="n">
        <v>0</v>
      </c>
    </row>
    <row r="221" ht="14.45" customHeight="1" s="1225">
      <c r="A221" s="1436" t="inlineStr">
        <is>
          <t>627000</t>
        </is>
      </c>
      <c r="B221" s="1436" t="inlineStr">
        <is>
          <t>PUBLICITÉ, PUBLICATIONS, RELAT</t>
        </is>
      </c>
      <c r="C221" s="1187" t="n">
        <v>0</v>
      </c>
      <c r="D221" s="1187" t="n">
        <v>0</v>
      </c>
      <c r="E221" s="1187" t="n">
        <v>55139900</v>
      </c>
      <c r="F221" s="1187" t="n">
        <v>0</v>
      </c>
      <c r="G221" s="1187" t="n">
        <v>55139900</v>
      </c>
      <c r="H221" s="1187" t="n">
        <v>0</v>
      </c>
    </row>
    <row r="222" ht="14.45" customHeight="1" s="1225">
      <c r="A222" s="1436" t="inlineStr">
        <is>
          <t>627100</t>
        </is>
      </c>
      <c r="B222" s="1436" t="inlineStr">
        <is>
          <t>Annonces, insertions</t>
        </is>
      </c>
      <c r="C222" s="1187" t="n">
        <v>0</v>
      </c>
      <c r="D222" s="1187" t="n">
        <v>0</v>
      </c>
      <c r="E222" s="1187" t="n">
        <v>636950</v>
      </c>
      <c r="F222" s="1187" t="n">
        <v>0</v>
      </c>
      <c r="G222" s="1187" t="n">
        <v>636950</v>
      </c>
      <c r="H222" s="1187" t="n">
        <v>0</v>
      </c>
    </row>
    <row r="223" ht="14.45" customHeight="1" s="1225">
      <c r="A223" s="1436" t="inlineStr">
        <is>
          <t>627200</t>
        </is>
      </c>
      <c r="B223" s="1436" t="inlineStr">
        <is>
          <t>Catalogues, imprimés publicita</t>
        </is>
      </c>
      <c r="C223" s="1187" t="n">
        <v>0</v>
      </c>
      <c r="D223" s="1187" t="n">
        <v>0</v>
      </c>
      <c r="E223" s="1187" t="n">
        <v>1675000</v>
      </c>
      <c r="F223" s="1187" t="n">
        <v>0</v>
      </c>
      <c r="G223" s="1187" t="n">
        <v>1675000</v>
      </c>
      <c r="H223" s="1187" t="n">
        <v>0</v>
      </c>
    </row>
    <row r="224" ht="14.45" customHeight="1" s="1225">
      <c r="A224" s="1436" t="inlineStr">
        <is>
          <t>627800</t>
        </is>
      </c>
      <c r="B224" s="1436" t="inlineStr">
        <is>
          <t>Autres charges de publicité et</t>
        </is>
      </c>
      <c r="C224" s="1187" t="n">
        <v>0</v>
      </c>
      <c r="D224" s="1187" t="n">
        <v>0</v>
      </c>
      <c r="E224" s="1187" t="n">
        <v>874000</v>
      </c>
      <c r="F224" s="1187" t="n">
        <v>0</v>
      </c>
      <c r="G224" s="1187" t="n">
        <v>874000</v>
      </c>
      <c r="H224" s="1187" t="n">
        <v>0</v>
      </c>
    </row>
    <row r="225" ht="14.45" customHeight="1" s="1225">
      <c r="A225" s="1436" t="inlineStr">
        <is>
          <t>627801</t>
        </is>
      </c>
      <c r="B225" s="1436" t="inlineStr">
        <is>
          <t>RELATIONS PUBLIQUES</t>
        </is>
      </c>
      <c r="C225" s="1187" t="n">
        <v>0</v>
      </c>
      <c r="D225" s="1187" t="n">
        <v>0</v>
      </c>
      <c r="E225" s="1187" t="n">
        <v>46470481</v>
      </c>
      <c r="F225" s="1187" t="n">
        <v>0</v>
      </c>
      <c r="G225" s="1187" t="n">
        <v>46470481</v>
      </c>
      <c r="H225" s="1187" t="n">
        <v>0</v>
      </c>
    </row>
    <row r="226" ht="14.45" customHeight="1" s="1225">
      <c r="A226" s="1436" t="inlineStr">
        <is>
          <t>628000</t>
        </is>
      </c>
      <c r="B226" s="1436" t="inlineStr">
        <is>
          <t>FRAIS DE TÉLÉCOM -INTERNET</t>
        </is>
      </c>
      <c r="C226" s="1187" t="n">
        <v>0</v>
      </c>
      <c r="D226" s="1187" t="n">
        <v>0</v>
      </c>
      <c r="E226" s="1187" t="n">
        <v>28875720</v>
      </c>
      <c r="F226" s="1187" t="n">
        <v>0</v>
      </c>
      <c r="G226" s="1187" t="n">
        <v>28875720</v>
      </c>
      <c r="H226" s="1187" t="n">
        <v>0</v>
      </c>
    </row>
    <row r="227" ht="14.45" customHeight="1" s="1225">
      <c r="A227" s="1436" t="inlineStr">
        <is>
          <t>628100</t>
        </is>
      </c>
      <c r="B227" s="1436" t="inlineStr">
        <is>
          <t>FRAIS DE TÉLÉCOM -TELEPHONE</t>
        </is>
      </c>
      <c r="C227" s="1187" t="n">
        <v>0</v>
      </c>
      <c r="D227" s="1187" t="n">
        <v>0</v>
      </c>
      <c r="E227" s="1187" t="n">
        <v>20227001</v>
      </c>
      <c r="F227" s="1187" t="n">
        <v>0</v>
      </c>
      <c r="G227" s="1187" t="n">
        <v>20227001</v>
      </c>
      <c r="H227" s="1187" t="n">
        <v>0</v>
      </c>
    </row>
    <row r="228" ht="14.45" customHeight="1" s="1225">
      <c r="A228" s="1436" t="inlineStr">
        <is>
          <t>631000</t>
        </is>
      </c>
      <c r="B228" s="1436" t="inlineStr">
        <is>
          <t>FRAIS BANCAIRES</t>
        </is>
      </c>
      <c r="C228" s="1187" t="n">
        <v>0</v>
      </c>
      <c r="D228" s="1187" t="n">
        <v>0</v>
      </c>
      <c r="E228" s="1187" t="n">
        <v>18571448</v>
      </c>
      <c r="F228" s="1187" t="n">
        <v>240661</v>
      </c>
      <c r="G228" s="1187" t="n">
        <v>18330787</v>
      </c>
      <c r="H228" s="1187" t="n">
        <v>0</v>
      </c>
    </row>
    <row r="229" ht="14.45" customHeight="1" s="1225">
      <c r="A229" s="1436" t="inlineStr">
        <is>
          <t>631100</t>
        </is>
      </c>
      <c r="B229" s="1436" t="inlineStr">
        <is>
          <t>Frais sur titres (achat, vente</t>
        </is>
      </c>
      <c r="C229" s="1187" t="n">
        <v>0</v>
      </c>
      <c r="D229" s="1187" t="n">
        <v>0</v>
      </c>
      <c r="E229" s="1187" t="n">
        <v>53659414</v>
      </c>
      <c r="F229" s="1187" t="n">
        <v>266767</v>
      </c>
      <c r="G229" s="1187" t="n">
        <v>53392647</v>
      </c>
      <c r="H229" s="1187" t="n">
        <v>0</v>
      </c>
    </row>
    <row r="230" ht="14.45" customHeight="1" s="1225">
      <c r="A230" s="1436" t="inlineStr">
        <is>
          <t>631800</t>
        </is>
      </c>
      <c r="B230" s="1436" t="inlineStr">
        <is>
          <t>Autres frais bancaires</t>
        </is>
      </c>
      <c r="C230" s="1187" t="n">
        <v>0</v>
      </c>
      <c r="D230" s="1187" t="n">
        <v>0</v>
      </c>
      <c r="E230" s="1187" t="n">
        <v>151650006</v>
      </c>
      <c r="F230" s="1187" t="n">
        <v>43889649</v>
      </c>
      <c r="G230" s="1187" t="n">
        <v>107760357</v>
      </c>
      <c r="H230" s="1187" t="n">
        <v>0</v>
      </c>
    </row>
    <row r="231" ht="14.45" customHeight="1" s="1225">
      <c r="A231" s="1436" t="inlineStr">
        <is>
          <t>631803</t>
        </is>
      </c>
      <c r="B231" s="1436" t="inlineStr">
        <is>
          <t>COMMISSION NIVELLEMENT</t>
        </is>
      </c>
      <c r="C231" s="1187" t="n">
        <v>0</v>
      </c>
      <c r="D231" s="1187" t="n">
        <v>0</v>
      </c>
      <c r="E231" s="1187" t="n">
        <v>285188</v>
      </c>
      <c r="F231" s="1187" t="n">
        <v>0</v>
      </c>
      <c r="G231" s="1187" t="n">
        <v>285188</v>
      </c>
      <c r="H231" s="1187" t="n">
        <v>0</v>
      </c>
    </row>
    <row r="232" ht="14.45" customHeight="1" s="1225">
      <c r="A232" s="1436" t="inlineStr">
        <is>
          <t>631804</t>
        </is>
      </c>
      <c r="B232" s="1436" t="inlineStr">
        <is>
          <t>FRAIS DE TENUE DE COMPTE</t>
        </is>
      </c>
      <c r="C232" s="1187" t="n">
        <v>0</v>
      </c>
      <c r="D232" s="1187" t="n">
        <v>0</v>
      </c>
      <c r="E232" s="1187" t="n">
        <v>20000</v>
      </c>
      <c r="F232" s="1187" t="n">
        <v>0</v>
      </c>
      <c r="G232" s="1187" t="n">
        <v>20000</v>
      </c>
      <c r="H232" s="1187" t="n">
        <v>0</v>
      </c>
    </row>
    <row r="233" ht="14.45" customHeight="1" s="1225">
      <c r="A233" s="1436" t="inlineStr">
        <is>
          <t>631805</t>
        </is>
      </c>
      <c r="B233" s="1436" t="inlineStr">
        <is>
          <t>FRAIS VIREMENT SALAIRES ET FRS</t>
        </is>
      </c>
      <c r="C233" s="1187" t="n">
        <v>0</v>
      </c>
      <c r="D233" s="1187" t="n">
        <v>0</v>
      </c>
      <c r="E233" s="1187" t="n">
        <v>15000</v>
      </c>
      <c r="F233" s="1187" t="n">
        <v>0</v>
      </c>
      <c r="G233" s="1187" t="n">
        <v>15000</v>
      </c>
      <c r="H233" s="1187" t="n">
        <v>0</v>
      </c>
    </row>
    <row r="234" ht="14.45" customHeight="1" s="1225">
      <c r="A234" s="1436" t="inlineStr">
        <is>
          <t>632400</t>
        </is>
      </c>
      <c r="B234" s="1436" t="inlineStr">
        <is>
          <t>Honoraires des professions règ</t>
        </is>
      </c>
      <c r="C234" s="1187" t="n">
        <v>0</v>
      </c>
      <c r="D234" s="1187" t="n">
        <v>0</v>
      </c>
      <c r="E234" s="1187" t="n">
        <v>91228363</v>
      </c>
      <c r="F234" s="1187" t="n">
        <v>3902944</v>
      </c>
      <c r="G234" s="1187" t="n">
        <v>87325419</v>
      </c>
      <c r="H234" s="1187" t="n">
        <v>0</v>
      </c>
    </row>
    <row r="235" ht="14.45" customHeight="1" s="1225">
      <c r="A235" s="1436" t="inlineStr">
        <is>
          <t>632700</t>
        </is>
      </c>
      <c r="B235" s="1436" t="inlineStr">
        <is>
          <t>Rémunérations des autres prest</t>
        </is>
      </c>
      <c r="C235" s="1187" t="n">
        <v>0</v>
      </c>
      <c r="D235" s="1187" t="n">
        <v>0</v>
      </c>
      <c r="E235" s="1187" t="n">
        <v>45322119</v>
      </c>
      <c r="F235" s="1187" t="n">
        <v>0</v>
      </c>
      <c r="G235" s="1187" t="n">
        <v>45322119</v>
      </c>
      <c r="H235" s="1187" t="n">
        <v>0</v>
      </c>
    </row>
    <row r="236" ht="14.45" customHeight="1" s="1225">
      <c r="A236" s="1436" t="inlineStr">
        <is>
          <t>632800</t>
        </is>
      </c>
      <c r="B236" s="1436" t="inlineStr">
        <is>
          <t>Divers frais</t>
        </is>
      </c>
      <c r="C236" s="1187" t="n">
        <v>0</v>
      </c>
      <c r="D236" s="1187" t="n">
        <v>0</v>
      </c>
      <c r="E236" s="1187" t="n">
        <v>501750</v>
      </c>
      <c r="F236" s="1187" t="n">
        <v>0</v>
      </c>
      <c r="G236" s="1187" t="n">
        <v>501750</v>
      </c>
      <c r="H236" s="1187" t="n">
        <v>0</v>
      </c>
    </row>
    <row r="237" ht="14.45" customHeight="1" s="1225">
      <c r="A237" s="1436" t="inlineStr">
        <is>
          <t>635100</t>
        </is>
      </c>
      <c r="B237" s="1436" t="inlineStr">
        <is>
          <t>Cotisations</t>
        </is>
      </c>
      <c r="C237" s="1187" t="n">
        <v>0</v>
      </c>
      <c r="D237" s="1187" t="n">
        <v>0</v>
      </c>
      <c r="E237" s="1187" t="n">
        <v>7000000</v>
      </c>
      <c r="F237" s="1187" t="n">
        <v>0</v>
      </c>
      <c r="G237" s="1187" t="n">
        <v>7000000</v>
      </c>
      <c r="H237" s="1187" t="n">
        <v>0</v>
      </c>
    </row>
    <row r="238" ht="14.45" customHeight="1" s="1225">
      <c r="A238" s="1436" t="inlineStr">
        <is>
          <t>638300</t>
        </is>
      </c>
      <c r="B238" s="1436" t="inlineStr">
        <is>
          <t>Réceptions</t>
        </is>
      </c>
      <c r="C238" s="1187" t="n">
        <v>0</v>
      </c>
      <c r="D238" s="1187" t="n">
        <v>0</v>
      </c>
      <c r="E238" s="1187" t="n">
        <v>321250</v>
      </c>
      <c r="F238" s="1187" t="n">
        <v>0</v>
      </c>
      <c r="G238" s="1187" t="n">
        <v>321250</v>
      </c>
      <c r="H238" s="1187" t="n">
        <v>0</v>
      </c>
    </row>
    <row r="239" ht="14.45" customHeight="1" s="1225">
      <c r="A239" s="1436" t="inlineStr">
        <is>
          <t>638310</t>
        </is>
      </c>
      <c r="B239" s="1436" t="inlineStr">
        <is>
          <t>HEBERGEMENT</t>
        </is>
      </c>
      <c r="C239" s="1187" t="n">
        <v>0</v>
      </c>
      <c r="D239" s="1187" t="n">
        <v>0</v>
      </c>
      <c r="E239" s="1187" t="n">
        <v>597140</v>
      </c>
      <c r="F239" s="1187" t="n">
        <v>597140</v>
      </c>
      <c r="G239" s="1187" t="n">
        <v>0</v>
      </c>
      <c r="H239" s="1187" t="n">
        <v>0</v>
      </c>
    </row>
    <row r="240" ht="14.45" customHeight="1" s="1225">
      <c r="A240" s="1436" t="inlineStr">
        <is>
          <t>638400</t>
        </is>
      </c>
      <c r="B240" s="1436" t="inlineStr">
        <is>
          <t>Missions</t>
        </is>
      </c>
      <c r="C240" s="1187" t="n">
        <v>0</v>
      </c>
      <c r="D240" s="1187" t="n">
        <v>0</v>
      </c>
      <c r="E240" s="1187" t="n">
        <v>46185500</v>
      </c>
      <c r="F240" s="1187" t="n">
        <v>0</v>
      </c>
      <c r="G240" s="1187" t="n">
        <v>46185500</v>
      </c>
      <c r="H240" s="1187" t="n">
        <v>0</v>
      </c>
    </row>
    <row r="241" ht="14.45" customHeight="1" s="1225">
      <c r="A241" s="1436" t="inlineStr">
        <is>
          <t>638410</t>
        </is>
      </c>
      <c r="B241" s="1436" t="inlineStr">
        <is>
          <t>MISSION HEBERGEMENT</t>
        </is>
      </c>
      <c r="C241" s="1187" t="n">
        <v>0</v>
      </c>
      <c r="D241" s="1187" t="n">
        <v>0</v>
      </c>
      <c r="E241" s="1187" t="n">
        <v>11372527</v>
      </c>
      <c r="F241" s="1187" t="n">
        <v>0</v>
      </c>
      <c r="G241" s="1187" t="n">
        <v>11372527</v>
      </c>
      <c r="H241" s="1187" t="n">
        <v>0</v>
      </c>
    </row>
    <row r="242" ht="14.45" customHeight="1" s="1225">
      <c r="A242" s="1436" t="inlineStr">
        <is>
          <t>638420</t>
        </is>
      </c>
      <c r="B242" s="1436" t="inlineStr">
        <is>
          <t>MISSION RESTAURATION</t>
        </is>
      </c>
      <c r="C242" s="1187" t="n">
        <v>0</v>
      </c>
      <c r="D242" s="1187" t="n">
        <v>0</v>
      </c>
      <c r="E242" s="1187" t="n">
        <v>189500</v>
      </c>
      <c r="F242" s="1187" t="n">
        <v>0</v>
      </c>
      <c r="G242" s="1187" t="n">
        <v>189500</v>
      </c>
      <c r="H242" s="1187" t="n">
        <v>0</v>
      </c>
    </row>
    <row r="243" ht="14.45" customHeight="1" s="1225">
      <c r="A243" s="1436" t="inlineStr">
        <is>
          <t>641200</t>
        </is>
      </c>
      <c r="B243" s="1436" t="inlineStr">
        <is>
          <t>Patentes, licences et taxes an</t>
        </is>
      </c>
      <c r="C243" s="1187" t="n">
        <v>0</v>
      </c>
      <c r="D243" s="1187" t="n">
        <v>0</v>
      </c>
      <c r="E243" s="1187" t="n">
        <v>141892</v>
      </c>
      <c r="F243" s="1187" t="n">
        <v>0</v>
      </c>
      <c r="G243" s="1187" t="n">
        <v>141892</v>
      </c>
      <c r="H243" s="1187" t="n">
        <v>0</v>
      </c>
    </row>
    <row r="244" ht="14.45" customHeight="1" s="1225">
      <c r="A244" s="1436" t="inlineStr">
        <is>
          <t>641400</t>
        </is>
      </c>
      <c r="B244" s="1436" t="inlineStr">
        <is>
          <t>Taxes d'apprentissage</t>
        </is>
      </c>
      <c r="C244" s="1187" t="n">
        <v>0</v>
      </c>
      <c r="D244" s="1187" t="n">
        <v>0</v>
      </c>
      <c r="E244" s="1187" t="n">
        <v>16971537</v>
      </c>
      <c r="F244" s="1187" t="n">
        <v>0</v>
      </c>
      <c r="G244" s="1187" t="n">
        <v>16971537</v>
      </c>
      <c r="H244" s="1187" t="n">
        <v>0</v>
      </c>
    </row>
    <row r="245" ht="14.45" customHeight="1" s="1225">
      <c r="A245" s="1436" t="inlineStr">
        <is>
          <t>641800</t>
        </is>
      </c>
      <c r="B245" s="1436" t="inlineStr">
        <is>
          <t>Autres impôts et taxes directs</t>
        </is>
      </c>
      <c r="C245" s="1187" t="n">
        <v>0</v>
      </c>
      <c r="D245" s="1187" t="n">
        <v>0</v>
      </c>
      <c r="E245" s="1187" t="n">
        <v>128751800</v>
      </c>
      <c r="F245" s="1187" t="n">
        <v>0</v>
      </c>
      <c r="G245" s="1187" t="n">
        <v>128751800</v>
      </c>
      <c r="H245" s="1187" t="n">
        <v>0</v>
      </c>
    </row>
    <row r="246" ht="14.45" customHeight="1" s="1225">
      <c r="A246" s="1436" t="inlineStr">
        <is>
          <t>646200</t>
        </is>
      </c>
      <c r="B246" s="1436" t="inlineStr">
        <is>
          <t>Droits de timbre</t>
        </is>
      </c>
      <c r="C246" s="1187" t="n">
        <v>0</v>
      </c>
      <c r="D246" s="1187" t="n">
        <v>0</v>
      </c>
      <c r="E246" s="1187" t="n">
        <v>260592</v>
      </c>
      <c r="F246" s="1187" t="n">
        <v>0</v>
      </c>
      <c r="G246" s="1187" t="n">
        <v>260592</v>
      </c>
      <c r="H246" s="1187" t="n">
        <v>0</v>
      </c>
    </row>
    <row r="247" ht="14.45" customHeight="1" s="1225">
      <c r="A247" s="1436" t="inlineStr">
        <is>
          <t>650000</t>
        </is>
      </c>
      <c r="B247" s="1436" t="inlineStr">
        <is>
          <t>AUTRES CHARGES</t>
        </is>
      </c>
      <c r="C247" s="1187" t="n">
        <v>0</v>
      </c>
      <c r="D247" s="1187" t="n">
        <v>0</v>
      </c>
      <c r="E247" s="1187" t="n">
        <v>3520500</v>
      </c>
      <c r="F247" s="1187" t="n">
        <v>0</v>
      </c>
      <c r="G247" s="1187" t="n">
        <v>3520500</v>
      </c>
      <c r="H247" s="1187" t="n">
        <v>0</v>
      </c>
    </row>
    <row r="248" ht="14.45" customHeight="1" s="1225">
      <c r="A248" s="1436" t="inlineStr">
        <is>
          <t>651500</t>
        </is>
      </c>
      <c r="B248" s="1436" t="inlineStr">
        <is>
          <t>Autres débiteurs</t>
        </is>
      </c>
      <c r="C248" s="1187" t="n">
        <v>0</v>
      </c>
      <c r="D248" s="1187" t="n">
        <v>0</v>
      </c>
      <c r="E248" s="1187" t="n">
        <v>12120000</v>
      </c>
      <c r="F248" s="1187" t="n">
        <v>-9000</v>
      </c>
      <c r="G248" s="1187" t="n">
        <v>12129000</v>
      </c>
      <c r="H248" s="1187" t="n">
        <v>0</v>
      </c>
    </row>
    <row r="249" ht="14.45" customHeight="1" s="1225">
      <c r="A249" s="1436" t="inlineStr">
        <is>
          <t>657000</t>
        </is>
      </c>
      <c r="B249" s="1436" t="inlineStr">
        <is>
          <t>PENALITES ET AMENDES PENALES</t>
        </is>
      </c>
      <c r="C249" s="1187" t="n">
        <v>0</v>
      </c>
      <c r="D249" s="1187" t="n">
        <v>0</v>
      </c>
      <c r="E249" s="1187" t="n">
        <v>25000</v>
      </c>
      <c r="F249" s="1187" t="n">
        <v>0</v>
      </c>
      <c r="G249" s="1187" t="n">
        <v>25000</v>
      </c>
      <c r="H249" s="1187" t="n">
        <v>0</v>
      </c>
    </row>
    <row r="250" ht="14.45" customHeight="1" s="1225">
      <c r="A250" s="1436" t="inlineStr">
        <is>
          <t>658000</t>
        </is>
      </c>
      <c r="B250" s="1436" t="inlineStr">
        <is>
          <t>CHARGES DIVERSES</t>
        </is>
      </c>
      <c r="C250" s="1187" t="n">
        <v>0</v>
      </c>
      <c r="D250" s="1187" t="n">
        <v>0</v>
      </c>
      <c r="E250" s="1187" t="n">
        <v>1729750</v>
      </c>
      <c r="F250" s="1187" t="n">
        <v>0</v>
      </c>
      <c r="G250" s="1187" t="n">
        <v>1729750</v>
      </c>
      <c r="H250" s="1187" t="n">
        <v>0</v>
      </c>
    </row>
    <row r="251" ht="14.45" customHeight="1" s="1225">
      <c r="A251" s="1436" t="inlineStr">
        <is>
          <t>658200</t>
        </is>
      </c>
      <c r="B251" s="1436" t="inlineStr">
        <is>
          <t>Dons</t>
        </is>
      </c>
      <c r="C251" s="1187" t="n">
        <v>0</v>
      </c>
      <c r="D251" s="1187" t="n">
        <v>0</v>
      </c>
      <c r="E251" s="1187" t="n">
        <v>10484400</v>
      </c>
      <c r="F251" s="1187" t="n">
        <v>0</v>
      </c>
      <c r="G251" s="1187" t="n">
        <v>10484400</v>
      </c>
      <c r="H251" s="1187" t="n">
        <v>0</v>
      </c>
    </row>
    <row r="252" ht="14.45" customHeight="1" s="1225">
      <c r="A252" s="1436" t="inlineStr">
        <is>
          <t>658800</t>
        </is>
      </c>
      <c r="B252" s="1436" t="inlineStr">
        <is>
          <t>Autres charges diverses</t>
        </is>
      </c>
      <c r="C252" s="1187" t="n">
        <v>0</v>
      </c>
      <c r="D252" s="1187" t="n">
        <v>0</v>
      </c>
      <c r="E252" s="1187" t="n">
        <v>982760</v>
      </c>
      <c r="F252" s="1187" t="n">
        <v>0</v>
      </c>
      <c r="G252" s="1187" t="n">
        <v>982760</v>
      </c>
      <c r="H252" s="1187" t="n">
        <v>0</v>
      </c>
    </row>
    <row r="253" ht="14.45" customHeight="1" s="1225">
      <c r="A253" s="1436" t="inlineStr">
        <is>
          <t>661100</t>
        </is>
      </c>
      <c r="B253" s="1436" t="inlineStr">
        <is>
          <t>Appointements salaires et comm</t>
        </is>
      </c>
      <c r="C253" s="1187" t="n">
        <v>0</v>
      </c>
      <c r="D253" s="1187" t="n">
        <v>0</v>
      </c>
      <c r="E253" s="1187" t="n">
        <v>326068314</v>
      </c>
      <c r="F253" s="1187" t="n">
        <v>0</v>
      </c>
      <c r="G253" s="1187" t="n">
        <v>326068314</v>
      </c>
      <c r="H253" s="1187" t="n">
        <v>0</v>
      </c>
    </row>
    <row r="254" ht="14.45" customHeight="1" s="1225">
      <c r="A254" s="1436" t="inlineStr">
        <is>
          <t>661200</t>
        </is>
      </c>
      <c r="B254" s="1436" t="inlineStr">
        <is>
          <t>Primes et gratifications</t>
        </is>
      </c>
      <c r="C254" s="1187" t="n">
        <v>0</v>
      </c>
      <c r="D254" s="1187" t="n">
        <v>0</v>
      </c>
      <c r="E254" s="1187" t="n">
        <v>1710279</v>
      </c>
      <c r="F254" s="1187" t="n">
        <v>0</v>
      </c>
      <c r="G254" s="1187" t="n">
        <v>1710279</v>
      </c>
      <c r="H254" s="1187" t="n">
        <v>0</v>
      </c>
    </row>
    <row r="255" ht="14.45" customHeight="1" s="1225">
      <c r="A255" s="1436" t="inlineStr">
        <is>
          <t>661300</t>
        </is>
      </c>
      <c r="B255" s="1436" t="inlineStr">
        <is>
          <t>CONGES PAYES DES NATIONAUX</t>
        </is>
      </c>
      <c r="C255" s="1187" t="n">
        <v>0</v>
      </c>
      <c r="D255" s="1187" t="n">
        <v>0</v>
      </c>
      <c r="E255" s="1187" t="n">
        <v>1819585</v>
      </c>
      <c r="F255" s="1187" t="n">
        <v>0</v>
      </c>
      <c r="G255" s="1187" t="n">
        <v>1819585</v>
      </c>
      <c r="H255" s="1187" t="n">
        <v>0</v>
      </c>
    </row>
    <row r="256" ht="14.45" customHeight="1" s="1225">
      <c r="A256" s="1436" t="inlineStr">
        <is>
          <t>661400</t>
        </is>
      </c>
      <c r="B256" s="1436" t="inlineStr">
        <is>
          <t>Indemnités de préavis, de lice</t>
        </is>
      </c>
      <c r="C256" s="1187" t="n">
        <v>0</v>
      </c>
      <c r="D256" s="1187" t="n">
        <v>0</v>
      </c>
      <c r="E256" s="1187" t="n">
        <v>1773795</v>
      </c>
      <c r="F256" s="1187" t="n">
        <v>0</v>
      </c>
      <c r="G256" s="1187" t="n">
        <v>1773795</v>
      </c>
      <c r="H256" s="1187" t="n">
        <v>0</v>
      </c>
    </row>
    <row r="257" ht="14.45" customHeight="1" s="1225">
      <c r="A257" s="1436" t="inlineStr">
        <is>
          <t>661700</t>
        </is>
      </c>
      <c r="B257" s="1436" t="inlineStr">
        <is>
          <t>Avantages en nature</t>
        </is>
      </c>
      <c r="C257" s="1187" t="n">
        <v>0</v>
      </c>
      <c r="D257" s="1187" t="n">
        <v>0</v>
      </c>
      <c r="E257" s="1187" t="n">
        <v>68333</v>
      </c>
      <c r="F257" s="1187" t="n">
        <v>0</v>
      </c>
      <c r="G257" s="1187" t="n">
        <v>68333</v>
      </c>
      <c r="H257" s="1187" t="n">
        <v>0</v>
      </c>
    </row>
    <row r="258" ht="14.45" customHeight="1" s="1225">
      <c r="A258" s="1436" t="inlineStr">
        <is>
          <t>661800</t>
        </is>
      </c>
      <c r="B258" s="1436" t="inlineStr">
        <is>
          <t>Autres rémunérations directes</t>
        </is>
      </c>
      <c r="C258" s="1187" t="n">
        <v>0</v>
      </c>
      <c r="D258" s="1187" t="n">
        <v>0</v>
      </c>
      <c r="E258" s="1187" t="n">
        <v>225000</v>
      </c>
      <c r="F258" s="1187" t="n">
        <v>0</v>
      </c>
      <c r="G258" s="1187" t="n">
        <v>225000</v>
      </c>
      <c r="H258" s="1187" t="n">
        <v>0</v>
      </c>
    </row>
    <row r="259" ht="14.45" customHeight="1" s="1225">
      <c r="A259" s="1436" t="inlineStr">
        <is>
          <t>661801</t>
        </is>
      </c>
      <c r="B259" s="1436" t="inlineStr">
        <is>
          <t>INDEMNITE DE STAGE</t>
        </is>
      </c>
      <c r="C259" s="1187" t="n">
        <v>0</v>
      </c>
      <c r="D259" s="1187" t="n">
        <v>0</v>
      </c>
      <c r="E259" s="1187" t="n">
        <v>3758333</v>
      </c>
      <c r="F259" s="1187" t="n">
        <v>0</v>
      </c>
      <c r="G259" s="1187" t="n">
        <v>3758333</v>
      </c>
      <c r="H259" s="1187" t="n">
        <v>0</v>
      </c>
    </row>
    <row r="260" ht="14.45" customHeight="1" s="1225">
      <c r="A260" s="1436" t="inlineStr">
        <is>
          <t>662000</t>
        </is>
      </c>
      <c r="B260" s="1436" t="inlineStr">
        <is>
          <t>RÉMUNÉRATIONS DIRECTES VERSÉES</t>
        </is>
      </c>
      <c r="C260" s="1187" t="n">
        <v>0</v>
      </c>
      <c r="D260" s="1187" t="n">
        <v>0</v>
      </c>
      <c r="E260" s="1187" t="n">
        <v>175000</v>
      </c>
      <c r="F260" s="1187" t="n">
        <v>0</v>
      </c>
      <c r="G260" s="1187" t="n">
        <v>175000</v>
      </c>
      <c r="H260" s="1187" t="n">
        <v>0</v>
      </c>
    </row>
    <row r="261" ht="14.45" customHeight="1" s="1225">
      <c r="A261" s="1436" t="inlineStr">
        <is>
          <t>662300</t>
        </is>
      </c>
      <c r="B261" s="1436" t="inlineStr">
        <is>
          <t>CONGES PAYES NON NATIONAUX</t>
        </is>
      </c>
      <c r="C261" s="1187" t="n">
        <v>0</v>
      </c>
      <c r="D261" s="1187" t="n">
        <v>0</v>
      </c>
      <c r="E261" s="1187" t="n">
        <v>450000</v>
      </c>
      <c r="F261" s="1187" t="n">
        <v>0</v>
      </c>
      <c r="G261" s="1187" t="n">
        <v>450000</v>
      </c>
      <c r="H261" s="1187" t="n">
        <v>0</v>
      </c>
    </row>
    <row r="262" ht="14.45" customHeight="1" s="1225">
      <c r="A262" s="1436" t="inlineStr">
        <is>
          <t>662500</t>
        </is>
      </c>
      <c r="B262" s="1436" t="inlineStr">
        <is>
          <t>Indemnités de maladie versées</t>
        </is>
      </c>
      <c r="C262" s="1187" t="n">
        <v>0</v>
      </c>
      <c r="D262" s="1187" t="n">
        <v>0</v>
      </c>
      <c r="E262" s="1187" t="n">
        <v>725000</v>
      </c>
      <c r="F262" s="1187" t="n">
        <v>0</v>
      </c>
      <c r="G262" s="1187" t="n">
        <v>725000</v>
      </c>
      <c r="H262" s="1187" t="n">
        <v>0</v>
      </c>
    </row>
    <row r="263" ht="14.45" customHeight="1" s="1225">
      <c r="A263" s="1436" t="inlineStr">
        <is>
          <t>662700</t>
        </is>
      </c>
      <c r="B263" s="1436" t="inlineStr">
        <is>
          <t>Avantages en nature</t>
        </is>
      </c>
      <c r="C263" s="1187" t="n">
        <v>0</v>
      </c>
      <c r="D263" s="1187" t="n">
        <v>0</v>
      </c>
      <c r="E263" s="1187" t="n">
        <v>285000</v>
      </c>
      <c r="F263" s="1187" t="n">
        <v>0</v>
      </c>
      <c r="G263" s="1187" t="n">
        <v>285000</v>
      </c>
      <c r="H263" s="1187" t="n">
        <v>0</v>
      </c>
    </row>
    <row r="264" ht="14.45" customHeight="1" s="1225">
      <c r="A264" s="1436" t="inlineStr">
        <is>
          <t>663100</t>
        </is>
      </c>
      <c r="B264" s="1436" t="inlineStr">
        <is>
          <t>Indemnités de logement</t>
        </is>
      </c>
      <c r="C264" s="1187" t="n">
        <v>0</v>
      </c>
      <c r="D264" s="1187" t="n">
        <v>0</v>
      </c>
      <c r="E264" s="1187" t="n">
        <v>41770000</v>
      </c>
      <c r="F264" s="1187" t="n">
        <v>0</v>
      </c>
      <c r="G264" s="1187" t="n">
        <v>41770000</v>
      </c>
      <c r="H264" s="1187" t="n">
        <v>0</v>
      </c>
    </row>
    <row r="265" ht="14.45" customHeight="1" s="1225">
      <c r="A265" s="1436" t="inlineStr">
        <is>
          <t>663200</t>
        </is>
      </c>
      <c r="B265" s="1436" t="inlineStr">
        <is>
          <t>Indemnités de représentation</t>
        </is>
      </c>
      <c r="C265" s="1187" t="n">
        <v>0</v>
      </c>
      <c r="D265" s="1187" t="n">
        <v>0</v>
      </c>
      <c r="E265" s="1187" t="n">
        <v>26170000</v>
      </c>
      <c r="F265" s="1187" t="n">
        <v>0</v>
      </c>
      <c r="G265" s="1187" t="n">
        <v>26170000</v>
      </c>
      <c r="H265" s="1187" t="n">
        <v>0</v>
      </c>
    </row>
    <row r="266" ht="14.45" customHeight="1" s="1225">
      <c r="A266" s="1436" t="inlineStr">
        <is>
          <t>663400</t>
        </is>
      </c>
      <c r="B266" s="1436" t="inlineStr">
        <is>
          <t>Indemnités de transport</t>
        </is>
      </c>
      <c r="C266" s="1187" t="n">
        <v>0</v>
      </c>
      <c r="D266" s="1187" t="n">
        <v>0</v>
      </c>
      <c r="E266" s="1187" t="n">
        <v>24650000</v>
      </c>
      <c r="F266" s="1187" t="n">
        <v>0</v>
      </c>
      <c r="G266" s="1187" t="n">
        <v>24650000</v>
      </c>
      <c r="H266" s="1187" t="n">
        <v>0</v>
      </c>
    </row>
    <row r="267" ht="14.45" customHeight="1" s="1225">
      <c r="A267" s="1436" t="inlineStr">
        <is>
          <t>663800</t>
        </is>
      </c>
      <c r="B267" s="1436" t="inlineStr">
        <is>
          <t>Autres indemnités et avantages</t>
        </is>
      </c>
      <c r="C267" s="1187" t="n">
        <v>0</v>
      </c>
      <c r="D267" s="1187" t="n">
        <v>0</v>
      </c>
      <c r="E267" s="1187" t="n">
        <v>968155</v>
      </c>
      <c r="F267" s="1187" t="n">
        <v>0</v>
      </c>
      <c r="G267" s="1187" t="n">
        <v>968155</v>
      </c>
      <c r="H267" s="1187" t="n">
        <v>0</v>
      </c>
    </row>
    <row r="268" ht="14.45" customHeight="1" s="1225">
      <c r="A268" s="1436" t="inlineStr">
        <is>
          <t>664100</t>
        </is>
      </c>
      <c r="B268" s="1436" t="inlineStr">
        <is>
          <t>Charges sociales sur rémunérat</t>
        </is>
      </c>
      <c r="C268" s="1187" t="n">
        <v>0</v>
      </c>
      <c r="D268" s="1187" t="n">
        <v>0</v>
      </c>
      <c r="E268" s="1187" t="n">
        <v>47135475</v>
      </c>
      <c r="F268" s="1187" t="n">
        <v>0</v>
      </c>
      <c r="G268" s="1187" t="n">
        <v>47135475</v>
      </c>
      <c r="H268" s="1187" t="n">
        <v>0</v>
      </c>
    </row>
    <row r="269" ht="14.45" customHeight="1" s="1225">
      <c r="A269" s="1436" t="inlineStr">
        <is>
          <t>667000</t>
        </is>
      </c>
      <c r="B269" s="1436" t="inlineStr">
        <is>
          <t>RÉMUNÉRATION TRANSFÉRÉE DE PER</t>
        </is>
      </c>
      <c r="C269" s="1187" t="n">
        <v>0</v>
      </c>
      <c r="D269" s="1187" t="n">
        <v>0</v>
      </c>
      <c r="E269" s="1187" t="n">
        <v>150000</v>
      </c>
      <c r="F269" s="1187" t="n">
        <v>0</v>
      </c>
      <c r="G269" s="1187" t="n">
        <v>150000</v>
      </c>
      <c r="H269" s="1187" t="n">
        <v>0</v>
      </c>
    </row>
    <row r="270" ht="14.45" customHeight="1" s="1225">
      <c r="A270" s="1436" t="inlineStr">
        <is>
          <t>667200</t>
        </is>
      </c>
      <c r="B270" s="1436" t="inlineStr">
        <is>
          <t>Personnel détaché ou prêté à l</t>
        </is>
      </c>
      <c r="C270" s="1187" t="n">
        <v>0</v>
      </c>
      <c r="D270" s="1187" t="n">
        <v>0</v>
      </c>
      <c r="E270" s="1187" t="n">
        <v>0</v>
      </c>
      <c r="F270" s="1187" t="n">
        <v>-220667627</v>
      </c>
      <c r="G270" s="1187" t="n">
        <v>220667627</v>
      </c>
      <c r="H270" s="1187" t="n">
        <v>0</v>
      </c>
    </row>
    <row r="271" ht="14.45" customHeight="1" s="1225">
      <c r="A271" s="1436" t="inlineStr">
        <is>
          <t>668400</t>
        </is>
      </c>
      <c r="B271" s="1436" t="inlineStr">
        <is>
          <t>Médecine du travail et pharmac</t>
        </is>
      </c>
      <c r="C271" s="1187" t="n">
        <v>0</v>
      </c>
      <c r="D271" s="1187" t="n">
        <v>0</v>
      </c>
      <c r="E271" s="1187" t="n">
        <v>619961</v>
      </c>
      <c r="F271" s="1187" t="n">
        <v>0</v>
      </c>
      <c r="G271" s="1187" t="n">
        <v>619961</v>
      </c>
      <c r="H271" s="1187" t="n">
        <v>0</v>
      </c>
    </row>
    <row r="272" ht="14.45" customHeight="1" s="1225">
      <c r="A272" s="1436" t="inlineStr">
        <is>
          <t>671000</t>
        </is>
      </c>
      <c r="B272" s="1436" t="inlineStr">
        <is>
          <t>INTÉRÊTS DES EMPRUNTS</t>
        </is>
      </c>
      <c r="C272" s="1187" t="n">
        <v>0</v>
      </c>
      <c r="D272" s="1187" t="n">
        <v>0</v>
      </c>
      <c r="E272" s="1187" t="n">
        <v>235497231</v>
      </c>
      <c r="F272" s="1187" t="n">
        <v>0</v>
      </c>
      <c r="G272" s="1187" t="n">
        <v>235497231</v>
      </c>
      <c r="H272" s="1187" t="n">
        <v>0</v>
      </c>
    </row>
    <row r="273" ht="14.45" customHeight="1" s="1225">
      <c r="A273" s="1436" t="inlineStr">
        <is>
          <t>674500</t>
        </is>
      </c>
      <c r="B273" s="1436" t="inlineStr">
        <is>
          <t>Intérêts bancaires et sur opér</t>
        </is>
      </c>
      <c r="C273" s="1187" t="n">
        <v>0</v>
      </c>
      <c r="D273" s="1187" t="n">
        <v>0</v>
      </c>
      <c r="E273" s="1187" t="n">
        <v>9622000.999999998</v>
      </c>
      <c r="F273" s="1187" t="n">
        <v>0</v>
      </c>
      <c r="G273" s="1187" t="n">
        <v>9622000.999999998</v>
      </c>
      <c r="H273" s="1187" t="n">
        <v>0</v>
      </c>
    </row>
    <row r="274" ht="14.45" customHeight="1" s="1225">
      <c r="A274" s="1436" t="inlineStr">
        <is>
          <t>678200</t>
        </is>
      </c>
      <c r="B274" s="1436" t="inlineStr">
        <is>
          <t>sur opérations financières</t>
        </is>
      </c>
      <c r="C274" s="1187" t="n">
        <v>0</v>
      </c>
      <c r="D274" s="1187" t="n">
        <v>0</v>
      </c>
      <c r="E274" s="1187" t="n">
        <v>25104283</v>
      </c>
      <c r="F274" s="1187" t="n">
        <v>0</v>
      </c>
      <c r="G274" s="1187" t="n">
        <v>25104283</v>
      </c>
      <c r="H274" s="1187" t="n">
        <v>0</v>
      </c>
    </row>
    <row r="275" ht="14.45" customHeight="1" s="1225">
      <c r="A275" s="1436" t="inlineStr">
        <is>
          <t>681200</t>
        </is>
      </c>
      <c r="B275" s="1436" t="inlineStr">
        <is>
          <t>Dotations aux amortissements d</t>
        </is>
      </c>
      <c r="C275" s="1187" t="n">
        <v>0</v>
      </c>
      <c r="D275" s="1187" t="n">
        <v>0</v>
      </c>
      <c r="E275" s="1187" t="n">
        <v>16230977</v>
      </c>
      <c r="F275" s="1187" t="n">
        <v>0</v>
      </c>
      <c r="G275" s="1187" t="n">
        <v>16230977</v>
      </c>
      <c r="H275" s="1187" t="n">
        <v>0</v>
      </c>
    </row>
    <row r="276" ht="14.45" customHeight="1" s="1225">
      <c r="A276" s="1436" t="inlineStr">
        <is>
          <t>681300</t>
        </is>
      </c>
      <c r="B276" s="1436" t="inlineStr">
        <is>
          <t>DOTATION AMMORT CORPORELS</t>
        </is>
      </c>
      <c r="C276" s="1187" t="n">
        <v>0</v>
      </c>
      <c r="D276" s="1187" t="n">
        <v>0</v>
      </c>
      <c r="E276" s="1187" t="n">
        <v>1157530230.98</v>
      </c>
      <c r="F276" s="1187" t="n">
        <v>0</v>
      </c>
      <c r="G276" s="1187" t="n">
        <v>1157530230.98</v>
      </c>
      <c r="H276" s="1187" t="n">
        <v>0</v>
      </c>
    </row>
    <row r="277" ht="14.45" customHeight="1" s="1225">
      <c r="A277" s="1436" t="inlineStr">
        <is>
          <t>702100</t>
        </is>
      </c>
      <c r="B277" s="1436" t="inlineStr">
        <is>
          <t>VENTE DE PRODUIT FINI</t>
        </is>
      </c>
      <c r="C277" s="1187" t="n">
        <v>0</v>
      </c>
      <c r="D277" s="1187" t="n">
        <v>0</v>
      </c>
      <c r="E277" s="1187" t="n">
        <v>0</v>
      </c>
      <c r="F277" s="1187" t="n">
        <v>99584970</v>
      </c>
      <c r="G277" s="1187" t="n">
        <v>0</v>
      </c>
      <c r="H277" s="1187" t="n">
        <v>99584970</v>
      </c>
    </row>
    <row r="278" ht="14.45" customHeight="1" s="1225">
      <c r="A278" s="1436" t="inlineStr">
        <is>
          <t>702101</t>
        </is>
      </c>
      <c r="B278" s="1436" t="inlineStr">
        <is>
          <t>VENTE DE PRODUIT FINI (CPA)</t>
        </is>
      </c>
      <c r="C278" s="1187" t="n">
        <v>0</v>
      </c>
      <c r="D278" s="1187" t="n">
        <v>0</v>
      </c>
      <c r="E278" s="1187" t="n">
        <v>83631142</v>
      </c>
      <c r="F278" s="1187" t="n">
        <v>16721128819</v>
      </c>
      <c r="G278" s="1187" t="n">
        <v>0</v>
      </c>
      <c r="H278" s="1187" t="n">
        <v>16637497677</v>
      </c>
    </row>
    <row r="279" ht="14.45" customHeight="1" s="1225">
      <c r="A279" s="1436" t="inlineStr">
        <is>
          <t>702102</t>
        </is>
      </c>
      <c r="B279" s="1436" t="inlineStr">
        <is>
          <t>VENTE DE PRODUIT FINI (CPJ)</t>
        </is>
      </c>
      <c r="C279" s="1187" t="n">
        <v>0</v>
      </c>
      <c r="D279" s="1187" t="n">
        <v>0</v>
      </c>
      <c r="E279" s="1187" t="n">
        <v>0</v>
      </c>
      <c r="F279" s="1187" t="n">
        <v>8497754664</v>
      </c>
      <c r="G279" s="1187" t="n">
        <v>0</v>
      </c>
      <c r="H279" s="1187" t="n">
        <v>8497754664</v>
      </c>
    </row>
    <row r="280" ht="14.45" customHeight="1" s="1225">
      <c r="A280" s="1436" t="inlineStr">
        <is>
          <t>702900</t>
        </is>
      </c>
      <c r="B280" s="1436" t="inlineStr">
        <is>
          <t>Rabais, remises, ristournes ac</t>
        </is>
      </c>
      <c r="C280" s="1187" t="n">
        <v>0</v>
      </c>
      <c r="D280" s="1187" t="n">
        <v>0</v>
      </c>
      <c r="E280" s="1187" t="n">
        <v>1052512750</v>
      </c>
      <c r="F280" s="1187" t="n">
        <v>0</v>
      </c>
      <c r="G280" s="1187" t="n">
        <v>1052512750</v>
      </c>
      <c r="H280" s="1187" t="n">
        <v>0</v>
      </c>
    </row>
    <row r="281" ht="14.45" customHeight="1" s="1225">
      <c r="A281" s="1436" t="inlineStr">
        <is>
          <t>736000</t>
        </is>
      </c>
      <c r="B281" s="1436" t="inlineStr">
        <is>
          <t>VARIATIONS DES STOCKS DE PRODU</t>
        </is>
      </c>
      <c r="C281" s="1187" t="n">
        <v>0</v>
      </c>
      <c r="D281" s="1187" t="n">
        <v>0</v>
      </c>
      <c r="E281" s="1187" t="n">
        <v>0</v>
      </c>
      <c r="F281" s="1187" t="n">
        <v>115491800</v>
      </c>
      <c r="G281" s="1187" t="n">
        <v>0</v>
      </c>
      <c r="H281" s="1187" t="n">
        <v>115491800</v>
      </c>
    </row>
    <row r="282" ht="14.45" customHeight="1" s="1225">
      <c r="A282" s="1436" t="inlineStr">
        <is>
          <t>758000</t>
        </is>
      </c>
      <c r="B282" s="1436" t="inlineStr">
        <is>
          <t>PRODUITS DIVERS</t>
        </is>
      </c>
      <c r="C282" s="1187" t="n">
        <v>0</v>
      </c>
      <c r="D282" s="1187" t="n">
        <v>0</v>
      </c>
      <c r="E282" s="1187" t="n">
        <v>0</v>
      </c>
      <c r="F282" s="1187" t="n">
        <v>1622597</v>
      </c>
      <c r="G282" s="1187" t="n">
        <v>0</v>
      </c>
      <c r="H282" s="1187" t="n">
        <v>1622597</v>
      </c>
    </row>
    <row r="283" ht="14.45" customHeight="1" s="1225">
      <c r="A283" s="1436" t="inlineStr">
        <is>
          <t>770000</t>
        </is>
      </c>
      <c r="B283" s="1436" t="inlineStr">
        <is>
          <t>REVENUS FINANCIERS ET PRODUITS</t>
        </is>
      </c>
      <c r="C283" s="1187" t="n">
        <v>0</v>
      </c>
      <c r="D283" s="1187" t="n">
        <v>0</v>
      </c>
      <c r="E283" s="1187" t="n">
        <v>3519604</v>
      </c>
      <c r="F283" s="1187" t="n">
        <v>16741536</v>
      </c>
      <c r="G283" s="1187" t="n">
        <v>0</v>
      </c>
      <c r="H283" s="1187" t="n">
        <v>13221932</v>
      </c>
    </row>
    <row r="284" ht="14.45" customHeight="1" s="1225">
      <c r="A284" s="1436" t="inlineStr">
        <is>
          <t>771300</t>
        </is>
      </c>
      <c r="B284" s="1436" t="inlineStr">
        <is>
          <t>Intérêts sur créances diverses</t>
        </is>
      </c>
      <c r="C284" s="1187" t="n">
        <v>0</v>
      </c>
      <c r="D284" s="1187" t="n">
        <v>0</v>
      </c>
      <c r="E284" s="1187" t="n">
        <v>0</v>
      </c>
      <c r="F284" s="1187" t="n">
        <v>135738374</v>
      </c>
      <c r="G284" s="1187" t="n">
        <v>0</v>
      </c>
      <c r="H284" s="1187" t="n">
        <v>135738374</v>
      </c>
    </row>
    <row r="285" ht="14.45" customHeight="1" s="1225">
      <c r="A285" s="1436" t="inlineStr">
        <is>
          <t>776000</t>
        </is>
      </c>
      <c r="B285" s="1436" t="inlineStr">
        <is>
          <t>GAINS DE CHANGE FINANCIERS</t>
        </is>
      </c>
      <c r="C285" s="1187" t="n">
        <v>0</v>
      </c>
      <c r="D285" s="1187" t="n">
        <v>0</v>
      </c>
      <c r="E285" s="1187" t="n">
        <v>0</v>
      </c>
      <c r="F285" s="1187" t="n">
        <v>646450</v>
      </c>
      <c r="G285" s="1187" t="n">
        <v>0</v>
      </c>
      <c r="H285" s="1187" t="n">
        <v>646450</v>
      </c>
    </row>
    <row r="286" ht="14.45" customHeight="1" s="1225">
      <c r="A286" s="1436" t="inlineStr">
        <is>
          <t>779000</t>
        </is>
      </c>
      <c r="B286" s="1436" t="inlineStr">
        <is>
          <t>REPRISES DE CHARGES POUR DEPRE</t>
        </is>
      </c>
      <c r="C286" s="1187" t="n">
        <v>0</v>
      </c>
      <c r="D286" s="1187" t="n">
        <v>0</v>
      </c>
      <c r="E286" s="1187" t="n">
        <v>0</v>
      </c>
      <c r="F286" s="1187" t="n">
        <v>925930</v>
      </c>
      <c r="G286" s="1187" t="n">
        <v>0</v>
      </c>
      <c r="H286" s="1187" t="n">
        <v>925930</v>
      </c>
    </row>
    <row r="287" ht="14.45" customHeight="1" s="1225">
      <c r="A287" s="1436" t="inlineStr">
        <is>
          <t>Total bilan</t>
        </is>
      </c>
      <c r="C287" s="1187" t="n">
        <v>0</v>
      </c>
      <c r="D287" s="1187" t="n">
        <v>3.0517578125e-07</v>
      </c>
      <c r="E287" s="1187" t="n">
        <v>217572759705.6</v>
      </c>
      <c r="F287" s="1187" t="n">
        <v>217046611076.58</v>
      </c>
      <c r="G287" s="1187" t="n">
        <v>526148629.02</v>
      </c>
      <c r="H287" s="1187" t="n">
        <v>0</v>
      </c>
    </row>
    <row r="288" ht="12.75" customHeight="1" s="1225">
      <c r="A288" s="1436" t="inlineStr">
        <is>
          <t>Total  gestion</t>
        </is>
      </c>
      <c r="C288" s="1187" t="n">
        <v>0</v>
      </c>
      <c r="D288" s="1187" t="n">
        <v>0</v>
      </c>
      <c r="E288" s="1187" t="n">
        <v>30379781302.98</v>
      </c>
      <c r="F288" s="1187" t="n">
        <v>30905929932</v>
      </c>
      <c r="G288" s="1187" t="n">
        <v>0</v>
      </c>
      <c r="H288" s="1187" t="n">
        <v>526148629.02</v>
      </c>
    </row>
    <row r="289" ht="12.75" customHeight="1" s="1225">
      <c r="A289" s="1436" t="inlineStr">
        <is>
          <t>Total hors-bilan</t>
        </is>
      </c>
      <c r="C289" s="1187" t="n">
        <v>0</v>
      </c>
      <c r="D289" s="1187" t="n">
        <v>0</v>
      </c>
      <c r="E289" s="1187" t="n">
        <v>0</v>
      </c>
      <c r="F289" s="1187" t="n">
        <v>0</v>
      </c>
      <c r="G289" s="1187" t="n">
        <v>0</v>
      </c>
      <c r="H289" s="1187" t="n">
        <v>0</v>
      </c>
    </row>
    <row r="290" ht="12.75" customHeight="1" s="1225">
      <c r="A290" s="1436" t="inlineStr">
        <is>
          <t>TOTAL SOCIETE</t>
        </is>
      </c>
      <c r="C290" s="1187" t="n">
        <v>0</v>
      </c>
      <c r="D290" s="1187" t="n">
        <v>3.0517578125e-07</v>
      </c>
      <c r="E290" s="1187" t="n">
        <v>247952541008.58</v>
      </c>
      <c r="F290" s="1187" t="n">
        <v>247952541008.58</v>
      </c>
      <c r="G290" s="1187" t="n">
        <v>0</v>
      </c>
      <c r="H290" s="1187" t="n">
        <v>0</v>
      </c>
    </row>
    <row r="292" ht="12.75" customHeight="1" s="1225">
      <c r="D292" s="1187">
        <f>SUM(D2:D291)</f>
        <v/>
      </c>
      <c r="E292" s="1187">
        <f>SUM(E2:E291)</f>
        <v/>
      </c>
    </row>
  </sheetData>
  <pageMargins left="0.7" right="0.7" top="0.75" bottom="0.75" header="0.3" footer="0.3"/>
  <pageSetup orientation="portrait" paperSize="9" scale="58"/>
</worksheet>
</file>

<file path=xl/worksheets/sheet2.xml><?xml version="1.0" encoding="utf-8"?>
<worksheet xmlns="http://schemas.openxmlformats.org/spreadsheetml/2006/main">
  <sheetPr codeName="Feuil1">
    <tabColor theme="4" tint="0.5999938962981048"/>
    <outlinePr summaryBelow="1" summaryRight="1"/>
    <pageSetUpPr fitToPage="1"/>
  </sheetPr>
  <dimension ref="A1:M53"/>
  <sheetViews>
    <sheetView showGridLines="0" workbookViewId="0">
      <selection activeCell="O9" sqref="O9"/>
    </sheetView>
  </sheetViews>
  <sheetFormatPr baseColWidth="10" defaultColWidth="11.42578125" defaultRowHeight="15"/>
  <cols>
    <col width="1.28515625" customWidth="1" style="1225" min="1" max="1"/>
    <col width="0.85546875" customWidth="1" style="1225" min="2" max="2"/>
    <col width="1.28515625" customWidth="1" style="1225" min="3" max="3"/>
    <col width="8.7109375" customWidth="1" style="1225" min="4" max="4"/>
    <col width="10.5703125" customWidth="1" style="1225" min="5" max="5"/>
    <col width="13.140625" customWidth="1" style="1225" min="8" max="8"/>
    <col width="8.7109375" customWidth="1" style="1225" min="10" max="10"/>
    <col width="1.28515625" customWidth="1" style="1225" min="12" max="12"/>
    <col width="0.85546875" customWidth="1" style="1225" min="13" max="13"/>
  </cols>
  <sheetData>
    <row r="1" ht="3.75" customHeight="1" s="1225" thickBot="1">
      <c r="A1" s="1229" t="n"/>
      <c r="B1" s="1229" t="n"/>
      <c r="C1" s="1229" t="n"/>
      <c r="D1" s="1229" t="n"/>
      <c r="E1" s="1229" t="n"/>
      <c r="F1" s="1229" t="n"/>
      <c r="G1" s="1229" t="n"/>
      <c r="H1" s="1229" t="n"/>
      <c r="I1" s="1229" t="n"/>
      <c r="J1" s="1229" t="n"/>
      <c r="K1" s="1229" t="n"/>
      <c r="L1" s="1229" t="n"/>
      <c r="M1" s="1229" t="n"/>
    </row>
    <row r="2" ht="4.5" customHeight="1" s="1225">
      <c r="A2" s="1229" t="n"/>
      <c r="B2" s="628" t="n"/>
      <c r="C2" s="1392" t="n"/>
      <c r="D2" s="1392" t="n"/>
      <c r="E2" s="1392" t="n"/>
      <c r="F2" s="1392" t="n"/>
      <c r="G2" s="1392" t="n"/>
      <c r="H2" s="1392" t="n"/>
      <c r="I2" s="1392" t="n"/>
      <c r="J2" s="1392" t="n"/>
      <c r="K2" s="1392" t="n"/>
      <c r="L2" s="1392" t="n"/>
      <c r="M2" s="1393" t="n"/>
    </row>
    <row r="3">
      <c r="A3" s="1229" t="n"/>
      <c r="B3" s="631" t="n"/>
      <c r="C3" s="1226" t="n"/>
      <c r="D3" s="1227" t="n"/>
      <c r="E3" s="1227" t="n"/>
      <c r="F3" s="1227" t="n"/>
      <c r="G3" s="1227" t="n"/>
      <c r="H3" s="1227" t="n"/>
      <c r="I3" s="1227" t="n"/>
      <c r="J3" s="1227" t="n"/>
      <c r="K3" s="1227" t="n"/>
      <c r="L3" s="633" t="n"/>
      <c r="M3" s="1534" t="n"/>
    </row>
    <row r="4" ht="17.45" customHeight="1" s="1225">
      <c r="A4" s="1229" t="n"/>
      <c r="B4" s="631" t="n"/>
      <c r="C4" s="1228" t="n"/>
      <c r="D4" s="1229" t="n"/>
      <c r="F4" s="1230" t="inlineStr">
        <is>
          <t>BURKINA FASO</t>
        </is>
      </c>
      <c r="G4" s="1229" t="n"/>
      <c r="H4" s="1229" t="n"/>
      <c r="I4" s="1229" t="n"/>
      <c r="K4" s="585" t="n"/>
      <c r="L4" s="635" t="n"/>
      <c r="M4" s="1534" t="n"/>
    </row>
    <row r="5">
      <c r="A5" s="1229" t="n"/>
      <c r="B5" s="631" t="n"/>
      <c r="C5" s="1228" t="n"/>
      <c r="D5" s="1229" t="n"/>
      <c r="F5" s="636" t="n"/>
      <c r="G5" s="636" t="n"/>
      <c r="H5" s="636" t="n"/>
      <c r="I5" s="1229" t="n"/>
      <c r="K5" s="1229" t="n"/>
      <c r="L5" s="635" t="n"/>
      <c r="M5" s="1534" t="n"/>
    </row>
    <row r="6" ht="15.6" customHeight="1" s="1225">
      <c r="A6" s="1229" t="n"/>
      <c r="B6" s="631" t="n"/>
      <c r="C6" s="1231" t="inlineStr">
        <is>
          <t xml:space="preserve">   MINISTERE DE L'ECONOMIE DES FINANCES ET DU DEVELOPPEMENT</t>
        </is>
      </c>
      <c r="D6" s="1229" t="n"/>
      <c r="E6" s="1229" t="n"/>
      <c r="F6" s="1229" t="n"/>
      <c r="G6" s="1229" t="n"/>
      <c r="H6" s="1229" t="n"/>
      <c r="I6" s="1229" t="n"/>
      <c r="J6" s="1229" t="n"/>
      <c r="K6" s="1229" t="n"/>
      <c r="L6" s="635" t="n"/>
      <c r="M6" s="1534" t="n"/>
    </row>
    <row r="7">
      <c r="A7" s="1229" t="n"/>
      <c r="B7" s="631" t="n"/>
      <c r="C7" s="1228" t="n"/>
      <c r="D7" s="1229" t="n"/>
      <c r="F7" s="636" t="n"/>
      <c r="G7" s="636" t="n"/>
      <c r="H7" s="636" t="n"/>
      <c r="I7" s="1229" t="n"/>
      <c r="K7" s="1229" t="n"/>
      <c r="L7" s="635" t="n"/>
      <c r="M7" s="1534" t="n"/>
    </row>
    <row r="8" ht="15.6" customHeight="1" s="1225">
      <c r="A8" s="1229" t="n"/>
      <c r="B8" s="631" t="n"/>
      <c r="C8" s="1228" t="n"/>
      <c r="D8" s="1229" t="n"/>
      <c r="F8" s="1232" t="inlineStr">
        <is>
          <t>DIRECTION GENERALE DES IMPOTS</t>
        </is>
      </c>
      <c r="G8" s="1229" t="n"/>
      <c r="H8" s="1229" t="n"/>
      <c r="I8" s="1229" t="n"/>
      <c r="K8" s="585" t="n"/>
      <c r="L8" s="635" t="n"/>
      <c r="M8" s="1534" t="n"/>
    </row>
    <row r="9">
      <c r="A9" s="1229" t="n"/>
      <c r="B9" s="631" t="n"/>
      <c r="C9" s="1228" t="n"/>
      <c r="D9" s="1229" t="n"/>
      <c r="E9" s="1229" t="n"/>
      <c r="F9" s="1229" t="n"/>
      <c r="G9" s="1229" t="n"/>
      <c r="H9" s="1229" t="n"/>
      <c r="I9" s="1229" t="n"/>
      <c r="J9" s="1229" t="n"/>
      <c r="K9" s="1229" t="n"/>
      <c r="L9" s="635" t="n"/>
      <c r="M9" s="1534" t="n"/>
    </row>
    <row r="10">
      <c r="A10" s="1229" t="n"/>
      <c r="B10" s="631" t="n"/>
      <c r="C10" s="1228" t="n"/>
      <c r="D10" s="1229" t="n"/>
      <c r="E10" s="1229" t="n"/>
      <c r="F10" s="1229" t="n"/>
      <c r="G10" s="1229" t="n"/>
      <c r="H10" s="1229" t="n"/>
      <c r="I10" s="1229" t="n"/>
      <c r="J10" s="1229" t="n"/>
      <c r="K10" s="1229" t="n"/>
      <c r="L10" s="635" t="n"/>
      <c r="M10" s="1534" t="n"/>
    </row>
    <row r="11">
      <c r="A11" s="1229" t="n"/>
      <c r="B11" s="631" t="n"/>
      <c r="C11" s="1228" t="n"/>
      <c r="D11" s="1229" t="n"/>
      <c r="E11" s="1229" t="n"/>
      <c r="F11" s="1229" t="n"/>
      <c r="G11" s="1229" t="n"/>
      <c r="H11" s="1229" t="n"/>
      <c r="I11" s="1229" t="n"/>
      <c r="J11" s="1229" t="inlineStr">
        <is>
          <t xml:space="preserve"> </t>
        </is>
      </c>
      <c r="K11" s="1229" t="n"/>
      <c r="L11" s="635" t="n"/>
      <c r="M11" s="1534" t="n"/>
    </row>
    <row r="12">
      <c r="A12" s="1229" t="n"/>
      <c r="B12" s="631" t="n"/>
      <c r="C12" s="1228" t="n"/>
      <c r="D12" s="1229" t="n"/>
      <c r="E12" s="1229" t="n"/>
      <c r="F12" s="1229" t="n"/>
      <c r="G12" s="1229" t="n"/>
      <c r="H12" s="1229" t="n"/>
      <c r="I12" s="1229" t="n"/>
      <c r="J12" s="1229" t="n"/>
      <c r="K12" s="1229" t="n"/>
      <c r="L12" s="635" t="n"/>
      <c r="M12" s="1534" t="n"/>
    </row>
    <row r="13">
      <c r="A13" s="1229" t="n"/>
      <c r="B13" s="631" t="n"/>
      <c r="C13" s="1228" t="n"/>
      <c r="D13" s="1229" t="n"/>
      <c r="E13" s="1229" t="n"/>
      <c r="F13" s="1229" t="n"/>
      <c r="G13" s="1229" t="n"/>
      <c r="H13" s="1229" t="n"/>
      <c r="I13" s="1229" t="n"/>
      <c r="J13" s="1229" t="n"/>
      <c r="K13" s="1229" t="n"/>
      <c r="L13" s="635" t="n"/>
      <c r="M13" s="1534" t="n"/>
    </row>
    <row r="14">
      <c r="A14" s="1229" t="n"/>
      <c r="B14" s="631" t="n"/>
      <c r="C14" s="1228" t="n"/>
      <c r="D14" s="1229" t="n"/>
      <c r="E14" s="1229" t="n"/>
      <c r="F14" s="1229" t="n"/>
      <c r="G14" s="1229" t="n"/>
      <c r="H14" s="1229" t="n"/>
      <c r="I14" s="1229" t="n"/>
      <c r="J14" s="1229" t="n"/>
      <c r="K14" s="1229" t="n"/>
      <c r="L14" s="635" t="n"/>
      <c r="M14" s="1534" t="n"/>
    </row>
    <row r="15">
      <c r="A15" s="1229" t="n"/>
      <c r="B15" s="631" t="n"/>
      <c r="C15" s="1228" t="n"/>
      <c r="D15" s="1229" t="n"/>
      <c r="E15" s="1229" t="n"/>
      <c r="F15" s="1229" t="n"/>
      <c r="G15" s="1229" t="n"/>
      <c r="H15" s="1229" t="n"/>
      <c r="I15" s="1229" t="n"/>
      <c r="J15" s="1229" t="n"/>
      <c r="K15" s="1229" t="n"/>
      <c r="L15" s="635" t="n"/>
      <c r="M15" s="1534" t="n"/>
    </row>
    <row r="16">
      <c r="A16" s="1229" t="n"/>
      <c r="B16" s="631" t="n"/>
      <c r="C16" s="1228" t="n"/>
      <c r="D16" s="1229" t="n"/>
      <c r="E16" s="1229" t="n"/>
      <c r="F16" s="1229" t="n"/>
      <c r="G16" s="1229" t="n"/>
      <c r="H16" s="1229" t="n"/>
      <c r="I16" s="1229" t="n"/>
      <c r="J16" s="1229" t="n"/>
      <c r="K16" s="1229" t="n"/>
      <c r="L16" s="635" t="n"/>
      <c r="M16" s="1534" t="n"/>
    </row>
    <row r="17">
      <c r="A17" s="1229" t="n"/>
      <c r="B17" s="631" t="n"/>
      <c r="C17" s="1228" t="n"/>
      <c r="D17" s="1229" t="n"/>
      <c r="E17" s="1229" t="n"/>
      <c r="F17" s="1229" t="n"/>
      <c r="G17" s="1229" t="n"/>
      <c r="H17" s="1229" t="n"/>
      <c r="I17" s="1229" t="n"/>
      <c r="J17" s="1229" t="n"/>
      <c r="K17" s="1229" t="n"/>
      <c r="L17" s="635" t="n"/>
      <c r="M17" s="1534" t="n"/>
    </row>
    <row r="18">
      <c r="A18" s="1229" t="n"/>
      <c r="B18" s="631" t="n"/>
      <c r="C18" s="1228" t="n"/>
      <c r="D18" s="1229" t="n"/>
      <c r="E18" s="1229" t="n"/>
      <c r="F18" s="1229" t="n"/>
      <c r="G18" s="1229" t="n"/>
      <c r="H18" s="1229" t="n"/>
      <c r="I18" s="1229" t="n"/>
      <c r="J18" s="1229" t="n"/>
      <c r="K18" s="1229" t="n"/>
      <c r="L18" s="635" t="n"/>
      <c r="M18" s="1534" t="n"/>
    </row>
    <row r="19">
      <c r="A19" s="1229" t="n"/>
      <c r="B19" s="631" t="n"/>
      <c r="C19" s="1228" t="n"/>
      <c r="D19" s="1229" t="n"/>
      <c r="E19" s="1229" t="n"/>
      <c r="F19" s="1229" t="n"/>
      <c r="G19" s="1229" t="n"/>
      <c r="H19" s="1229" t="n"/>
      <c r="I19" s="1229" t="n"/>
      <c r="J19" s="1229" t="n"/>
      <c r="K19" s="1229" t="n"/>
      <c r="L19" s="635" t="n"/>
      <c r="M19" s="1534" t="n"/>
    </row>
    <row r="20">
      <c r="A20" s="1229" t="n"/>
      <c r="B20" s="631" t="n"/>
      <c r="C20" s="1228" t="n"/>
      <c r="D20" s="1229" t="n"/>
      <c r="E20" s="1229" t="n"/>
      <c r="F20" s="1229" t="n"/>
      <c r="G20" s="1229" t="n"/>
      <c r="H20" s="1229" t="n"/>
      <c r="I20" s="1229" t="n"/>
      <c r="J20" s="1229" t="n"/>
      <c r="K20" s="1229" t="n"/>
      <c r="L20" s="635" t="n"/>
      <c r="M20" s="1534" t="n"/>
    </row>
    <row r="21">
      <c r="A21" s="1229" t="n"/>
      <c r="B21" s="631" t="n"/>
      <c r="C21" s="1228" t="n"/>
      <c r="D21" s="1229" t="n"/>
      <c r="E21" s="1229" t="n"/>
      <c r="F21" s="1229" t="n"/>
      <c r="G21" s="1229" t="n"/>
      <c r="H21" s="1229" t="n"/>
      <c r="I21" s="1229" t="n"/>
      <c r="J21" s="1229" t="n"/>
      <c r="K21" s="1229" t="n"/>
      <c r="L21" s="635" t="n"/>
      <c r="M21" s="1534" t="n"/>
    </row>
    <row r="22">
      <c r="A22" s="1229" t="n"/>
      <c r="B22" s="631" t="n"/>
      <c r="C22" s="1228" t="n"/>
      <c r="D22" s="1229" t="n"/>
      <c r="E22" s="1229" t="n"/>
      <c r="F22" s="1229" t="n"/>
      <c r="G22" s="1229" t="n"/>
      <c r="H22" s="1229" t="n"/>
      <c r="I22" s="1229" t="n"/>
      <c r="J22" s="1229" t="n"/>
      <c r="K22" s="1229" t="n"/>
      <c r="L22" s="635" t="n"/>
      <c r="M22" s="1534" t="n"/>
    </row>
    <row r="23">
      <c r="A23" s="1229" t="n"/>
      <c r="B23" s="631" t="n"/>
      <c r="C23" s="1228" t="n"/>
      <c r="D23" s="1229" t="n"/>
      <c r="E23" s="1229" t="n"/>
      <c r="F23" s="1229" t="n"/>
      <c r="G23" s="1229" t="n"/>
      <c r="H23" s="1229" t="n"/>
      <c r="I23" s="1229" t="n"/>
      <c r="J23" s="1229" t="n"/>
      <c r="K23" s="1229" t="n"/>
      <c r="L23" s="635" t="n"/>
      <c r="M23" s="1534" t="n"/>
    </row>
    <row r="24">
      <c r="A24" s="1229" t="n"/>
      <c r="B24" s="631" t="n"/>
      <c r="C24" s="1228" t="n"/>
      <c r="D24" s="1229" t="n"/>
      <c r="E24" s="1229" t="n"/>
      <c r="F24" s="1229" t="n"/>
      <c r="G24" s="1229" t="n"/>
      <c r="H24" s="1229" t="n"/>
      <c r="I24" s="1229" t="n"/>
      <c r="J24" s="1229" t="n"/>
      <c r="K24" s="1229" t="n"/>
      <c r="L24" s="635" t="n"/>
      <c r="M24" s="1534" t="n"/>
    </row>
    <row r="25">
      <c r="A25" s="1229" t="n"/>
      <c r="B25" s="631" t="n"/>
      <c r="C25" s="1228" t="n"/>
      <c r="D25" s="1229" t="n"/>
      <c r="E25" s="1229" t="n"/>
      <c r="F25" s="1229" t="n"/>
      <c r="G25" s="1229" t="n"/>
      <c r="H25" s="1229" t="n"/>
      <c r="I25" s="1229" t="n"/>
      <c r="J25" s="1229" t="n"/>
      <c r="K25" s="1229" t="n"/>
      <c r="L25" s="635" t="n"/>
      <c r="M25" s="1534" t="n"/>
    </row>
    <row r="26">
      <c r="A26" s="1229" t="n"/>
      <c r="B26" s="631" t="n"/>
      <c r="C26" s="1228" t="n"/>
      <c r="D26" s="1229" t="n"/>
      <c r="E26" s="1233" t="n"/>
      <c r="F26" s="1229" t="n"/>
      <c r="G26" s="1229" t="n"/>
      <c r="H26" s="1229" t="n"/>
      <c r="I26" s="1229" t="n"/>
      <c r="J26" s="1229" t="n"/>
      <c r="K26" s="1229" t="n"/>
      <c r="L26" s="635" t="n"/>
      <c r="M26" s="1534" t="n"/>
    </row>
    <row r="27">
      <c r="A27" s="1229" t="n"/>
      <c r="B27" s="631" t="n"/>
      <c r="C27" s="1228" t="n"/>
      <c r="D27" s="1229" t="n"/>
      <c r="E27" s="1229" t="n"/>
      <c r="F27" s="1229" t="n"/>
      <c r="G27" s="1229" t="n"/>
      <c r="H27" s="1229" t="n"/>
      <c r="I27" s="1229" t="n"/>
      <c r="J27" s="1229" t="n"/>
      <c r="K27" s="1229" t="n"/>
      <c r="L27" s="635" t="n"/>
      <c r="M27" s="1534" t="n"/>
    </row>
    <row r="28">
      <c r="A28" s="1229" t="n"/>
      <c r="B28" s="631" t="n"/>
      <c r="C28" s="1228" t="n"/>
      <c r="D28" s="1229" t="n"/>
      <c r="E28" s="1229" t="n"/>
      <c r="F28" s="1229" t="n"/>
      <c r="G28" s="1229" t="n"/>
      <c r="H28" s="1229" t="n"/>
      <c r="I28" s="1229" t="n"/>
      <c r="J28" s="1229" t="n"/>
      <c r="K28" s="1229" t="n"/>
      <c r="L28" s="635" t="n"/>
      <c r="M28" s="1534" t="n"/>
    </row>
    <row r="29">
      <c r="A29" s="1229" t="n"/>
      <c r="B29" s="631" t="n"/>
      <c r="C29" s="1228" t="n"/>
      <c r="D29" s="1229" t="n"/>
      <c r="E29" s="1229" t="n"/>
      <c r="F29" s="1229" t="n"/>
      <c r="G29" s="1229" t="n"/>
      <c r="H29" s="1229" t="n"/>
      <c r="I29" s="1229" t="n"/>
      <c r="J29" s="1229" t="n"/>
      <c r="K29" s="1229" t="n"/>
      <c r="L29" s="635" t="n"/>
      <c r="M29" s="1534" t="n"/>
    </row>
    <row r="30">
      <c r="A30" s="1229" t="n"/>
      <c r="B30" s="631" t="n"/>
      <c r="C30" s="1228" t="n"/>
      <c r="D30" s="1229" t="n"/>
      <c r="K30" s="1229" t="n"/>
      <c r="L30" s="635" t="n"/>
      <c r="M30" s="1534" t="n"/>
    </row>
    <row r="31" ht="25.9" customHeight="1" s="1225">
      <c r="A31" s="1229" t="n"/>
      <c r="B31" s="631" t="n"/>
      <c r="C31" s="1228" t="n"/>
      <c r="D31" s="1229" t="n"/>
      <c r="E31" s="1234" t="inlineStr">
        <is>
          <t>LIASSE SYSTEME NORMAL</t>
        </is>
      </c>
      <c r="F31" s="1229" t="n"/>
      <c r="G31" s="1229" t="n"/>
      <c r="H31" s="1229" t="n"/>
      <c r="I31" s="1229" t="n"/>
      <c r="J31" s="1229" t="n"/>
      <c r="K31" s="1229" t="n"/>
      <c r="L31" s="635" t="n"/>
      <c r="M31" s="1534" t="n"/>
    </row>
    <row r="32">
      <c r="A32" s="1229" t="n"/>
      <c r="B32" s="631" t="n"/>
      <c r="C32" s="638" t="n"/>
      <c r="D32" s="639" t="n"/>
      <c r="K32" s="1229" t="n"/>
      <c r="L32" s="635" t="n"/>
      <c r="M32" s="1534" t="n"/>
    </row>
    <row r="33">
      <c r="A33" s="1229" t="n"/>
      <c r="B33" s="631" t="n"/>
      <c r="C33" s="1228" t="n"/>
      <c r="D33" s="1229" t="n"/>
      <c r="K33" s="1229" t="n"/>
      <c r="L33" s="635" t="n"/>
      <c r="M33" s="1534" t="n"/>
    </row>
    <row r="34">
      <c r="A34" s="1229" t="n"/>
      <c r="B34" s="631" t="n"/>
      <c r="C34" s="1228" t="n"/>
      <c r="D34" s="1229" t="n"/>
      <c r="E34" s="1229" t="n"/>
      <c r="F34" s="1229" t="n"/>
      <c r="G34" s="1229" t="n"/>
      <c r="H34" s="1229" t="n"/>
      <c r="I34" s="1229" t="n"/>
      <c r="J34" s="1229" t="n"/>
      <c r="K34" s="1229" t="n"/>
      <c r="L34" s="635" t="n"/>
      <c r="M34" s="1534" t="n"/>
    </row>
    <row r="35">
      <c r="A35" s="1229" t="n"/>
      <c r="B35" s="631" t="n"/>
      <c r="C35" s="1228" t="n"/>
      <c r="D35" s="1229" t="n"/>
      <c r="E35" s="1229" t="n"/>
      <c r="F35" s="1229" t="n"/>
      <c r="G35" s="1229" t="n"/>
      <c r="H35" s="1229" t="n"/>
      <c r="I35" s="1229" t="n"/>
      <c r="J35" s="1229" t="n"/>
      <c r="K35" s="1229" t="n"/>
      <c r="L35" s="635" t="n"/>
      <c r="M35" s="1534" t="n"/>
    </row>
    <row r="36">
      <c r="A36" s="1229" t="n"/>
      <c r="B36" s="631" t="n"/>
      <c r="C36" s="1228" t="n"/>
      <c r="D36" s="1229" t="n"/>
      <c r="E36" s="1229" t="n"/>
      <c r="F36" s="1229" t="n"/>
      <c r="G36" s="1229" t="n"/>
      <c r="H36" s="1229" t="n"/>
      <c r="I36" s="1229" t="n"/>
      <c r="J36" s="1229" t="n"/>
      <c r="K36" s="1229" t="n"/>
      <c r="L36" s="635" t="n"/>
      <c r="M36" s="1534" t="n"/>
    </row>
    <row r="37">
      <c r="A37" s="1229" t="n"/>
      <c r="B37" s="631" t="n"/>
      <c r="C37" s="1228" t="n"/>
      <c r="D37" s="1229" t="n"/>
      <c r="E37" s="1229" t="n"/>
      <c r="F37" s="1229" t="n"/>
      <c r="G37" s="1229" t="n"/>
      <c r="H37" s="1229" t="n"/>
      <c r="I37" s="1229" t="n"/>
      <c r="J37" s="1229" t="n"/>
      <c r="K37" s="1229" t="n"/>
      <c r="L37" s="635" t="n"/>
      <c r="M37" s="1534" t="n"/>
    </row>
    <row r="38">
      <c r="A38" s="1229" t="n"/>
      <c r="B38" s="631" t="n"/>
      <c r="C38" s="1228" t="n"/>
      <c r="D38" s="1229" t="n"/>
      <c r="E38" s="1229" t="n"/>
      <c r="F38" s="1229" t="n"/>
      <c r="G38" s="1229" t="n"/>
      <c r="H38" s="1229" t="n"/>
      <c r="I38" s="1229" t="n"/>
      <c r="J38" s="1229" t="n"/>
      <c r="K38" s="1229" t="n"/>
      <c r="L38" s="635" t="n"/>
      <c r="M38" s="1534" t="n"/>
    </row>
    <row r="39">
      <c r="A39" s="1229" t="n"/>
      <c r="B39" s="631" t="n"/>
      <c r="C39" s="1228" t="n"/>
      <c r="D39" s="1229" t="n"/>
      <c r="E39" s="1229" t="n"/>
      <c r="F39" s="1229" t="n"/>
      <c r="G39" s="1229" t="n"/>
      <c r="H39" s="1229" t="n"/>
      <c r="I39" s="1229" t="n"/>
      <c r="J39" s="1229" t="n"/>
      <c r="K39" s="1229" t="n"/>
      <c r="L39" s="635" t="n"/>
      <c r="M39" s="1534" t="n"/>
    </row>
    <row r="40">
      <c r="A40" s="1229" t="n"/>
      <c r="B40" s="631" t="n"/>
      <c r="C40" s="1228" t="n"/>
      <c r="D40" s="1229" t="n"/>
      <c r="E40" s="1229" t="n"/>
      <c r="F40" s="1229" t="n"/>
      <c r="G40" s="1229" t="n"/>
      <c r="H40" s="1229" t="n"/>
      <c r="I40" s="1229" t="n"/>
      <c r="J40" s="1229" t="n"/>
      <c r="K40" s="1229" t="n"/>
      <c r="L40" s="635" t="n"/>
      <c r="M40" s="1534" t="n"/>
    </row>
    <row r="41">
      <c r="A41" s="1229" t="n"/>
      <c r="B41" s="631" t="n"/>
      <c r="C41" s="1228" t="n"/>
      <c r="D41" s="1229" t="n"/>
      <c r="E41" s="1229" t="n"/>
      <c r="F41" s="1229" t="n"/>
      <c r="G41" s="1229" t="n"/>
      <c r="H41" s="1229" t="n"/>
      <c r="I41" s="1229" t="n"/>
      <c r="J41" s="1229" t="n"/>
      <c r="K41" s="1229" t="n"/>
      <c r="L41" s="635" t="n"/>
      <c r="M41" s="1534" t="n"/>
    </row>
    <row r="42">
      <c r="A42" s="1229" t="n"/>
      <c r="B42" s="631" t="n"/>
      <c r="C42" s="1228" t="n"/>
      <c r="D42" s="1229" t="n"/>
      <c r="E42" s="1229" t="n"/>
      <c r="F42" s="1229" t="n"/>
      <c r="G42" s="1229" t="n"/>
      <c r="H42" s="1229" t="n"/>
      <c r="I42" s="1229" t="n"/>
      <c r="J42" s="1229" t="n"/>
      <c r="K42" s="1229" t="n"/>
      <c r="L42" s="635" t="n"/>
      <c r="M42" s="1534" t="n"/>
    </row>
    <row r="43">
      <c r="A43" s="1229" t="n"/>
      <c r="B43" s="631" t="n"/>
      <c r="C43" s="1228" t="n"/>
      <c r="D43" s="1229" t="n"/>
      <c r="E43" s="1229" t="n"/>
      <c r="F43" s="1229" t="n"/>
      <c r="G43" s="1229" t="n"/>
      <c r="H43" s="1229" t="n"/>
      <c r="I43" s="1229" t="n"/>
      <c r="J43" s="1229" t="n"/>
      <c r="K43" s="1229" t="n"/>
      <c r="L43" s="635" t="n"/>
      <c r="M43" s="1534" t="n"/>
    </row>
    <row r="44">
      <c r="A44" s="1229" t="n"/>
      <c r="B44" s="631" t="n"/>
      <c r="C44" s="1228" t="n"/>
      <c r="D44" s="1229" t="n"/>
      <c r="E44" s="1229" t="n"/>
      <c r="F44" s="1229" t="n"/>
      <c r="G44" s="1229" t="n"/>
      <c r="H44" s="1229" t="n"/>
      <c r="I44" s="1229" t="n"/>
      <c r="J44" s="1229" t="n"/>
      <c r="K44" s="1229" t="n"/>
      <c r="L44" s="635" t="n"/>
      <c r="M44" s="1534" t="n"/>
    </row>
    <row r="45">
      <c r="A45" s="1229" t="n"/>
      <c r="B45" s="631" t="n"/>
      <c r="C45" s="1228" t="n"/>
      <c r="D45" s="1229" t="n"/>
      <c r="E45" s="1229" t="n"/>
      <c r="F45" s="1229" t="n"/>
      <c r="G45" s="1229" t="n"/>
      <c r="H45" s="1229" t="n"/>
      <c r="I45" s="1229" t="n"/>
      <c r="J45" s="1229" t="n"/>
      <c r="K45" s="1229" t="n"/>
      <c r="L45" s="635" t="n"/>
      <c r="M45" s="1534" t="n"/>
    </row>
    <row r="46">
      <c r="A46" s="1229" t="n"/>
      <c r="B46" s="631" t="n"/>
      <c r="C46" s="1228" t="n"/>
      <c r="D46" s="1229" t="n"/>
      <c r="E46" s="1229" t="n"/>
      <c r="F46" s="1229" t="n"/>
      <c r="G46" s="1229" t="n"/>
      <c r="H46" s="1229" t="n"/>
      <c r="I46" s="1229" t="n"/>
      <c r="J46" s="1229" t="n"/>
      <c r="K46" s="1229" t="n"/>
      <c r="L46" s="635" t="n"/>
      <c r="M46" s="1534" t="n"/>
    </row>
    <row r="47">
      <c r="A47" s="1229" t="n"/>
      <c r="B47" s="631" t="n"/>
      <c r="C47" s="1228" t="n"/>
      <c r="D47" s="1229" t="n"/>
      <c r="E47" s="1229" t="n"/>
      <c r="F47" s="1229" t="n"/>
      <c r="G47" s="1229" t="n"/>
      <c r="H47" s="1229" t="n"/>
      <c r="I47" s="1229" t="n"/>
      <c r="J47" s="1229" t="n"/>
      <c r="K47" s="1229" t="n"/>
      <c r="L47" s="635" t="n"/>
      <c r="M47" s="1534" t="n"/>
    </row>
    <row r="48">
      <c r="A48" s="1229" t="n"/>
      <c r="B48" s="631" t="n"/>
      <c r="C48" s="1228" t="n"/>
      <c r="D48" s="1229" t="n"/>
      <c r="E48" s="1229" t="n"/>
      <c r="F48" s="1229" t="n"/>
      <c r="G48" s="1229" t="n"/>
      <c r="H48" s="1229" t="n"/>
      <c r="I48" s="1229" t="n"/>
      <c r="J48" s="1229" t="n"/>
      <c r="K48" s="1229" t="n"/>
      <c r="L48" s="635" t="n"/>
      <c r="M48" s="1534" t="n"/>
    </row>
    <row r="49">
      <c r="A49" s="1229" t="n"/>
      <c r="B49" s="631" t="n"/>
      <c r="C49" s="1228" t="n"/>
      <c r="D49" s="1229" t="n"/>
      <c r="E49" s="1229" t="n"/>
      <c r="F49" s="1229" t="n"/>
      <c r="G49" s="1229" t="n"/>
      <c r="H49" s="1229" t="n"/>
      <c r="I49" s="1229" t="n"/>
      <c r="J49" s="1229" t="n"/>
      <c r="K49" s="1229" t="n"/>
      <c r="L49" s="635" t="n"/>
      <c r="M49" s="1534" t="n"/>
    </row>
    <row r="50">
      <c r="A50" s="1229" t="n"/>
      <c r="B50" s="631" t="n"/>
      <c r="C50" s="1228" t="n"/>
      <c r="D50" s="1229" t="n"/>
      <c r="E50" s="1229" t="n"/>
      <c r="F50" s="1229" t="n"/>
      <c r="G50" s="1229" t="n"/>
      <c r="H50" s="1229" t="n"/>
      <c r="I50" s="1229" t="n"/>
      <c r="J50" s="1229" t="n"/>
      <c r="K50" s="1229" t="n"/>
      <c r="L50" s="635" t="n"/>
      <c r="M50" s="1534" t="n"/>
    </row>
    <row r="51">
      <c r="A51" s="1229" t="n"/>
      <c r="B51" s="631" t="n"/>
      <c r="C51" s="1228" t="n"/>
      <c r="D51" s="1229" t="n"/>
      <c r="E51" s="1229" t="n"/>
      <c r="F51" s="1229" t="n"/>
      <c r="G51" s="1229" t="n"/>
      <c r="H51" s="1229" t="n"/>
      <c r="I51" s="1229" t="n"/>
      <c r="J51" s="1229" t="n"/>
      <c r="K51" s="1229" t="n"/>
      <c r="L51" s="635" t="n"/>
      <c r="M51" s="1534" t="n"/>
    </row>
    <row r="52">
      <c r="A52" s="1229" t="n"/>
      <c r="B52" s="631" t="n"/>
      <c r="C52" s="645" t="n"/>
      <c r="D52" s="640" t="n"/>
      <c r="E52" s="640" t="n"/>
      <c r="F52" s="640" t="n"/>
      <c r="G52" s="640" t="n"/>
      <c r="H52" s="640" t="n"/>
      <c r="I52" s="640" t="n"/>
      <c r="J52" s="640" t="n"/>
      <c r="K52" s="640" t="n"/>
      <c r="L52" s="641" t="n"/>
      <c r="M52" s="1534" t="n"/>
    </row>
    <row r="53" ht="5.25" customHeight="1" s="1225" thickBot="1">
      <c r="A53" s="1229" t="n"/>
      <c r="B53" s="642" t="n"/>
      <c r="C53" s="1807" t="n"/>
      <c r="D53" s="1807" t="n"/>
      <c r="E53" s="1807" t="n"/>
      <c r="F53" s="1807" t="n"/>
      <c r="G53" s="1807" t="n"/>
      <c r="H53" s="1807" t="n"/>
      <c r="I53" s="1807" t="n"/>
      <c r="J53" s="1807" t="n"/>
      <c r="K53" s="1807" t="n"/>
      <c r="L53" s="1807" t="n"/>
      <c r="M53" s="1808" t="n"/>
    </row>
  </sheetData>
  <mergeCells count="20">
    <mergeCell ref="C15:D15"/>
    <mergeCell ref="C5:D5"/>
    <mergeCell ref="E26:J29"/>
    <mergeCell ref="C14:D14"/>
    <mergeCell ref="E31:J31"/>
    <mergeCell ref="C4:D4"/>
    <mergeCell ref="C10:D10"/>
    <mergeCell ref="C16:D16"/>
    <mergeCell ref="F4:I4"/>
    <mergeCell ref="C9:D9"/>
    <mergeCell ref="C12:D12"/>
    <mergeCell ref="C11:D11"/>
    <mergeCell ref="C17:D17"/>
    <mergeCell ref="C8:D8"/>
    <mergeCell ref="C6:K6"/>
    <mergeCell ref="C7:D7"/>
    <mergeCell ref="F8:I8"/>
    <mergeCell ref="C13:D13"/>
    <mergeCell ref="C18:D18"/>
    <mergeCell ref="C3:D3"/>
  </mergeCells>
  <printOptions horizontalCentered="1" verticalCentered="1"/>
  <pageMargins left="0.5118110236220472" right="0.5118110236220472" top="0.3543307086614174" bottom="0.3543307086614174" header="0.3149606299212598" footer="0.3149606299212598"/>
  <pageSetup orientation="portrait" paperSize="9" scale="99"/>
</worksheet>
</file>

<file path=xl/worksheets/sheet3.xml><?xml version="1.0" encoding="utf-8"?>
<worksheet xmlns="http://schemas.openxmlformats.org/spreadsheetml/2006/main">
  <sheetPr codeName="Feuil2">
    <tabColor theme="4" tint="0.5999938962981048"/>
    <outlinePr summaryBelow="1" summaryRight="1"/>
    <pageSetUpPr fitToPage="1"/>
  </sheetPr>
  <dimension ref="A1:L48"/>
  <sheetViews>
    <sheetView showGridLines="0" topLeftCell="B7" workbookViewId="0">
      <selection activeCell="E17" sqref="E17:H17"/>
    </sheetView>
  </sheetViews>
  <sheetFormatPr baseColWidth="10" defaultColWidth="11.42578125" defaultRowHeight="15"/>
  <cols>
    <col width="1" customWidth="1" style="1225" min="1" max="1"/>
    <col width="19.85546875" customWidth="1" style="1225" min="2" max="2"/>
    <col width="11.28515625" customWidth="1" style="1225" min="3" max="3"/>
    <col width="11" customWidth="1" style="1225" min="4" max="4"/>
    <col width="3.140625" customWidth="1" style="1225" min="5" max="5"/>
    <col width="5.140625" customWidth="1" style="1225" min="6" max="7"/>
    <col width="3.140625" customWidth="1" style="1225" min="8" max="8"/>
    <col width="11" customWidth="1" style="1225" min="9" max="9"/>
    <col width="11.28515625" customWidth="1" style="1225" min="10" max="10"/>
    <col width="19.85546875" customWidth="1" style="1225" min="11" max="11"/>
    <col width="1" customWidth="1" style="1225" min="12" max="12"/>
  </cols>
  <sheetData>
    <row r="1">
      <c r="A1" s="19" t="n"/>
      <c r="B1" s="1248" t="n"/>
      <c r="C1" s="1248" t="n"/>
      <c r="D1" s="1248" t="n"/>
      <c r="E1" s="1248" t="n"/>
      <c r="F1" s="1248" t="n"/>
      <c r="G1" s="1248" t="n"/>
      <c r="H1" s="1248" t="n"/>
      <c r="I1" s="1248" t="n"/>
      <c r="J1" s="1248" t="n"/>
      <c r="K1" s="1248" t="n"/>
      <c r="L1" s="1249" t="n"/>
    </row>
    <row r="2" ht="19.5" customHeight="1" s="1225">
      <c r="A2" s="1355" t="n"/>
      <c r="B2" s="1235" t="inlineStr">
        <is>
          <t>BURKINA FASO</t>
        </is>
      </c>
      <c r="C2" s="1229" t="n"/>
      <c r="D2" s="1229" t="n"/>
      <c r="E2" s="1229" t="n"/>
      <c r="F2" s="1229" t="n"/>
      <c r="G2" s="1229" t="n"/>
      <c r="H2" s="1229" t="n"/>
      <c r="I2" s="1229" t="n"/>
      <c r="J2" s="1229" t="n"/>
      <c r="K2" s="1229" t="n"/>
      <c r="L2" s="1242" t="n"/>
    </row>
    <row r="3" ht="19.5" customHeight="1" s="1225">
      <c r="A3" s="1355" t="n"/>
      <c r="B3" s="1246" t="inlineStr">
        <is>
          <t>MINISTERE DE L'ECONOMIE DES FINANCES ET DU DEVELOPPEMENT</t>
        </is>
      </c>
      <c r="C3" s="1229" t="n"/>
      <c r="D3" s="1229" t="n"/>
      <c r="E3" s="1229" t="n"/>
      <c r="F3" s="1229" t="n"/>
      <c r="G3" s="1229" t="n"/>
      <c r="H3" s="1229" t="n"/>
      <c r="I3" s="1229" t="n"/>
      <c r="J3" s="1229" t="n"/>
      <c r="K3" s="1229" t="n"/>
      <c r="L3" s="1242" t="n"/>
    </row>
    <row r="4" ht="19.5" customHeight="1" s="1225">
      <c r="A4" s="1355" t="n"/>
      <c r="B4" s="1262" t="inlineStr">
        <is>
          <t>DIRECTION GENERALE DES IMPOTS</t>
        </is>
      </c>
      <c r="C4" s="1229" t="n"/>
      <c r="D4" s="1229" t="n"/>
      <c r="E4" s="1229" t="n"/>
      <c r="F4" s="1229" t="n"/>
      <c r="G4" s="1229" t="n"/>
      <c r="H4" s="1229" t="n"/>
      <c r="I4" s="1229" t="n"/>
      <c r="J4" s="1229" t="n"/>
      <c r="K4" s="1229" t="n"/>
      <c r="L4" s="1242" t="n"/>
    </row>
    <row r="5" ht="18" customHeight="1" s="1225">
      <c r="A5" s="1355" t="n"/>
      <c r="L5" s="1242" t="n"/>
    </row>
    <row r="6" ht="18" customHeight="1" s="1225">
      <c r="A6" s="1355" t="n"/>
      <c r="L6" s="1242" t="n"/>
    </row>
    <row r="7" ht="18" customHeight="1" s="1225">
      <c r="A7" s="1355" t="n"/>
      <c r="L7" s="1242" t="n"/>
    </row>
    <row r="8">
      <c r="A8" s="1355" t="n"/>
      <c r="C8" s="1236" t="inlineStr">
        <is>
          <t>DGE</t>
        </is>
      </c>
      <c r="L8" s="1242" t="n"/>
    </row>
    <row r="9">
      <c r="A9" s="1355" t="n"/>
      <c r="D9" s="1263" t="n"/>
      <c r="E9" s="1239" t="n"/>
      <c r="F9" s="1239" t="n"/>
      <c r="G9" s="1239" t="n"/>
      <c r="H9" s="1239" t="n"/>
      <c r="I9" s="1239" t="n"/>
      <c r="L9" s="1242" t="n"/>
    </row>
    <row r="10">
      <c r="A10" s="1355" t="n"/>
      <c r="L10" s="1242" t="n"/>
    </row>
    <row r="11">
      <c r="A11" s="1355" t="n"/>
      <c r="L11" s="1242" t="n"/>
    </row>
    <row r="12" ht="18.75" customHeight="1" s="1225">
      <c r="A12" s="1355" t="n"/>
      <c r="C12" s="1237" t="inlineStr">
        <is>
          <t>ETATS FINANCIERS NORMALISES
SYSTEME COMPTABLE OHADA (SYSCOHADA)</t>
        </is>
      </c>
      <c r="L12" s="1242" t="n"/>
    </row>
    <row r="13" ht="18.75" customHeight="1" s="1225">
      <c r="A13" s="1355" t="n"/>
      <c r="L13" s="1242" t="n"/>
    </row>
    <row r="14" ht="18.75" customHeight="1" s="1225">
      <c r="A14" s="1355" t="n"/>
      <c r="L14" s="1242" t="n"/>
    </row>
    <row r="15">
      <c r="A15" s="1355" t="n"/>
      <c r="L15" s="1242" t="n"/>
    </row>
    <row r="16">
      <c r="A16" s="1355" t="n"/>
      <c r="E16" s="1264" t="inlineStr">
        <is>
          <t>EXERCICE CLOS LE</t>
        </is>
      </c>
      <c r="L16" s="1242" t="n"/>
    </row>
    <row r="17">
      <c r="A17" s="1355" t="n"/>
      <c r="E17" s="1250" t="n">
        <v>45291</v>
      </c>
      <c r="F17" s="1239" t="n"/>
      <c r="G17" s="1239" t="n"/>
      <c r="H17" s="1239" t="n"/>
      <c r="L17" s="1242" t="n"/>
    </row>
    <row r="18" ht="20.1" customHeight="1" s="1225">
      <c r="A18" s="1355" t="n"/>
      <c r="L18" s="1242" t="n"/>
    </row>
    <row r="19" ht="20.1" customHeight="1" s="1225">
      <c r="A19" s="1355" t="n"/>
      <c r="L19" s="1242" t="n"/>
    </row>
    <row r="20" ht="15.6" customHeight="1" s="1225">
      <c r="A20" s="374" t="n"/>
      <c r="B20" s="1253" t="n"/>
      <c r="C20" s="1253" t="n"/>
      <c r="D20" s="1252" t="inlineStr">
        <is>
          <t>DESIGNATION DE L'ENTITE</t>
        </is>
      </c>
      <c r="E20" s="1253" t="n"/>
      <c r="F20" s="1253" t="n"/>
      <c r="G20" s="1253" t="n"/>
      <c r="H20" s="1253" t="n"/>
      <c r="I20" s="1253" t="n"/>
      <c r="J20" s="421" t="n"/>
      <c r="K20" s="1253" t="n"/>
      <c r="L20" s="1274" t="n"/>
    </row>
    <row r="21">
      <c r="A21" s="1355" t="n"/>
      <c r="L21" s="1242" t="n"/>
    </row>
    <row r="22" customFormat="1" s="1590">
      <c r="A22" s="24" t="n"/>
      <c r="B22" s="261" t="inlineStr">
        <is>
          <t>DENOMINATION SOCIALE :</t>
        </is>
      </c>
      <c r="C22" s="548" t="n"/>
      <c r="D22" s="1238" t="n"/>
      <c r="E22" s="1239" t="n"/>
      <c r="F22" s="1239" t="n"/>
      <c r="G22" s="1239" t="n"/>
      <c r="H22" s="1239" t="n"/>
      <c r="I22" s="1239" t="n"/>
      <c r="J22" s="1239" t="n"/>
      <c r="K22" s="1239" t="n"/>
      <c r="L22" s="427" t="n"/>
    </row>
    <row r="23" ht="12.75" customHeight="1" s="1225">
      <c r="A23" s="1355" t="n"/>
      <c r="B23" s="1680" t="inlineStr">
        <is>
          <t>(ou nom et prénoms de l'exploitant)</t>
        </is>
      </c>
      <c r="C23" s="1680" t="n"/>
      <c r="D23" s="1680" t="n"/>
      <c r="L23" s="1242" t="n"/>
    </row>
    <row r="24">
      <c r="A24" s="1355" t="n"/>
      <c r="B24" s="1238" t="n"/>
      <c r="C24" s="1239" t="n"/>
      <c r="D24" s="1239" t="n"/>
      <c r="E24" s="1239" t="n"/>
      <c r="F24" s="1239" t="n"/>
      <c r="G24" s="1239" t="n"/>
      <c r="H24" s="1239" t="n"/>
      <c r="I24" s="1239" t="n"/>
      <c r="J24" s="1239" t="n"/>
      <c r="K24" s="1239" t="n"/>
      <c r="L24" s="1242" t="n"/>
    </row>
    <row r="25" ht="9" customHeight="1" s="1225">
      <c r="A25" s="1355" t="n"/>
      <c r="L25" s="1242" t="n"/>
    </row>
    <row r="26" customFormat="1" s="1590">
      <c r="A26" s="24" t="n"/>
      <c r="B26" s="261" t="inlineStr">
        <is>
          <t>SIGLE USUEL :</t>
        </is>
      </c>
      <c r="C26" s="1238" t="n"/>
      <c r="D26" s="1239" t="n"/>
      <c r="E26" s="1239" t="n"/>
      <c r="F26" s="1239" t="n"/>
      <c r="G26" s="1239" t="n"/>
      <c r="H26" s="1239" t="n"/>
      <c r="I26" s="1239" t="n"/>
      <c r="J26" s="1239" t="n"/>
      <c r="K26" s="1239" t="n"/>
      <c r="L26" s="427" t="n"/>
    </row>
    <row r="27" ht="9" customHeight="1" s="1225">
      <c r="A27" s="1355" t="n"/>
      <c r="L27" s="1242" t="n"/>
    </row>
    <row r="28" customFormat="1" s="1590">
      <c r="A28" s="24" t="n"/>
      <c r="B28" s="261" t="inlineStr">
        <is>
          <t>ADRESSE COMPLETE :</t>
        </is>
      </c>
      <c r="C28" s="1238" t="inlineStr">
        <is>
          <t>01 BP 4928 OUAGADOUGOU 01</t>
        </is>
      </c>
      <c r="D28" s="1239" t="n"/>
      <c r="E28" s="1239" t="n"/>
      <c r="F28" s="1239" t="n"/>
      <c r="G28" s="1239" t="n"/>
      <c r="H28" s="1239" t="n"/>
      <c r="I28" s="1239" t="n"/>
      <c r="J28" s="1239" t="n"/>
      <c r="K28" s="1239" t="n"/>
      <c r="L28" s="427" t="n"/>
    </row>
    <row r="29" ht="9" customHeight="1" s="1225">
      <c r="A29" s="1355" t="n"/>
      <c r="L29" s="1242" t="n"/>
    </row>
    <row r="30" customFormat="1" s="1590">
      <c r="A30" s="24" t="n"/>
      <c r="B30" s="261" t="inlineStr">
        <is>
          <t>N° IFU DU CONTRIBUABLE  :</t>
        </is>
      </c>
      <c r="C30" s="549" t="n"/>
      <c r="D30" s="1238" t="inlineStr">
        <is>
          <t>00124780J</t>
        </is>
      </c>
      <c r="E30" s="1239" t="n"/>
      <c r="F30" s="1239" t="n"/>
      <c r="G30" s="1239" t="n"/>
      <c r="H30" s="1239" t="n"/>
      <c r="I30" s="1239" t="n"/>
      <c r="J30" s="1239" t="n"/>
      <c r="K30" s="1239" t="n"/>
      <c r="L30" s="427" t="n"/>
    </row>
    <row r="31" ht="17.25" customHeight="1" s="1225">
      <c r="A31" s="1355" t="n"/>
      <c r="B31" s="647" t="inlineStr">
        <is>
          <t>N° DE TELEDECLARANT (NES):</t>
        </is>
      </c>
      <c r="C31" s="1346" t="n"/>
      <c r="D31" s="1265" t="n">
        <v>0</v>
      </c>
      <c r="E31" s="1266" t="n"/>
      <c r="F31" s="1266" t="n"/>
      <c r="G31" s="1266" t="n"/>
      <c r="H31" s="1266" t="n"/>
      <c r="I31" s="1266" t="n"/>
      <c r="J31" s="1266" t="n"/>
      <c r="K31" s="1266" t="n"/>
      <c r="L31" s="1242" t="n"/>
    </row>
    <row r="32" ht="30" customHeight="1" s="1225">
      <c r="A32" s="1355" t="n"/>
      <c r="B32" s="1260" t="inlineStr">
        <is>
          <t>SYSTEME NORMAL</t>
        </is>
      </c>
      <c r="C32" s="1261" t="n"/>
      <c r="D32" s="1261" t="n"/>
      <c r="E32" s="1261" t="n"/>
      <c r="F32" s="1261" t="n"/>
      <c r="G32" s="1261" t="n"/>
      <c r="H32" s="1261" t="n"/>
      <c r="I32" s="1261" t="n"/>
      <c r="J32" s="1261" t="n"/>
      <c r="K32" s="1261" t="n"/>
      <c r="L32" s="1242" t="n"/>
    </row>
    <row r="33">
      <c r="A33" s="1355" t="n"/>
      <c r="B33" s="1240" t="inlineStr">
        <is>
          <t>Documents déposés</t>
        </is>
      </c>
      <c r="G33" s="1236" t="n"/>
      <c r="H33" s="1240" t="inlineStr">
        <is>
          <t>Réservé à la Direction Générale des Impôts</t>
        </is>
      </c>
      <c r="L33" s="1242" t="n"/>
    </row>
    <row r="34">
      <c r="A34" s="1355" t="n"/>
      <c r="H34" s="1342" t="n"/>
      <c r="I34" s="1342" t="n"/>
      <c r="J34" s="1342" t="n"/>
      <c r="K34" s="1342" t="n"/>
      <c r="L34" s="1242" t="n"/>
    </row>
    <row r="35" ht="17.25" customFormat="1" customHeight="1" s="1590">
      <c r="A35" s="24" t="n"/>
      <c r="B35" s="425" t="inlineStr">
        <is>
          <t>Fiche d'identification et renseignements divers</t>
        </is>
      </c>
      <c r="C35" s="426" t="n"/>
      <c r="D35" s="426" t="n"/>
      <c r="E35" s="426" t="n"/>
      <c r="F35" s="184" t="inlineStr">
        <is>
          <t>x</t>
        </is>
      </c>
      <c r="H35" s="1247" t="inlineStr">
        <is>
          <t>Date de dépôt</t>
        </is>
      </c>
      <c r="I35" s="1248" t="n"/>
      <c r="J35" s="1248" t="n"/>
      <c r="K35" s="1249" t="n"/>
      <c r="L35" s="427" t="n"/>
    </row>
    <row r="36" ht="17.25" customFormat="1" customHeight="1" s="1590">
      <c r="A36" s="24" t="n"/>
      <c r="B36" s="425" t="inlineStr">
        <is>
          <t>Bilan</t>
        </is>
      </c>
      <c r="C36" s="426" t="n"/>
      <c r="D36" s="426" t="n"/>
      <c r="E36" s="426" t="n"/>
      <c r="F36" s="184" t="inlineStr">
        <is>
          <t>x</t>
        </is>
      </c>
      <c r="H36" s="1254" t="n"/>
      <c r="I36" s="1229" t="n"/>
      <c r="J36" s="1229" t="n"/>
      <c r="K36" s="1255" t="n"/>
      <c r="L36" s="427" t="n"/>
    </row>
    <row r="37" ht="17.25" customFormat="1" customHeight="1" s="1590">
      <c r="A37" s="24" t="n"/>
      <c r="B37" s="425" t="inlineStr">
        <is>
          <t>Compte de résultat</t>
        </is>
      </c>
      <c r="C37" s="426" t="n"/>
      <c r="D37" s="426" t="n"/>
      <c r="E37" s="426" t="n"/>
      <c r="F37" s="184" t="inlineStr">
        <is>
          <t>x</t>
        </is>
      </c>
      <c r="H37" s="1256" t="n"/>
      <c r="I37" s="1229" t="n"/>
      <c r="J37" s="1229" t="n"/>
      <c r="K37" s="1255" t="n"/>
      <c r="L37" s="427" t="n"/>
    </row>
    <row r="38" ht="17.25" customFormat="1" customHeight="1" s="1590">
      <c r="A38" s="24" t="n"/>
      <c r="B38" s="425" t="inlineStr">
        <is>
          <t>Tableau des flux de trésorerie</t>
        </is>
      </c>
      <c r="C38" s="426" t="n"/>
      <c r="D38" s="426" t="n"/>
      <c r="E38" s="426" t="n"/>
      <c r="F38" s="184" t="inlineStr">
        <is>
          <t>x</t>
        </is>
      </c>
      <c r="H38" s="1257" t="n"/>
      <c r="I38" s="1258" t="n"/>
      <c r="J38" s="1258" t="n"/>
      <c r="K38" s="1259" t="n"/>
      <c r="L38" s="427" t="n"/>
    </row>
    <row r="39" ht="17.25" customFormat="1" customHeight="1" s="1590">
      <c r="A39" s="24" t="n"/>
      <c r="B39" s="425" t="inlineStr">
        <is>
          <t>Notes annexes</t>
        </is>
      </c>
      <c r="C39" s="426" t="n"/>
      <c r="D39" s="426" t="n"/>
      <c r="E39" s="426" t="n"/>
      <c r="F39" s="184" t="inlineStr">
        <is>
          <t>x</t>
        </is>
      </c>
      <c r="H39" s="1251" t="inlineStr">
        <is>
          <t>Nom de l'agent de la DGI ayant réceptionné le dépôt</t>
        </is>
      </c>
      <c r="I39" s="1248" t="n"/>
      <c r="J39" s="1248" t="n"/>
      <c r="K39" s="1249" t="n"/>
      <c r="L39" s="427" t="n"/>
    </row>
    <row r="40" ht="17.25" customFormat="1" customHeight="1" s="1590">
      <c r="A40" s="24" t="n"/>
      <c r="B40" s="425" t="inlineStr">
        <is>
          <t>Etats supplémentaires DGI</t>
        </is>
      </c>
      <c r="C40" s="426" t="n"/>
      <c r="D40" s="426" t="n"/>
      <c r="E40" s="426" t="n"/>
      <c r="F40" s="184" t="inlineStr">
        <is>
          <t>x</t>
        </is>
      </c>
      <c r="H40" s="1254" t="n"/>
      <c r="I40" s="1229" t="n"/>
      <c r="J40" s="1229" t="n"/>
      <c r="K40" s="1255" t="n"/>
      <c r="L40" s="427" t="n"/>
    </row>
    <row r="41">
      <c r="A41" s="1355" t="n"/>
      <c r="B41" s="428" t="n"/>
      <c r="F41" s="1454" t="n"/>
      <c r="H41" s="1256" t="n"/>
      <c r="I41" s="1229" t="n"/>
      <c r="J41" s="1229" t="n"/>
      <c r="K41" s="1255" t="n"/>
      <c r="L41" s="1242" t="n"/>
    </row>
    <row r="42">
      <c r="A42" s="1355" t="n"/>
      <c r="B42" s="428" t="n"/>
      <c r="F42" s="1454" t="n"/>
      <c r="H42" s="1256" t="n"/>
      <c r="I42" s="1229" t="n"/>
      <c r="J42" s="1229" t="n"/>
      <c r="K42" s="1255" t="n"/>
      <c r="L42" s="1242" t="n"/>
    </row>
    <row r="43">
      <c r="A43" s="1355" t="n"/>
      <c r="B43" s="428" t="n"/>
      <c r="F43" s="1454" t="n"/>
      <c r="H43" s="1257" t="n"/>
      <c r="I43" s="1258" t="n"/>
      <c r="J43" s="1258" t="n"/>
      <c r="K43" s="1259" t="n"/>
      <c r="L43" s="1242" t="n"/>
    </row>
    <row r="44">
      <c r="A44" s="1355" t="n"/>
      <c r="B44" s="425" t="inlineStr">
        <is>
          <t>Nombre de pages déposées par exemplaire :</t>
        </is>
      </c>
      <c r="C44" s="1253" t="n"/>
      <c r="D44" s="1253" t="n"/>
      <c r="E44" s="1253" t="n"/>
      <c r="F44" s="1130" t="n">
        <v>58</v>
      </c>
      <c r="H44" s="1247" t="inlineStr">
        <is>
          <t>Signature de l'agent et cachet du service</t>
        </is>
      </c>
      <c r="I44" s="1248" t="n"/>
      <c r="J44" s="1248" t="n"/>
      <c r="K44" s="1249" t="n"/>
      <c r="L44" s="1242" t="n"/>
    </row>
    <row r="45">
      <c r="A45" s="1355" t="n"/>
      <c r="B45" s="430" t="inlineStr">
        <is>
          <t>Nombre d'exemplaires déposés :</t>
        </is>
      </c>
      <c r="C45" s="1248" t="n"/>
      <c r="D45" s="1248" t="n"/>
      <c r="E45" s="1248" t="n"/>
      <c r="F45" s="1131" t="n">
        <v>3</v>
      </c>
      <c r="H45" s="1241" t="n"/>
      <c r="K45" s="1242" t="n"/>
      <c r="L45" s="1242" t="n"/>
    </row>
    <row r="46">
      <c r="A46" s="1355" t="n"/>
      <c r="B46" s="374" t="n"/>
      <c r="C46" s="1253" t="n"/>
      <c r="D46" s="1253" t="n"/>
      <c r="E46" s="1253" t="n"/>
      <c r="F46" s="1274" t="n"/>
      <c r="H46" s="1243" t="n"/>
      <c r="I46" s="1244" t="n"/>
      <c r="J46" s="1244" t="n"/>
      <c r="K46" s="1245" t="n"/>
      <c r="L46" s="1242" t="n"/>
    </row>
    <row r="47" ht="7.5" customHeight="1" s="1225">
      <c r="A47" s="1355" t="n"/>
      <c r="L47" s="1242" t="n"/>
    </row>
    <row r="48" ht="9" customHeight="1" s="1225">
      <c r="A48" s="1243" t="n"/>
      <c r="B48" s="1244" t="n"/>
      <c r="C48" s="1244" t="n"/>
      <c r="D48" s="1244" t="n"/>
      <c r="E48" s="1244" t="n"/>
      <c r="F48" s="1244" t="n"/>
      <c r="G48" s="1244" t="n"/>
      <c r="H48" s="1244" t="n"/>
      <c r="I48" s="1244" t="n"/>
      <c r="J48" s="1244" t="n"/>
      <c r="K48" s="1244" t="n"/>
      <c r="L48" s="1245" t="n"/>
    </row>
  </sheetData>
  <mergeCells count="24">
    <mergeCell ref="E16:H16"/>
    <mergeCell ref="B24:K24"/>
    <mergeCell ref="D22:K22"/>
    <mergeCell ref="D31:K31"/>
    <mergeCell ref="H33:K33"/>
    <mergeCell ref="H40:K43"/>
    <mergeCell ref="B32:K32"/>
    <mergeCell ref="B4:K4"/>
    <mergeCell ref="H35:K35"/>
    <mergeCell ref="D9:I9"/>
    <mergeCell ref="H45:K46"/>
    <mergeCell ref="B3:K3"/>
    <mergeCell ref="H44:K44"/>
    <mergeCell ref="E17:H17"/>
    <mergeCell ref="C28:K28"/>
    <mergeCell ref="H39:K39"/>
    <mergeCell ref="D20:I20"/>
    <mergeCell ref="B2:K2"/>
    <mergeCell ref="C8:J8"/>
    <mergeCell ref="C12:J14"/>
    <mergeCell ref="D30:K30"/>
    <mergeCell ref="B33:F33"/>
    <mergeCell ref="C26:K26"/>
    <mergeCell ref="H36:K38"/>
  </mergeCells>
  <printOptions horizontalCentered="1" verticalCentered="1"/>
  <pageMargins left="0.3149606299212598" right="0.3149606299212598" top="0.3543307086614174" bottom="0.3543307086614174" header="0.3149606299212598" footer="0.3149606299212598"/>
  <pageSetup orientation="portrait" paperSize="9" scale="94"/>
</worksheet>
</file>

<file path=xl/worksheets/sheet4.xml><?xml version="1.0" encoding="utf-8"?>
<worksheet xmlns="http://schemas.openxmlformats.org/spreadsheetml/2006/main">
  <sheetPr>
    <tabColor theme="4" tint="0.5999938962981048"/>
    <outlinePr summaryBelow="1" summaryRight="1"/>
    <pageSetUpPr fitToPage="1"/>
  </sheetPr>
  <dimension ref="A1:J37"/>
  <sheetViews>
    <sheetView topLeftCell="A23" workbookViewId="0">
      <selection activeCell="B14" sqref="B14"/>
    </sheetView>
  </sheetViews>
  <sheetFormatPr baseColWidth="10" defaultRowHeight="15"/>
  <cols>
    <col width="3.7109375" customWidth="1" style="1225" min="1" max="1"/>
    <col width="17.42578125" customWidth="1" style="1225" min="2" max="2"/>
    <col width="11.140625" customWidth="1" style="1225" min="3" max="3"/>
    <col width="4.5703125" customWidth="1" style="1225" min="4" max="5"/>
    <col width="12.5703125" customWidth="1" style="1225" min="7" max="7"/>
    <col width="15" customWidth="1" style="1225" min="8" max="8"/>
    <col width="4.5703125" customWidth="1" style="1225" min="9" max="10"/>
  </cols>
  <sheetData>
    <row r="1" ht="15" customHeight="1" s="1225">
      <c r="A1" s="1268" t="inlineStr">
        <is>
          <t>- 0 -</t>
        </is>
      </c>
      <c r="B1" s="1229" t="n"/>
      <c r="C1" s="1229" t="n"/>
      <c r="D1" s="1229" t="n"/>
      <c r="E1" s="1229" t="n"/>
      <c r="F1" s="1229" t="n"/>
      <c r="G1" s="1229" t="n"/>
      <c r="H1" s="1229" t="n"/>
      <c r="I1" s="1229" t="n"/>
      <c r="J1" s="679" t="n"/>
    </row>
    <row r="2" ht="15" customHeight="1" s="1225">
      <c r="A2" s="1267" t="n"/>
      <c r="J2" s="680" t="n"/>
    </row>
    <row r="3" ht="15.6" customHeight="1" s="1225">
      <c r="A3" s="1271" t="inlineStr">
        <is>
          <t>CONDITIONS DE RECEVABILITE</t>
        </is>
      </c>
      <c r="J3" s="681" t="n"/>
    </row>
    <row r="4" ht="15.6" customHeight="1" s="1225">
      <c r="A4" s="682" t="n"/>
      <c r="B4" s="683" t="n"/>
      <c r="C4" s="683" t="n"/>
      <c r="D4" s="683" t="n"/>
      <c r="E4" s="683" t="n"/>
      <c r="F4" s="683" t="n"/>
      <c r="G4" s="683" t="n"/>
      <c r="H4" s="683" t="n"/>
      <c r="I4" s="683" t="n"/>
      <c r="J4" s="683" t="n"/>
    </row>
    <row r="5" ht="15.6" customHeight="1" s="1225">
      <c r="A5" s="684" t="n"/>
      <c r="B5" s="1272" t="inlineStr">
        <is>
          <t>Entités utilisant des imprimés:</t>
        </is>
      </c>
      <c r="I5" s="1270" t="n"/>
    </row>
    <row r="6" ht="15.6" customHeight="1" s="1225">
      <c r="A6" s="685" t="n"/>
      <c r="B6" s="685" t="n"/>
      <c r="C6" s="685" t="n"/>
      <c r="D6" s="685" t="n"/>
      <c r="E6" s="685" t="n"/>
      <c r="F6" s="685" t="n"/>
      <c r="G6" s="685" t="n"/>
      <c r="H6" s="685" t="n"/>
      <c r="I6" s="685" t="n"/>
      <c r="J6" s="685" t="n"/>
    </row>
    <row r="7" ht="15.6" customHeight="1" s="1225">
      <c r="A7" s="686" t="n"/>
      <c r="B7" s="685" t="inlineStr">
        <is>
          <t>* N'utilisez que des imprimés normalisés</t>
        </is>
      </c>
      <c r="C7" s="685" t="n"/>
      <c r="D7" s="687" t="n"/>
      <c r="E7" s="687" t="n"/>
      <c r="F7" s="685" t="n"/>
      <c r="G7" s="685" t="n"/>
      <c r="H7" s="685" t="n"/>
      <c r="I7" s="685" t="n"/>
      <c r="J7" s="685" t="n"/>
    </row>
    <row r="8" ht="15.6" customHeight="1" s="1225">
      <c r="A8" s="686" t="n"/>
      <c r="B8" s="685" t="n"/>
      <c r="C8" s="685" t="n"/>
      <c r="D8" s="688" t="n"/>
      <c r="E8" s="687" t="n"/>
      <c r="F8" s="686" t="n"/>
      <c r="G8" s="685" t="n"/>
      <c r="H8" s="685" t="n"/>
      <c r="I8" s="689" t="n"/>
      <c r="J8" s="689" t="n"/>
    </row>
    <row r="9" ht="15.6" customHeight="1" s="1225">
      <c r="A9" s="686" t="n"/>
      <c r="B9" s="685" t="inlineStr">
        <is>
          <t>* Remplir chaque page de façon parfaitement lisible sans décalage de lignes</t>
        </is>
      </c>
      <c r="C9" s="685" t="n"/>
      <c r="D9" s="687" t="n"/>
      <c r="E9" s="687" t="n"/>
      <c r="F9" s="686" t="n"/>
      <c r="G9" s="685" t="n"/>
      <c r="H9" s="685" t="n"/>
      <c r="I9" s="688" t="n"/>
      <c r="J9" s="688" t="n"/>
    </row>
    <row r="10" ht="15.6" customHeight="1" s="1225">
      <c r="A10" s="686" t="n"/>
      <c r="B10" s="685" t="n"/>
      <c r="C10" s="685" t="n"/>
      <c r="D10" s="688" t="n"/>
      <c r="E10" s="687" t="n"/>
      <c r="F10" s="686" t="n"/>
      <c r="G10" s="685" t="n"/>
      <c r="H10" s="685" t="n"/>
      <c r="I10" s="687" t="n"/>
      <c r="J10" s="687" t="n"/>
    </row>
    <row r="11" ht="15.6" customHeight="1" s="1225">
      <c r="A11" s="686" t="n"/>
      <c r="B11" s="685" t="inlineStr">
        <is>
          <t>* Ne créer aucune rubrique</t>
        </is>
      </c>
      <c r="C11" s="685" t="n"/>
      <c r="D11" s="687" t="n"/>
      <c r="E11" s="687" t="n"/>
      <c r="F11" s="686" t="n"/>
      <c r="G11" s="685" t="n"/>
      <c r="H11" s="685" t="n"/>
      <c r="I11" s="688" t="n"/>
      <c r="J11" s="688" t="n"/>
    </row>
    <row r="12" ht="15.6" customHeight="1" s="1225">
      <c r="A12" s="686" t="n"/>
      <c r="B12" s="685" t="n"/>
      <c r="C12" s="685" t="n"/>
      <c r="D12" s="688" t="n"/>
      <c r="E12" s="687" t="n"/>
      <c r="F12" s="686" t="n"/>
      <c r="G12" s="685" t="n"/>
      <c r="H12" s="685" t="n"/>
      <c r="I12" s="688" t="n"/>
      <c r="J12" s="687" t="n"/>
    </row>
    <row r="13" ht="15.6" customHeight="1" s="1225">
      <c r="A13" s="686" t="n"/>
      <c r="B13" s="685" t="inlineStr">
        <is>
          <t>* Eviter toute surcharge et donner les explications sur une feuille séparée</t>
        </is>
      </c>
      <c r="C13" s="685" t="n"/>
      <c r="D13" s="687" t="n"/>
      <c r="E13" s="687" t="n"/>
      <c r="F13" s="690" t="n"/>
      <c r="G13" s="685" t="n"/>
      <c r="H13" s="685" t="n"/>
      <c r="I13" s="691" t="n"/>
      <c r="J13" s="691" t="n"/>
    </row>
    <row r="14" ht="15.6" customHeight="1" s="1225">
      <c r="A14" s="686" t="n"/>
      <c r="B14" s="685" t="n"/>
      <c r="C14" s="685" t="n"/>
      <c r="D14" s="688" t="n"/>
      <c r="E14" s="687" t="n"/>
      <c r="F14" s="690" t="n"/>
      <c r="G14" s="685" t="n"/>
      <c r="H14" s="685" t="n"/>
      <c r="I14" s="687" t="n"/>
      <c r="J14" s="687" t="n"/>
    </row>
    <row r="15" ht="15.6" customHeight="1" s="1225">
      <c r="A15" s="686" t="n"/>
      <c r="B15" s="685" t="inlineStr">
        <is>
          <t>* N'utilisez que des codes indiqués dans les tables</t>
        </is>
      </c>
      <c r="C15" s="685" t="n"/>
      <c r="D15" s="687" t="n"/>
      <c r="E15" s="687" t="n"/>
      <c r="F15" s="692" t="n"/>
      <c r="G15" s="685" t="n"/>
      <c r="H15" s="685" t="n"/>
      <c r="I15" s="688" t="n"/>
      <c r="J15" s="687" t="n"/>
    </row>
    <row r="16" ht="15.6" customHeight="1" s="1225">
      <c r="A16" s="686" t="n"/>
      <c r="B16" s="685" t="n"/>
      <c r="C16" s="685" t="n"/>
      <c r="D16" s="688" t="n"/>
      <c r="E16" s="687" t="n"/>
      <c r="F16" s="690" t="n"/>
      <c r="G16" s="685" t="n"/>
      <c r="H16" s="685" t="n"/>
      <c r="I16" s="687" t="n"/>
      <c r="J16" s="687" t="n"/>
    </row>
    <row r="17" ht="15.6" customHeight="1" s="1225">
      <c r="A17" s="686" t="n"/>
      <c r="B17" s="685" t="inlineStr">
        <is>
          <t>* N'utilisez que des imprimés en noir et blanc</t>
        </is>
      </c>
      <c r="C17" s="685" t="n"/>
      <c r="D17" s="687" t="n"/>
      <c r="E17" s="687" t="n"/>
      <c r="F17" s="690" t="n"/>
      <c r="G17" s="685" t="n"/>
      <c r="H17" s="685" t="n"/>
      <c r="I17" s="693" t="n"/>
      <c r="J17" s="693" t="n"/>
    </row>
    <row r="18" ht="15.6" customHeight="1" s="1225">
      <c r="A18" s="686" t="n"/>
      <c r="B18" s="685" t="n"/>
      <c r="C18" s="685" t="n"/>
      <c r="D18" s="688" t="n"/>
      <c r="E18" s="687" t="n"/>
      <c r="F18" s="690" t="n"/>
      <c r="G18" s="685" t="n"/>
      <c r="H18" s="685" t="n"/>
      <c r="I18" s="687" t="n"/>
      <c r="J18" s="687" t="n"/>
    </row>
    <row r="19" ht="15.6" customHeight="1" s="1225">
      <c r="A19" s="686" t="n"/>
      <c r="B19" s="685" t="n"/>
      <c r="C19" s="685" t="n"/>
      <c r="D19" s="687" t="n"/>
      <c r="E19" s="687" t="n"/>
      <c r="F19" s="690" t="n"/>
      <c r="G19" s="685" t="n"/>
      <c r="H19" s="685" t="n"/>
      <c r="I19" s="687" t="n"/>
      <c r="J19" s="687" t="n"/>
    </row>
    <row r="20" ht="15.6" customHeight="1" s="1225">
      <c r="A20" s="686" t="n"/>
      <c r="B20" s="1270" t="inlineStr">
        <is>
          <t>Entités produisant les états financiers à l'aide de l'outil informatique</t>
        </is>
      </c>
      <c r="I20" s="684" t="n"/>
      <c r="J20" s="684" t="n"/>
    </row>
    <row r="21" ht="15.6" customHeight="1" s="1225">
      <c r="A21" s="686" t="n"/>
      <c r="B21" s="685" t="n"/>
      <c r="C21" s="685" t="n"/>
      <c r="D21" s="687" t="n"/>
      <c r="E21" s="687" t="n"/>
      <c r="F21" s="692" t="n"/>
      <c r="G21" s="685" t="n"/>
      <c r="H21" s="685" t="n"/>
      <c r="I21" s="688" t="n"/>
      <c r="J21" s="687" t="n"/>
    </row>
    <row r="22" ht="15.6" customHeight="1" s="1225">
      <c r="A22" s="686" t="n"/>
      <c r="B22" s="685" t="inlineStr">
        <is>
          <t>* Reproduire à l'identique la contexture des imprimés normalisés</t>
        </is>
      </c>
      <c r="C22" s="685" t="n"/>
      <c r="D22" s="688" t="n"/>
      <c r="E22" s="687" t="n"/>
      <c r="F22" s="686" t="n"/>
      <c r="G22" s="685" t="n"/>
      <c r="H22" s="685" t="n"/>
      <c r="I22" s="687" t="n"/>
      <c r="J22" s="687" t="n"/>
    </row>
    <row r="23" ht="15.6" customHeight="1" s="1225">
      <c r="A23" s="686" t="n"/>
      <c r="B23" s="685" t="n"/>
      <c r="C23" s="685" t="n"/>
      <c r="D23" s="687" t="n"/>
      <c r="E23" s="687" t="n"/>
      <c r="F23" s="686" t="n"/>
      <c r="G23" s="685" t="n"/>
      <c r="H23" s="685" t="n"/>
      <c r="I23" s="688" t="n"/>
      <c r="J23" s="687" t="n"/>
    </row>
    <row r="24" ht="15.6" customHeight="1" s="1225">
      <c r="A24" s="686" t="n"/>
      <c r="B24" s="1269" t="inlineStr">
        <is>
          <t>* Fournir une liasse comprenant à la fois : la fiche d'identification et renseignements divers et les états financiers correspondant au système comptable</t>
        </is>
      </c>
      <c r="I24" s="687" t="n"/>
      <c r="J24" s="687" t="n"/>
    </row>
    <row r="25" ht="15.6" customHeight="1" s="1225">
      <c r="A25" s="686" t="n"/>
      <c r="B25" s="685" t="n"/>
      <c r="C25" s="685" t="n"/>
      <c r="D25" s="687" t="n"/>
      <c r="E25" s="687" t="n"/>
      <c r="F25" s="686" t="n"/>
      <c r="G25" s="685" t="n"/>
      <c r="H25" s="685" t="n"/>
      <c r="I25" s="691" t="n"/>
      <c r="J25" s="691" t="n"/>
    </row>
    <row r="26" ht="15.6" customHeight="1" s="1225">
      <c r="A26" s="686" t="n"/>
      <c r="B26" s="685" t="inlineStr">
        <is>
          <t>* Ne créer aucune rubrique</t>
        </is>
      </c>
      <c r="C26" s="685" t="n"/>
      <c r="D26" s="687" t="n"/>
      <c r="E26" s="687" t="n"/>
      <c r="F26" s="690" t="n"/>
      <c r="G26" s="685" t="n"/>
      <c r="H26" s="685" t="n"/>
      <c r="I26" s="687" t="n"/>
      <c r="J26" s="687" t="n"/>
    </row>
    <row r="27" ht="15.6" customHeight="1" s="1225">
      <c r="A27" s="694" t="n"/>
      <c r="B27" s="685" t="n"/>
      <c r="C27" s="685" t="n"/>
      <c r="D27" s="687" t="n"/>
      <c r="E27" s="687" t="n"/>
      <c r="F27" s="690" t="n"/>
      <c r="G27" s="685" t="n"/>
      <c r="H27" s="685" t="n"/>
      <c r="I27" s="687" t="n"/>
      <c r="J27" s="687" t="n"/>
    </row>
    <row r="28" ht="15.6" customHeight="1" s="1225">
      <c r="A28" s="686" t="n"/>
      <c r="B28" s="685" t="inlineStr">
        <is>
          <t>* N'utilisez que des codes indiqués dans les tables</t>
        </is>
      </c>
      <c r="C28" s="685" t="n"/>
      <c r="D28" s="687" t="n"/>
      <c r="E28" s="687" t="n"/>
      <c r="F28" s="686" t="n"/>
      <c r="G28" s="685" t="n"/>
      <c r="H28" s="685" t="n"/>
      <c r="I28" s="687" t="n"/>
      <c r="J28" s="687" t="n"/>
    </row>
    <row r="29" ht="15.6" customHeight="1" s="1225">
      <c r="A29" s="686" t="n"/>
      <c r="B29" s="685" t="n"/>
      <c r="C29" s="685" t="n"/>
      <c r="D29" s="687" t="n"/>
      <c r="E29" s="687" t="n"/>
      <c r="F29" s="690" t="n"/>
      <c r="G29" s="685" t="n"/>
      <c r="H29" s="685" t="n"/>
      <c r="I29" s="687" t="n"/>
      <c r="J29" s="687" t="n"/>
    </row>
    <row r="30" ht="15.6" customHeight="1" s="1225">
      <c r="A30" s="686" t="n"/>
      <c r="B30" s="685" t="inlineStr">
        <is>
          <t>* N'utilisez que des imprimés en noir et blanc</t>
        </is>
      </c>
      <c r="C30" s="685" t="n"/>
      <c r="D30" s="687" t="n"/>
      <c r="E30" s="687" t="n"/>
      <c r="F30" s="686" t="n"/>
      <c r="G30" s="685" t="n"/>
      <c r="H30" s="685" t="n"/>
      <c r="I30" s="691" t="n"/>
      <c r="J30" s="691" t="n"/>
    </row>
    <row r="31" ht="15.6" customHeight="1" s="1225">
      <c r="A31" s="686" t="n"/>
      <c r="B31" s="685" t="n"/>
      <c r="C31" s="685" t="n"/>
      <c r="D31" s="687" t="n"/>
      <c r="E31" s="687" t="n"/>
      <c r="F31" s="686" t="n"/>
      <c r="G31" s="685" t="n"/>
      <c r="H31" s="685" t="n"/>
      <c r="I31" s="687" t="n"/>
      <c r="J31" s="691" t="n"/>
    </row>
    <row r="32" ht="15.6" customHeight="1" s="1225">
      <c r="A32" s="686" t="n"/>
      <c r="B32" s="685" t="n"/>
      <c r="C32" s="685" t="n"/>
      <c r="D32" s="687" t="n"/>
      <c r="E32" s="687" t="n"/>
      <c r="F32" s="686" t="n"/>
      <c r="G32" s="685" t="n"/>
      <c r="H32" s="685" t="n"/>
      <c r="I32" s="691" t="n"/>
      <c r="J32" s="691" t="n"/>
    </row>
    <row r="33" ht="15.6" customHeight="1" s="1225">
      <c r="A33" s="686" t="n"/>
      <c r="B33" s="1272" t="inlineStr">
        <is>
          <t>Etats financiers</t>
        </is>
      </c>
      <c r="I33" s="688" t="n"/>
      <c r="J33" s="688" t="n"/>
    </row>
    <row r="34" ht="15.6" customHeight="1" s="1225">
      <c r="A34" s="686" t="n"/>
      <c r="B34" s="685" t="n"/>
      <c r="C34" s="685" t="n"/>
      <c r="D34" s="687" t="n"/>
      <c r="E34" s="687" t="n"/>
      <c r="F34" s="686" t="n"/>
      <c r="G34" s="685" t="n"/>
      <c r="H34" s="685" t="n"/>
      <c r="I34" s="687" t="n"/>
      <c r="J34" s="687" t="n"/>
    </row>
    <row r="35" ht="15.6" customHeight="1" s="1225">
      <c r="A35" s="686" t="n"/>
      <c r="B35" s="1269" t="inlineStr">
        <is>
          <t>Les rubriques et les postes du bilan, du Compte de résultat et du Tableau des Flux de trésorerie non chiffrés ne doivent pas être supprimés</t>
        </is>
      </c>
      <c r="J35" s="687" t="n"/>
    </row>
    <row r="36" ht="15.6" customHeight="1" s="1225">
      <c r="A36" s="694" t="n"/>
      <c r="B36" s="685" t="n"/>
      <c r="C36" s="685" t="n"/>
      <c r="D36" s="688" t="n"/>
      <c r="E36" s="688" t="n"/>
      <c r="F36" s="686" t="n"/>
      <c r="G36" s="685" t="n"/>
      <c r="H36" s="685" t="n"/>
      <c r="I36" s="688" t="n"/>
      <c r="J36" s="688" t="n"/>
    </row>
    <row r="37" ht="30.75" customHeight="1" s="1225">
      <c r="A37" s="685" t="n"/>
      <c r="B37" s="1269" t="inlineStr">
        <is>
          <t>Les Notes annexes non chiffrées doivent êtres supprimées. Cependant, elles devront être indiquées dans la Fiche récapitulative des Notes Annexes.</t>
        </is>
      </c>
      <c r="J37" s="685" t="n"/>
    </row>
  </sheetData>
  <mergeCells count="10">
    <mergeCell ref="A2:I2"/>
    <mergeCell ref="A1:I1"/>
    <mergeCell ref="B24:H24"/>
    <mergeCell ref="I5:J5"/>
    <mergeCell ref="B37:I37"/>
    <mergeCell ref="A3:I3"/>
    <mergeCell ref="B33:H33"/>
    <mergeCell ref="B5:H5"/>
    <mergeCell ref="B20:H20"/>
    <mergeCell ref="B35:I35"/>
  </mergeCells>
  <pageMargins left="0.7086614173228347" right="0.7086614173228347" top="0.7480314960629921" bottom="0.7480314960629921" header="0.3149606299212598" footer="0.3149606299212598"/>
  <pageSetup orientation="portrait" paperSize="9" scale="97"/>
</worksheet>
</file>

<file path=xl/worksheets/sheet5.xml><?xml version="1.0" encoding="utf-8"?>
<worksheet xmlns="http://schemas.openxmlformats.org/spreadsheetml/2006/main">
  <sheetPr codeName="Feuil4">
    <tabColor theme="4" tint="0.5999938962981048"/>
    <outlinePr summaryBelow="1" summaryRight="1"/>
    <pageSetUpPr/>
  </sheetPr>
  <dimension ref="A1:J46"/>
  <sheetViews>
    <sheetView showGridLines="0" topLeftCell="A31" zoomScaleNormal="100" workbookViewId="0">
      <selection activeCell="A44" sqref="A44"/>
    </sheetView>
  </sheetViews>
  <sheetFormatPr baseColWidth="10" defaultColWidth="11.42578125" defaultRowHeight="15"/>
  <cols>
    <col width="13.7109375" customWidth="1" style="1225" min="2" max="2"/>
    <col width="11.140625" customWidth="1" style="1225" min="3" max="3"/>
    <col width="4.5703125" customWidth="1" style="1225" min="4" max="5"/>
    <col width="11.7109375" customWidth="1" style="1225" min="7" max="8"/>
    <col width="5.85546875" customWidth="1" style="1225" min="9" max="9"/>
    <col width="6.7109375" customWidth="1" style="1225" min="10" max="10"/>
  </cols>
  <sheetData>
    <row r="1" ht="15" customHeight="1" s="1225">
      <c r="A1" s="1275" t="inlineStr">
        <is>
          <t>- 0 -</t>
        </is>
      </c>
      <c r="B1" s="1229" t="n"/>
      <c r="C1" s="1229" t="n"/>
      <c r="D1" s="1229" t="n"/>
      <c r="E1" s="1229" t="n"/>
      <c r="F1" s="1229" t="n"/>
      <c r="G1" s="1229" t="n"/>
      <c r="H1" s="1229" t="n"/>
      <c r="I1" s="1229" t="n"/>
      <c r="J1" s="1229" t="n"/>
    </row>
    <row r="2" ht="24.95" customHeight="1" s="1225">
      <c r="A2" s="1429" t="n"/>
      <c r="B2" s="1429" t="n"/>
      <c r="C2" s="1429" t="n"/>
      <c r="D2" s="1429" t="n"/>
      <c r="E2" s="1429" t="n"/>
      <c r="F2" s="1429" t="n"/>
      <c r="H2" s="1286" t="inlineStr">
        <is>
          <t>NOTE 36
SYSTEME NORMAL</t>
        </is>
      </c>
      <c r="I2" s="1253" t="n"/>
      <c r="J2" s="1274" t="n"/>
    </row>
    <row r="3">
      <c r="A3" s="1451" t="inlineStr">
        <is>
          <t>Dénomination sociale de l'entité :</t>
        </is>
      </c>
      <c r="B3" s="1451" t="n"/>
      <c r="C3" s="1276">
        <f>GARDE!D22</f>
        <v/>
      </c>
      <c r="D3" s="1277" t="n"/>
      <c r="E3" s="1277" t="n"/>
      <c r="F3" s="1277" t="n"/>
      <c r="G3" s="1277" t="n"/>
      <c r="H3" s="1277" t="n"/>
      <c r="I3" s="1277" t="n"/>
      <c r="J3" s="1277" t="n"/>
    </row>
    <row r="4">
      <c r="A4" s="1451" t="inlineStr">
        <is>
          <t>Adresse :</t>
        </is>
      </c>
      <c r="B4" s="1276">
        <f>GARDE!C28</f>
        <v/>
      </c>
      <c r="C4" s="1277" t="n"/>
      <c r="D4" s="1277" t="n"/>
      <c r="E4" s="1277" t="n"/>
      <c r="F4" s="1277" t="n"/>
      <c r="G4" s="1277" t="n"/>
      <c r="H4" s="1450" t="inlineStr">
        <is>
          <t>Sigle usuel:</t>
        </is>
      </c>
      <c r="I4" s="1278">
        <f>GARDE!C26</f>
        <v/>
      </c>
      <c r="J4" s="1279" t="n"/>
    </row>
    <row r="5">
      <c r="A5" s="1281" t="inlineStr">
        <is>
          <t>N° IFU du contribuable :</t>
        </is>
      </c>
      <c r="C5" s="1280">
        <f>GARDE!D30</f>
        <v/>
      </c>
      <c r="D5" s="1279" t="n"/>
      <c r="E5" s="1282" t="inlineStr">
        <is>
          <t>Exercice clos le :</t>
        </is>
      </c>
      <c r="F5" s="1283" t="n"/>
      <c r="G5" s="1601">
        <f>GARDE!E17</f>
        <v/>
      </c>
      <c r="H5" s="1451" t="inlineStr">
        <is>
          <t>Durée (en mois) :</t>
        </is>
      </c>
      <c r="I5" s="1285">
        <f>'FICHE R1'!U5</f>
        <v/>
      </c>
      <c r="J5" s="1277" t="n"/>
    </row>
    <row r="6">
      <c r="A6" s="259" t="inlineStr">
        <is>
          <t xml:space="preserve">N° de télédéclarant (NES): </t>
        </is>
      </c>
      <c r="B6" s="259" t="n"/>
      <c r="C6" s="1287">
        <f>GARDE!D31</f>
        <v/>
      </c>
      <c r="D6" s="1288" t="n"/>
      <c r="E6" s="1288" t="n"/>
      <c r="F6" s="260" t="n"/>
      <c r="G6" s="1634" t="n"/>
      <c r="H6" s="1634" t="n"/>
      <c r="I6" s="261" t="n"/>
      <c r="J6" s="1970" t="n"/>
    </row>
    <row r="7" ht="38.25" customHeight="1" s="1225">
      <c r="A7" s="1284" t="inlineStr">
        <is>
          <t>NOTE 36 : TABLE DES CODES</t>
        </is>
      </c>
    </row>
    <row r="8" ht="3" customHeight="1" s="1225">
      <c r="A8" s="1284" t="n"/>
      <c r="B8" s="1341" t="n"/>
      <c r="C8" s="1341" t="n"/>
      <c r="D8" s="1341" t="n"/>
      <c r="E8" s="1341" t="n"/>
      <c r="F8" s="1341" t="n"/>
      <c r="G8" s="1341" t="n"/>
      <c r="H8" s="1341" t="n"/>
      <c r="I8" s="1341" t="n"/>
      <c r="J8" s="1341" t="n"/>
    </row>
    <row r="9" ht="22.5" customFormat="1" customHeight="1" s="432">
      <c r="A9" s="1273" t="inlineStr">
        <is>
          <t>1- Code forme juridique (1)</t>
        </is>
      </c>
      <c r="B9" s="1253" t="n"/>
      <c r="C9" s="1253" t="n"/>
      <c r="D9" s="1253" t="n"/>
      <c r="E9" s="1274" t="n"/>
      <c r="F9" s="1273" t="inlineStr">
        <is>
          <t>3- Code pays du siège social</t>
        </is>
      </c>
      <c r="G9" s="1253" t="n"/>
      <c r="H9" s="1253" t="n"/>
      <c r="I9" s="1253" t="n"/>
      <c r="J9" s="1274" t="n"/>
    </row>
    <row r="10">
      <c r="A10" s="1355" t="n"/>
      <c r="D10" s="308" t="n"/>
      <c r="E10" s="308" t="n"/>
      <c r="I10" s="308" t="n"/>
      <c r="J10" s="308" t="n"/>
    </row>
    <row r="11">
      <c r="A11" s="248" t="inlineStr">
        <is>
          <t xml:space="preserve"> Société Anonyme (SA) à participation publique</t>
        </is>
      </c>
      <c r="D11" s="312" t="inlineStr">
        <is>
          <t>0</t>
        </is>
      </c>
      <c r="E11" s="312" t="inlineStr">
        <is>
          <t>0</t>
        </is>
      </c>
      <c r="I11" s="309" t="n"/>
      <c r="J11" s="309" t="n"/>
    </row>
    <row r="12">
      <c r="A12" s="248" t="n"/>
      <c r="D12" s="311" t="n"/>
      <c r="E12" s="312" t="n"/>
      <c r="F12" s="245" t="inlineStr">
        <is>
          <t xml:space="preserve"> Pays UEMOA (2)</t>
        </is>
      </c>
      <c r="I12" s="310" t="n"/>
      <c r="J12" s="310" t="n"/>
    </row>
    <row r="13">
      <c r="A13" s="248" t="inlineStr">
        <is>
          <t xml:space="preserve"> Société Anonyme (SA)</t>
        </is>
      </c>
      <c r="D13" s="312" t="inlineStr">
        <is>
          <t>0</t>
        </is>
      </c>
      <c r="E13" s="312" t="inlineStr">
        <is>
          <t>1</t>
        </is>
      </c>
      <c r="F13" s="245" t="n"/>
      <c r="I13" s="311" t="n"/>
      <c r="J13" s="311" t="n"/>
    </row>
    <row r="14">
      <c r="A14" s="248" t="n"/>
      <c r="D14" s="311" t="n"/>
      <c r="E14" s="312" t="n"/>
      <c r="F14" s="245" t="inlineStr">
        <is>
          <t xml:space="preserve"> Pays CEMAC (3)</t>
        </is>
      </c>
      <c r="I14" s="312" t="n"/>
      <c r="J14" s="312" t="n"/>
    </row>
    <row r="15">
      <c r="A15" s="248" t="inlineStr">
        <is>
          <t>Société par Actions Simplifiée (SAS)</t>
        </is>
      </c>
      <c r="D15" s="312" t="inlineStr">
        <is>
          <t>0</t>
        </is>
      </c>
      <c r="E15" s="312" t="inlineStr">
        <is>
          <t>2</t>
        </is>
      </c>
      <c r="F15" s="245" t="n"/>
      <c r="I15" s="311" t="n"/>
      <c r="J15" s="311" t="n"/>
    </row>
    <row r="16">
      <c r="A16" s="248" t="n"/>
      <c r="D16" s="311" t="n"/>
      <c r="E16" s="312" t="n"/>
      <c r="F16" s="245" t="inlineStr">
        <is>
          <t xml:space="preserve"> Autres pays OHADA (4)</t>
        </is>
      </c>
      <c r="I16" s="311" t="n"/>
      <c r="J16" s="312" t="n"/>
    </row>
    <row r="17">
      <c r="A17" s="248" t="inlineStr">
        <is>
          <t xml:space="preserve"> Société à Responsabilité Limitée (SARL)</t>
        </is>
      </c>
      <c r="D17" s="312" t="inlineStr">
        <is>
          <t>0</t>
        </is>
      </c>
      <c r="E17" s="312" t="inlineStr">
        <is>
          <t>3</t>
        </is>
      </c>
      <c r="F17" s="249" t="inlineStr">
        <is>
          <t xml:space="preserve"> Afrique du Sud</t>
        </is>
      </c>
      <c r="I17" s="313" t="inlineStr">
        <is>
          <t>2</t>
        </is>
      </c>
      <c r="J17" s="313" t="inlineStr">
        <is>
          <t>0</t>
        </is>
      </c>
    </row>
    <row r="18">
      <c r="A18" s="248" t="n"/>
      <c r="D18" s="311" t="n"/>
      <c r="E18" s="312" t="n"/>
      <c r="F18" s="249" t="inlineStr">
        <is>
          <t xml:space="preserve"> Autres pays africains</t>
        </is>
      </c>
      <c r="I18" s="312" t="inlineStr">
        <is>
          <t>2</t>
        </is>
      </c>
      <c r="J18" s="312" t="inlineStr">
        <is>
          <t>1</t>
        </is>
      </c>
    </row>
    <row r="19">
      <c r="A19" s="248" t="inlineStr">
        <is>
          <t xml:space="preserve"> Société en Commandite Simple (SCS)</t>
        </is>
      </c>
      <c r="D19" s="312" t="inlineStr">
        <is>
          <t>0</t>
        </is>
      </c>
      <c r="E19" s="312" t="inlineStr">
        <is>
          <t>4</t>
        </is>
      </c>
      <c r="F19" s="217" t="n"/>
      <c r="I19" s="311" t="n"/>
      <c r="J19" s="312" t="n"/>
    </row>
    <row r="20">
      <c r="A20" s="248" t="n"/>
      <c r="D20" s="311" t="n"/>
      <c r="E20" s="312" t="n"/>
      <c r="F20" s="249" t="inlineStr">
        <is>
          <t xml:space="preserve"> Suisse</t>
        </is>
      </c>
      <c r="I20" s="312" t="inlineStr">
        <is>
          <t>2</t>
        </is>
      </c>
      <c r="J20" s="312" t="inlineStr">
        <is>
          <t>2</t>
        </is>
      </c>
    </row>
    <row r="21">
      <c r="A21" s="248" t="inlineStr">
        <is>
          <t xml:space="preserve"> Société en Nom Collectif (SNC)</t>
        </is>
      </c>
      <c r="D21" s="312" t="inlineStr">
        <is>
          <t>0</t>
        </is>
      </c>
      <c r="E21" s="312" t="inlineStr">
        <is>
          <t>5</t>
        </is>
      </c>
      <c r="F21" s="249" t="n"/>
      <c r="I21" s="314" t="n"/>
      <c r="J21" s="314" t="n"/>
    </row>
    <row r="22">
      <c r="A22" s="248" t="n"/>
      <c r="D22" s="311" t="n"/>
      <c r="E22" s="312" t="n"/>
      <c r="F22" s="249" t="inlineStr">
        <is>
          <t xml:space="preserve"> France</t>
        </is>
      </c>
      <c r="I22" s="312" t="inlineStr">
        <is>
          <t>2</t>
        </is>
      </c>
      <c r="J22" s="312" t="inlineStr">
        <is>
          <t>3</t>
        </is>
      </c>
    </row>
    <row r="23">
      <c r="A23" s="248" t="inlineStr">
        <is>
          <t xml:space="preserve"> Société en Participation (SP)</t>
        </is>
      </c>
      <c r="D23" s="312" t="inlineStr">
        <is>
          <t>0</t>
        </is>
      </c>
      <c r="E23" s="312" t="inlineStr">
        <is>
          <t>6</t>
        </is>
      </c>
      <c r="F23" s="249" t="n"/>
      <c r="I23" s="312" t="n"/>
      <c r="J23" s="312" t="n"/>
    </row>
    <row r="24">
      <c r="A24" s="248" t="n"/>
      <c r="D24" s="311" t="n"/>
      <c r="E24" s="312" t="n"/>
      <c r="F24" s="249" t="inlineStr">
        <is>
          <t xml:space="preserve"> Autres pays de l'Union Européenne</t>
        </is>
      </c>
      <c r="I24" s="312" t="inlineStr">
        <is>
          <t>3</t>
        </is>
      </c>
      <c r="J24" s="312" t="inlineStr">
        <is>
          <t>9</t>
        </is>
      </c>
    </row>
    <row r="25">
      <c r="A25" s="248" t="inlineStr">
        <is>
          <t xml:space="preserve"> Groupement d'Intérêt Economique (GIE)</t>
        </is>
      </c>
      <c r="D25" s="312" t="inlineStr">
        <is>
          <t>0</t>
        </is>
      </c>
      <c r="E25" s="312" t="inlineStr">
        <is>
          <t>7</t>
        </is>
      </c>
      <c r="F25" s="217" t="n"/>
      <c r="I25" s="311" t="n"/>
      <c r="J25" s="312" t="n"/>
    </row>
    <row r="26">
      <c r="A26" s="248" t="n"/>
      <c r="D26" s="311" t="n"/>
      <c r="E26" s="312" t="n"/>
      <c r="F26" s="245" t="inlineStr">
        <is>
          <t xml:space="preserve"> U.S.A.</t>
        </is>
      </c>
      <c r="I26" s="312" t="inlineStr">
        <is>
          <t>4</t>
        </is>
      </c>
      <c r="J26" s="312" t="inlineStr">
        <is>
          <t>0</t>
        </is>
      </c>
    </row>
    <row r="27">
      <c r="A27" s="248" t="inlineStr">
        <is>
          <t xml:space="preserve"> Association</t>
        </is>
      </c>
      <c r="D27" s="312" t="inlineStr">
        <is>
          <t>0</t>
        </is>
      </c>
      <c r="E27" s="312" t="inlineStr">
        <is>
          <t>8</t>
        </is>
      </c>
      <c r="F27" s="245" t="n"/>
      <c r="I27" s="311" t="n"/>
      <c r="J27" s="312" t="n"/>
    </row>
    <row r="28">
      <c r="A28" s="248" t="n"/>
      <c r="D28" s="311" t="n"/>
      <c r="E28" s="312" t="n"/>
      <c r="F28" s="245" t="inlineStr">
        <is>
          <t xml:space="preserve"> Canada</t>
        </is>
      </c>
      <c r="I28" s="312" t="inlineStr">
        <is>
          <t>4</t>
        </is>
      </c>
      <c r="J28" s="312" t="inlineStr">
        <is>
          <t>1</t>
        </is>
      </c>
    </row>
    <row r="29">
      <c r="A29" s="248" t="inlineStr">
        <is>
          <t xml:space="preserve"> Autre forme juridique (à préciser)</t>
        </is>
      </c>
      <c r="D29" s="312" t="inlineStr">
        <is>
          <t>0</t>
        </is>
      </c>
      <c r="E29" s="312" t="inlineStr">
        <is>
          <t>9</t>
        </is>
      </c>
      <c r="F29" s="245" t="inlineStr">
        <is>
          <t xml:space="preserve"> Brésil</t>
        </is>
      </c>
      <c r="I29" s="313" t="inlineStr">
        <is>
          <t>4</t>
        </is>
      </c>
      <c r="J29" s="313" t="inlineStr">
        <is>
          <t>3</t>
        </is>
      </c>
    </row>
    <row r="30">
      <c r="A30" s="248" t="n"/>
      <c r="D30" s="312" t="n"/>
      <c r="E30" s="312" t="n"/>
      <c r="F30" s="249" t="inlineStr">
        <is>
          <t xml:space="preserve"> Autres pays américains</t>
        </is>
      </c>
      <c r="I30" s="312" t="inlineStr">
        <is>
          <t>4</t>
        </is>
      </c>
      <c r="J30" s="312" t="inlineStr">
        <is>
          <t>9</t>
        </is>
      </c>
    </row>
    <row r="31">
      <c r="A31" s="250" t="inlineStr">
        <is>
          <t xml:space="preserve"> 2 - Code régime fiscal</t>
        </is>
      </c>
      <c r="D31" s="312" t="n"/>
      <c r="E31" s="312" t="n"/>
      <c r="F31" s="249" t="n"/>
      <c r="I31" s="312" t="n"/>
      <c r="J31" s="312" t="n"/>
    </row>
    <row r="32">
      <c r="A32" s="248" t="n"/>
      <c r="D32" s="312" t="n"/>
      <c r="E32" s="312" t="n"/>
      <c r="F32" s="245" t="inlineStr">
        <is>
          <t xml:space="preserve"> Chine</t>
        </is>
      </c>
      <c r="I32" s="312" t="inlineStr">
        <is>
          <t>5</t>
        </is>
      </c>
      <c r="J32" s="312" t="inlineStr">
        <is>
          <t>0</t>
        </is>
      </c>
    </row>
    <row r="33">
      <c r="A33" s="248" t="inlineStr">
        <is>
          <t xml:space="preserve"> Réel normal</t>
        </is>
      </c>
      <c r="D33" s="312" t="n"/>
      <c r="E33" s="312" t="inlineStr">
        <is>
          <t>1</t>
        </is>
      </c>
      <c r="F33" s="249" t="inlineStr">
        <is>
          <t xml:space="preserve"> Inde</t>
        </is>
      </c>
      <c r="I33" s="312" t="inlineStr">
        <is>
          <t>5</t>
        </is>
      </c>
      <c r="J33" s="312" t="inlineStr">
        <is>
          <t>2</t>
        </is>
      </c>
    </row>
    <row r="34">
      <c r="A34" s="248" t="n"/>
      <c r="D34" s="312" t="n"/>
      <c r="E34" s="312" t="n"/>
      <c r="F34" s="245" t="inlineStr">
        <is>
          <t xml:space="preserve"> Liban</t>
        </is>
      </c>
      <c r="I34" s="313" t="inlineStr">
        <is>
          <t>5</t>
        </is>
      </c>
      <c r="J34" s="313" t="inlineStr">
        <is>
          <t>3</t>
        </is>
      </c>
    </row>
    <row r="35">
      <c r="A35" s="248" t="inlineStr">
        <is>
          <t xml:space="preserve"> Réel simplifié</t>
        </is>
      </c>
      <c r="D35" s="312" t="n"/>
      <c r="E35" s="312" t="inlineStr">
        <is>
          <t>2</t>
        </is>
      </c>
      <c r="F35" s="245" t="inlineStr">
        <is>
          <t xml:space="preserve"> Autres pays asiatiques</t>
        </is>
      </c>
      <c r="I35" s="312" t="inlineStr">
        <is>
          <t>5</t>
        </is>
      </c>
      <c r="J35" s="313" t="inlineStr">
        <is>
          <t>9</t>
        </is>
      </c>
    </row>
    <row r="36">
      <c r="A36" s="248" t="n"/>
      <c r="D36" s="312" t="n"/>
      <c r="E36" s="312" t="n"/>
      <c r="F36" s="245" t="inlineStr">
        <is>
          <t xml:space="preserve"> Russie</t>
        </is>
      </c>
      <c r="I36" s="313" t="inlineStr">
        <is>
          <t>6</t>
        </is>
      </c>
      <c r="J36" s="313" t="inlineStr">
        <is>
          <t>0</t>
        </is>
      </c>
    </row>
    <row r="37">
      <c r="A37" s="248" t="inlineStr">
        <is>
          <t>CME</t>
        </is>
      </c>
      <c r="D37" s="312" t="n"/>
      <c r="E37" s="312" t="inlineStr">
        <is>
          <t>3</t>
        </is>
      </c>
      <c r="F37" s="217" t="n"/>
      <c r="I37" s="311" t="n"/>
      <c r="J37" s="311" t="n"/>
    </row>
    <row r="38">
      <c r="A38" s="248" t="n"/>
      <c r="D38" s="312" t="n"/>
      <c r="E38" s="312" t="n"/>
      <c r="F38" s="245" t="inlineStr">
        <is>
          <t xml:space="preserve"> Autres pays</t>
        </is>
      </c>
      <c r="I38" s="312" t="inlineStr">
        <is>
          <t>9</t>
        </is>
      </c>
      <c r="J38" s="312" t="inlineStr">
        <is>
          <t>9</t>
        </is>
      </c>
    </row>
    <row r="39">
      <c r="A39" s="248" t="inlineStr">
        <is>
          <t>AUTRE</t>
        </is>
      </c>
      <c r="D39" s="312" t="n"/>
      <c r="E39" s="312" t="inlineStr">
        <is>
          <t>4</t>
        </is>
      </c>
      <c r="F39" s="245" t="n"/>
      <c r="I39" s="312" t="n"/>
      <c r="J39" s="312" t="n"/>
    </row>
    <row r="40">
      <c r="A40" s="327" t="n"/>
      <c r="B40" s="1244" t="n"/>
      <c r="C40" s="1244" t="n"/>
      <c r="D40" s="315" t="n"/>
      <c r="E40" s="315" t="n"/>
      <c r="F40" s="329" t="inlineStr">
        <is>
          <t xml:space="preserve"> (Zone monétaire = Zone franc CFA)</t>
        </is>
      </c>
      <c r="G40" s="330" t="n"/>
      <c r="H40" s="1245" t="n"/>
      <c r="I40" s="315" t="n"/>
      <c r="J40" s="315" t="n"/>
    </row>
    <row r="41">
      <c r="A41" s="1355" t="n"/>
      <c r="J41" s="1242" t="n"/>
    </row>
    <row r="42">
      <c r="A42" s="262" t="inlineStr">
        <is>
          <t>(1) Remplacer le premier 0 par 1 si l'entreprise bénéficie d'un agrément prioritaire</t>
        </is>
      </c>
      <c r="B42" s="217" t="n"/>
      <c r="C42" s="217" t="n"/>
      <c r="D42" s="217" t="n"/>
      <c r="E42" s="217" t="n"/>
      <c r="F42" s="217" t="n"/>
      <c r="G42" s="217" t="n"/>
      <c r="H42" s="217" t="n"/>
      <c r="I42" s="217" t="n"/>
      <c r="J42" s="263" t="n"/>
    </row>
    <row r="43">
      <c r="A43" s="262" t="inlineStr">
        <is>
          <t>(2) Bénin = 01 ; Burkina = 02 ; Côte d'Ivoire = 03 ; Guinée Bissau = 04 ; Mali = 05 ; Niger = 06 ; Sénégal = 07 ; Togo = 08</t>
        </is>
      </c>
      <c r="B43" s="217" t="n"/>
      <c r="C43" s="217" t="n"/>
      <c r="D43" s="217" t="n"/>
      <c r="E43" s="217" t="n"/>
      <c r="F43" s="217" t="n"/>
      <c r="G43" s="217" t="n"/>
      <c r="H43" s="217" t="n"/>
      <c r="I43" s="217" t="n"/>
      <c r="J43" s="263" t="n"/>
    </row>
    <row r="44">
      <c r="A44" s="262" t="inlineStr">
        <is>
          <t xml:space="preserve">(3) Cameroun = 09 ; Centrafrique = 10 ; Congo = 11 ; Gabon = 12 ; Guinée Equatoriale = 13 ; Tchad = 14 </t>
        </is>
      </c>
      <c r="B44" s="217" t="n"/>
      <c r="C44" s="217" t="n"/>
      <c r="D44" s="217" t="n"/>
      <c r="E44" s="217" t="n"/>
      <c r="F44" s="217" t="n"/>
      <c r="G44" s="217" t="n"/>
      <c r="H44" s="217" t="n"/>
      <c r="I44" s="217" t="n"/>
      <c r="J44" s="263" t="n"/>
    </row>
    <row r="45">
      <c r="A45" s="262" t="inlineStr">
        <is>
          <t xml:space="preserve">(4) Comores = 15 ; Guinée Conakry = 16 </t>
        </is>
      </c>
      <c r="B45" s="217" t="n"/>
      <c r="C45" s="217" t="n"/>
      <c r="D45" s="217" t="n"/>
      <c r="E45" s="217" t="n"/>
      <c r="F45" s="217" t="n"/>
      <c r="G45" s="217" t="n"/>
      <c r="H45" s="217" t="n"/>
      <c r="I45" s="217" t="n"/>
      <c r="J45" s="263" t="n"/>
    </row>
    <row r="46">
      <c r="A46" s="264" t="n"/>
      <c r="B46" s="265" t="n"/>
      <c r="C46" s="265" t="n"/>
      <c r="D46" s="265" t="n"/>
      <c r="E46" s="265" t="n"/>
      <c r="F46" s="265" t="n"/>
      <c r="G46" s="265" t="n"/>
      <c r="H46" s="265" t="n"/>
      <c r="I46" s="265" t="n"/>
      <c r="J46" s="266" t="n"/>
    </row>
  </sheetData>
  <mergeCells count="13">
    <mergeCell ref="F9:J9"/>
    <mergeCell ref="A1:J1"/>
    <mergeCell ref="C3:J3"/>
    <mergeCell ref="I4:J4"/>
    <mergeCell ref="C5:D5"/>
    <mergeCell ref="A5:B5"/>
    <mergeCell ref="E5:F5"/>
    <mergeCell ref="B4:G4"/>
    <mergeCell ref="A7:J7"/>
    <mergeCell ref="I5:J5"/>
    <mergeCell ref="H2:J2"/>
    <mergeCell ref="A9:E9"/>
    <mergeCell ref="C6:E6"/>
  </mergeCells>
  <printOptions horizontalCentered="1"/>
  <pageMargins left="0.3149606299212598" right="0.3149606299212598" top="0.3543307086614174" bottom="0.3543307086614174" header="0.3149606299212598" footer="0.3149606299212598"/>
  <pageSetup orientation="portrait" paperSize="9"/>
</worksheet>
</file>

<file path=xl/worksheets/sheet6.xml><?xml version="1.0" encoding="utf-8"?>
<worksheet xmlns="http://schemas.openxmlformats.org/spreadsheetml/2006/main">
  <sheetPr>
    <tabColor theme="4" tint="0.5999938962981048"/>
    <outlinePr summaryBelow="1" summaryRight="1"/>
    <pageSetUpPr/>
  </sheetPr>
  <dimension ref="A1:N56"/>
  <sheetViews>
    <sheetView zoomScale="150" zoomScaleNormal="150" workbookViewId="0">
      <selection activeCell="C8" sqref="C8"/>
    </sheetView>
  </sheetViews>
  <sheetFormatPr baseColWidth="10" defaultColWidth="8" defaultRowHeight="15"/>
  <cols>
    <col width="6.28515625" customWidth="1" style="1310" min="1" max="1"/>
    <col width="6.42578125" customWidth="1" style="1310" min="2" max="2"/>
    <col width="13.85546875" customWidth="1" style="1310" min="3" max="3"/>
    <col width="3" customWidth="1" style="1310" min="4" max="6"/>
    <col width="5" customWidth="1" style="1310" min="7" max="7"/>
    <col width="13" customWidth="1" style="1310" min="8" max="8"/>
    <col width="2.28515625" customWidth="1" style="1310" min="9" max="9"/>
    <col width="2.140625" customWidth="1" style="1310" min="10" max="10"/>
    <col width="6.42578125" customWidth="1" style="1310" min="11" max="13"/>
    <col width="4.7109375" customWidth="1" style="1310" min="14" max="14"/>
    <col width="8" customWidth="1" style="1310" min="15" max="18"/>
    <col width="8" customWidth="1" style="1310" min="19" max="16384"/>
  </cols>
  <sheetData>
    <row r="1" ht="15" customHeight="1" s="1225" thickBot="1">
      <c r="A1" s="703" t="inlineStr">
        <is>
          <t>NOTE 36 (suite Nomenclature)</t>
        </is>
      </c>
    </row>
    <row r="2" ht="6.75" customHeight="1" s="1225">
      <c r="A2" s="1299" t="inlineStr">
        <is>
          <t>Sélectionner la ou les codes activités selon le découpage de votre chiffre d'affaires pour le renseignement de la fiche R2</t>
        </is>
      </c>
      <c r="B2" s="1300" t="n"/>
      <c r="C2" s="1300" t="n"/>
      <c r="D2" s="1300" t="n"/>
      <c r="E2" s="1300" t="n"/>
      <c r="F2" s="1300" t="n"/>
      <c r="G2" s="1300" t="n"/>
      <c r="H2" s="1300" t="n"/>
      <c r="I2" s="1300" t="n"/>
      <c r="J2" s="1300" t="n"/>
      <c r="K2" s="1300" t="n"/>
      <c r="L2" s="1300" t="n"/>
      <c r="M2" s="1300" t="n"/>
      <c r="N2" s="1301" t="n"/>
    </row>
    <row r="3" ht="6.95" customHeight="1" s="1225" thickBot="1">
      <c r="A3" s="1302" t="n"/>
      <c r="B3" s="1303" t="n"/>
      <c r="C3" s="1303" t="n"/>
      <c r="D3" s="1303" t="n"/>
      <c r="E3" s="1303" t="n"/>
      <c r="F3" s="1303" t="n"/>
      <c r="G3" s="1303" t="n"/>
      <c r="H3" s="1303" t="n"/>
      <c r="I3" s="1303" t="n"/>
      <c r="J3" s="1303" t="n"/>
      <c r="K3" s="1303" t="n"/>
      <c r="L3" s="1303" t="n"/>
      <c r="M3" s="1303" t="n"/>
      <c r="N3" s="1304" t="n"/>
    </row>
    <row r="4" ht="6.95" customHeight="1" s="1225">
      <c r="A4" s="702" t="n"/>
      <c r="B4" s="702" t="n"/>
      <c r="C4" s="702" t="n"/>
      <c r="D4" s="702" t="n"/>
      <c r="E4" s="702" t="n"/>
      <c r="F4" s="702" t="n"/>
      <c r="G4" s="702" t="n"/>
      <c r="H4" s="702" t="n"/>
      <c r="I4" s="702" t="n"/>
      <c r="J4" s="702" t="n"/>
      <c r="K4" s="702" t="n"/>
      <c r="L4" s="702" t="n"/>
      <c r="M4" s="702" t="n"/>
      <c r="N4" s="702" t="n"/>
    </row>
    <row r="5" ht="6.95" customHeight="1" s="1225">
      <c r="A5" s="698" t="n"/>
      <c r="B5" s="698" t="n"/>
      <c r="C5" s="698" t="n"/>
      <c r="D5" s="698" t="n"/>
      <c r="E5" s="698" t="n"/>
      <c r="F5" s="698" t="n"/>
      <c r="G5" s="698" t="n"/>
      <c r="H5" s="698" t="n"/>
      <c r="I5" s="698" t="n"/>
      <c r="J5" s="698" t="n"/>
      <c r="K5" s="698" t="n"/>
      <c r="L5" s="698" t="n"/>
      <c r="M5" s="698" t="n"/>
      <c r="N5" s="698" t="n"/>
    </row>
    <row r="6" ht="15" customHeight="1" s="1225" thickBot="1">
      <c r="A6" s="1296" t="inlineStr">
        <is>
          <t>CODES ACTIVITES ECONOMIQUES</t>
        </is>
      </c>
      <c r="B6" s="1297" t="n"/>
      <c r="C6" s="1297" t="n"/>
      <c r="D6" s="1297" t="n"/>
      <c r="E6" s="1297" t="n"/>
      <c r="F6" s="1297" t="n"/>
      <c r="G6" s="1297" t="n"/>
      <c r="H6" s="1297" t="n"/>
      <c r="I6" s="1297" t="n"/>
      <c r="J6" s="1297" t="n"/>
      <c r="K6" s="1297" t="n"/>
      <c r="L6" s="1297" t="n"/>
      <c r="M6" s="1297" t="n"/>
      <c r="N6" s="1298" t="n"/>
    </row>
    <row r="7" ht="12.75" customHeight="1" s="1225">
      <c r="A7" s="1311" t="inlineStr">
        <is>
          <t>Agriculture vivrière</t>
        </is>
      </c>
      <c r="B7" s="1295" t="n"/>
      <c r="C7" s="743" t="n"/>
      <c r="D7" s="743" t="n"/>
      <c r="E7" s="743" t="n"/>
      <c r="F7" s="744" t="n"/>
      <c r="G7" s="1309" t="n"/>
      <c r="H7" s="1293" t="inlineStr">
        <is>
          <t>Industries du caoutchouc et des plastiques</t>
        </is>
      </c>
      <c r="I7" s="1294" t="n"/>
      <c r="J7" s="1294" t="n"/>
      <c r="K7" s="1295" t="n"/>
      <c r="L7" s="743" t="n"/>
      <c r="M7" s="743" t="n"/>
      <c r="N7" s="745" t="n"/>
    </row>
    <row r="8" ht="12.75" customHeight="1" s="1225">
      <c r="A8" s="1289" t="inlineStr">
        <is>
          <t>001 001 Culture céréalière</t>
        </is>
      </c>
      <c r="B8" s="1290" t="n"/>
      <c r="C8" s="698" t="n"/>
      <c r="D8" s="698" t="n"/>
      <c r="E8" s="698" t="n"/>
      <c r="F8" s="699" t="n"/>
      <c r="H8" s="1292" t="inlineStr">
        <is>
          <t>022 001 Fabrication du caoutchouc naturel</t>
        </is>
      </c>
      <c r="I8" s="1291" t="n"/>
      <c r="J8" s="1291" t="n"/>
      <c r="K8" s="1290" t="n"/>
      <c r="L8" s="698" t="n"/>
      <c r="M8" s="698" t="n"/>
      <c r="N8" s="746" t="n"/>
    </row>
    <row r="9" ht="12.75" customHeight="1" s="1225">
      <c r="A9" s="1289" t="inlineStr">
        <is>
          <t>001 002 Culture de tubercules et plantains</t>
        </is>
      </c>
      <c r="B9" s="1291" t="n"/>
      <c r="C9" s="1290" t="n"/>
      <c r="D9" s="698" t="n"/>
      <c r="E9" s="698" t="n"/>
      <c r="F9" s="699" t="n"/>
      <c r="H9" s="1292" t="inlineStr">
        <is>
          <t>022 002 Industries du caoutchouc</t>
        </is>
      </c>
      <c r="I9" s="1291" t="n"/>
      <c r="J9" s="1290" t="n"/>
      <c r="K9" s="698" t="n"/>
      <c r="L9" s="698" t="n"/>
      <c r="M9" s="698" t="n"/>
      <c r="N9" s="746" t="n"/>
    </row>
    <row r="10" ht="12.75" customHeight="1" s="1225">
      <c r="A10" s="747" t="inlineStr">
        <is>
          <t>001 003 Culture de légumes</t>
        </is>
      </c>
      <c r="B10" s="704" t="n"/>
      <c r="C10" s="698" t="n"/>
      <c r="D10" s="698" t="n"/>
      <c r="E10" s="698" t="n"/>
      <c r="F10" s="699" t="n"/>
      <c r="H10" s="1292" t="inlineStr">
        <is>
          <t>022 003 Fabrication de matières plastiques</t>
        </is>
      </c>
      <c r="I10" s="1291" t="n"/>
      <c r="J10" s="1291" t="n"/>
      <c r="K10" s="1290" t="n"/>
      <c r="L10" s="698" t="n"/>
      <c r="M10" s="698" t="n"/>
      <c r="N10" s="746" t="n"/>
    </row>
    <row r="11" ht="12.75" customHeight="1" s="1225">
      <c r="A11" s="1289" t="inlineStr">
        <is>
          <t>001 004 Culture de condiments</t>
        </is>
      </c>
      <c r="B11" s="1291" t="n"/>
      <c r="C11" s="1290" t="n"/>
      <c r="D11" s="698" t="n"/>
      <c r="E11" s="698" t="n"/>
      <c r="F11" s="699" t="n"/>
      <c r="H11" s="1292" t="inlineStr">
        <is>
          <t>Fabrication d’autres produits minéraux non métalliques et de matériaux</t>
        </is>
      </c>
      <c r="I11" s="1291" t="n"/>
      <c r="J11" s="1291" t="n"/>
      <c r="K11" s="1291" t="n"/>
      <c r="L11" s="1291" t="n"/>
      <c r="M11" s="1290" t="n"/>
      <c r="N11" s="746" t="n"/>
    </row>
    <row r="12" ht="12.75" customHeight="1" s="1225">
      <c r="A12" s="1289" t="inlineStr">
        <is>
          <t>001 005 Culture de fruits</t>
        </is>
      </c>
      <c r="B12" s="1290" t="n"/>
      <c r="C12" s="698" t="n"/>
      <c r="D12" s="698" t="n"/>
      <c r="E12" s="698" t="n"/>
      <c r="F12" s="699" t="n"/>
      <c r="H12" s="1292" t="inlineStr">
        <is>
          <t>de construction</t>
        </is>
      </c>
      <c r="I12" s="698" t="n"/>
      <c r="J12" s="698" t="n"/>
      <c r="K12" s="698" t="n"/>
      <c r="L12" s="698" t="n"/>
      <c r="M12" s="698" t="n"/>
      <c r="N12" s="746" t="n"/>
    </row>
    <row r="13" ht="12.75" customHeight="1" s="1225">
      <c r="A13" s="747" t="inlineStr">
        <is>
          <t>001 006 Culture d’autres produits de l’Agriculture vivrière</t>
        </is>
      </c>
      <c r="B13" s="705" t="n"/>
      <c r="C13" s="704" t="n"/>
      <c r="D13" s="698" t="n"/>
      <c r="E13" s="698" t="n"/>
      <c r="F13" s="699" t="n"/>
      <c r="H13" s="1292" t="inlineStr">
        <is>
          <t>023 001 Industrie du verre</t>
        </is>
      </c>
      <c r="I13" s="698" t="n"/>
      <c r="J13" s="698" t="n"/>
      <c r="K13" s="698" t="n"/>
      <c r="L13" s="698" t="n"/>
      <c r="M13" s="698" t="n"/>
      <c r="N13" s="746" t="n"/>
    </row>
    <row r="14" ht="12.75" customHeight="1" s="1225">
      <c r="A14" s="1289" t="inlineStr">
        <is>
          <t>Agriculture industrielle et d’exportation</t>
        </is>
      </c>
      <c r="B14" s="1291" t="n"/>
      <c r="C14" s="1290" t="n"/>
      <c r="D14" s="698" t="n"/>
      <c r="E14" s="698" t="n"/>
      <c r="F14" s="699" t="n"/>
      <c r="H14" s="1292" t="inlineStr">
        <is>
          <t>023 002 Fabrication de produits minéraux pour la construction</t>
        </is>
      </c>
      <c r="I14" s="1291" t="n"/>
      <c r="J14" s="1291" t="n"/>
      <c r="K14" s="1291" t="n"/>
      <c r="L14" s="1290" t="n"/>
      <c r="M14" s="698" t="n"/>
      <c r="N14" s="746" t="n"/>
    </row>
    <row r="15" ht="12.75" customHeight="1" s="1225">
      <c r="A15" s="1289" t="inlineStr">
        <is>
          <t>002 001 Culture de canne à sucre</t>
        </is>
      </c>
      <c r="B15" s="1291" t="n"/>
      <c r="C15" s="1290" t="n"/>
      <c r="D15" s="698" t="n"/>
      <c r="E15" s="698" t="n"/>
      <c r="F15" s="699" t="n"/>
      <c r="H15" s="1292" t="inlineStr">
        <is>
          <t>023 003 Fabrication d’autres produits minéraux non métalliques</t>
        </is>
      </c>
      <c r="I15" s="1291" t="n"/>
      <c r="J15" s="1291" t="n"/>
      <c r="K15" s="1291" t="n"/>
      <c r="L15" s="1290" t="n"/>
      <c r="M15" s="698" t="n"/>
      <c r="N15" s="746" t="n"/>
    </row>
    <row r="16" ht="12.75" customHeight="1" s="1225">
      <c r="A16" s="1289" t="inlineStr">
        <is>
          <t>002 002 Culture d’arachide d’huilerie</t>
        </is>
      </c>
      <c r="B16" s="1291" t="n"/>
      <c r="C16" s="1290" t="n"/>
      <c r="D16" s="698" t="n"/>
      <c r="E16" s="698" t="n"/>
      <c r="F16" s="699" t="n"/>
      <c r="H16" s="1292" t="inlineStr">
        <is>
          <t>Métallurgie et travail des métaux</t>
        </is>
      </c>
      <c r="I16" s="1291" t="n"/>
      <c r="J16" s="1290" t="n"/>
      <c r="K16" s="698" t="n"/>
      <c r="L16" s="698" t="n"/>
      <c r="M16" s="698" t="n"/>
      <c r="N16" s="746" t="n"/>
    </row>
    <row r="17" ht="12.75" customHeight="1" s="1225">
      <c r="A17" s="1289" t="inlineStr">
        <is>
          <t>002 003 Culture d’arachide de bouche</t>
        </is>
      </c>
      <c r="B17" s="1291" t="n"/>
      <c r="C17" s="1290" t="n"/>
      <c r="D17" s="698" t="n"/>
      <c r="E17" s="698" t="n"/>
      <c r="F17" s="699" t="n"/>
      <c r="H17" s="1292" t="inlineStr">
        <is>
          <t>024 001 Métallurgie</t>
        </is>
      </c>
      <c r="I17" s="698" t="n"/>
      <c r="J17" s="698" t="n"/>
      <c r="K17" s="698" t="n"/>
      <c r="L17" s="698" t="n"/>
      <c r="M17" s="698" t="n"/>
      <c r="N17" s="746" t="n"/>
    </row>
    <row r="18" ht="12.75" customHeight="1" s="1225">
      <c r="A18" s="1289" t="inlineStr">
        <is>
          <t>002 004 Culture de tabac</t>
        </is>
      </c>
      <c r="B18" s="1290" t="n"/>
      <c r="C18" s="698" t="n"/>
      <c r="D18" s="698" t="n"/>
      <c r="E18" s="698" t="n"/>
      <c r="F18" s="699" t="n"/>
      <c r="H18" s="706" t="inlineStr">
        <is>
          <t>024 002 Travail des métaux</t>
        </is>
      </c>
      <c r="I18" s="698" t="n"/>
      <c r="J18" s="698" t="n"/>
      <c r="K18" s="698" t="n"/>
      <c r="L18" s="698" t="n"/>
      <c r="M18" s="698" t="n"/>
      <c r="N18" s="746" t="n"/>
    </row>
    <row r="19" ht="12.75" customHeight="1" s="1225">
      <c r="A19" s="1289" t="inlineStr">
        <is>
          <t>002 005 Culture de coton</t>
        </is>
      </c>
      <c r="B19" s="1290" t="n"/>
      <c r="C19" s="698" t="n"/>
      <c r="D19" s="698" t="n"/>
      <c r="E19" s="698" t="n"/>
      <c r="F19" s="699" t="n"/>
      <c r="H19" s="1292" t="inlineStr">
        <is>
          <t>Fabrication de machines, d’équipements et d’appareils électriques</t>
        </is>
      </c>
      <c r="I19" s="1291" t="n"/>
      <c r="J19" s="1291" t="n"/>
      <c r="K19" s="1291" t="n"/>
      <c r="L19" s="1291" t="n"/>
      <c r="M19" s="1290" t="n"/>
      <c r="N19" s="746" t="n"/>
    </row>
    <row r="20" ht="12.75" customHeight="1" s="1225">
      <c r="A20" s="1289" t="inlineStr">
        <is>
          <t>002 006 Culture de blé</t>
        </is>
      </c>
      <c r="B20" s="1290" t="n"/>
      <c r="C20" s="698" t="n"/>
      <c r="D20" s="698" t="n"/>
      <c r="E20" s="698" t="n"/>
      <c r="F20" s="699" t="n"/>
      <c r="H20" s="1292" t="inlineStr">
        <is>
          <t>025 001 Fabrication de machines et d’équipements</t>
        </is>
      </c>
      <c r="I20" s="1291" t="n"/>
      <c r="J20" s="1291" t="n"/>
      <c r="K20" s="1290" t="n"/>
      <c r="L20" s="698" t="n"/>
      <c r="M20" s="698" t="n"/>
      <c r="N20" s="746" t="n"/>
    </row>
    <row r="21" ht="12.75" customHeight="1" s="1225">
      <c r="A21" s="1289" t="inlineStr">
        <is>
          <t>002 007 Culture de cacao</t>
        </is>
      </c>
      <c r="B21" s="1290" t="n"/>
      <c r="C21" s="698" t="n"/>
      <c r="D21" s="698" t="n"/>
      <c r="E21" s="698" t="n"/>
      <c r="F21" s="699" t="n"/>
      <c r="H21" s="1292" t="inlineStr">
        <is>
          <t>025 002 Fabrication de machines de bureaux</t>
        </is>
      </c>
      <c r="I21" s="1291" t="n"/>
      <c r="J21" s="1291" t="n"/>
      <c r="K21" s="1290" t="n"/>
      <c r="L21" s="698" t="n"/>
      <c r="M21" s="698" t="n"/>
      <c r="N21" s="746" t="n"/>
    </row>
    <row r="22" ht="12.75" customHeight="1" s="1225">
      <c r="A22" s="1289" t="inlineStr">
        <is>
          <t>002 008 Culture de café</t>
        </is>
      </c>
      <c r="B22" s="1290" t="n"/>
      <c r="C22" s="698" t="n"/>
      <c r="D22" s="698" t="n"/>
      <c r="E22" s="698" t="n"/>
      <c r="F22" s="699" t="n"/>
      <c r="H22" s="1292" t="inlineStr">
        <is>
          <t>025 003 Fabrication d’appareils électriques</t>
        </is>
      </c>
      <c r="I22" s="1291" t="n"/>
      <c r="J22" s="1291" t="n"/>
      <c r="K22" s="1290" t="n"/>
      <c r="L22" s="698" t="n"/>
      <c r="M22" s="698" t="n"/>
      <c r="N22" s="746" t="n"/>
    </row>
    <row r="23" ht="12.75" customHeight="1" s="1225">
      <c r="A23" s="1289" t="inlineStr">
        <is>
          <t>002 009 Culture de bananes d’exportation</t>
        </is>
      </c>
      <c r="B23" s="1291" t="n"/>
      <c r="C23" s="1290" t="n"/>
      <c r="D23" s="698" t="n"/>
      <c r="E23" s="698" t="n"/>
      <c r="F23" s="699" t="n"/>
      <c r="H23" s="705" t="inlineStr">
        <is>
          <t>Fabrication d’équipements et appareils audiovisuels et de communication ;</t>
        </is>
      </c>
      <c r="I23" s="705" t="n"/>
      <c r="J23" s="705" t="n"/>
      <c r="K23" s="705" t="n"/>
      <c r="L23" s="705" t="n"/>
      <c r="M23" s="704" t="n"/>
      <c r="N23" s="746" t="n"/>
    </row>
    <row r="24" ht="12.75" customHeight="1" s="1225">
      <c r="A24" s="1289" t="inlineStr">
        <is>
          <t>002 010 Culture d’ananas d’exportation</t>
        </is>
      </c>
      <c r="B24" s="1291" t="n"/>
      <c r="C24" s="1290" t="n"/>
      <c r="D24" s="698" t="n"/>
      <c r="E24" s="698" t="n"/>
      <c r="F24" s="699" t="n"/>
      <c r="H24" s="705" t="inlineStr">
        <is>
          <t>fabrication d’instruments médicaux, d’optique et d’horlogerie</t>
        </is>
      </c>
      <c r="I24" s="705" t="n"/>
      <c r="J24" s="705" t="n"/>
      <c r="K24" s="705" t="n"/>
      <c r="L24" s="704" t="n"/>
      <c r="M24" s="698" t="n"/>
      <c r="N24" s="746" t="n"/>
    </row>
    <row r="25" ht="12.75" customHeight="1" s="1225">
      <c r="A25" s="1289" t="inlineStr">
        <is>
          <t>002 011 Autres cultures industrielles</t>
        </is>
      </c>
      <c r="B25" s="1291" t="n"/>
      <c r="C25" s="1290" t="n"/>
      <c r="D25" s="698" t="n"/>
      <c r="E25" s="698" t="n"/>
      <c r="F25" s="699" t="n"/>
      <c r="H25" s="705" t="inlineStr">
        <is>
          <t>026 001 Fabrication d’équipements et appareils audiovisuels et de Communication</t>
        </is>
      </c>
      <c r="I25" s="705" t="n"/>
      <c r="J25" s="705" t="n"/>
      <c r="K25" s="705" t="n"/>
      <c r="L25" s="705" t="n"/>
      <c r="M25" s="704" t="n"/>
      <c r="N25" s="746" t="n"/>
    </row>
    <row r="26" ht="12.75" customHeight="1" s="1225">
      <c r="A26" s="1289" t="inlineStr">
        <is>
          <t>Elevage et chasse</t>
        </is>
      </c>
      <c r="B26" s="1290" t="n"/>
      <c r="C26" s="698" t="n"/>
      <c r="D26" s="698" t="n"/>
      <c r="E26" s="698" t="n"/>
      <c r="F26" s="699" t="n"/>
      <c r="H26" s="1292" t="inlineStr">
        <is>
          <t>026 002 Fabrication d’instruments médicaux, d’optique et d’horlogerie</t>
        </is>
      </c>
      <c r="I26" s="1291" t="n"/>
      <c r="J26" s="1291" t="n"/>
      <c r="K26" s="1291" t="n"/>
      <c r="L26" s="1291" t="n"/>
      <c r="M26" s="1290" t="n"/>
      <c r="N26" s="746" t="n"/>
    </row>
    <row r="27" ht="12.75" customHeight="1" s="1225">
      <c r="A27" s="1289" t="inlineStr">
        <is>
          <t>003 001 Elevage bovin</t>
        </is>
      </c>
      <c r="B27" s="1290" t="n"/>
      <c r="C27" s="698" t="n"/>
      <c r="D27" s="698" t="n"/>
      <c r="E27" s="698" t="n"/>
      <c r="F27" s="699" t="n"/>
      <c r="H27" s="1292" t="inlineStr">
        <is>
          <t>Fabrication de matériel de transport</t>
        </is>
      </c>
      <c r="I27" s="1291" t="n"/>
      <c r="J27" s="1291" t="n"/>
      <c r="K27" s="1290" t="n"/>
      <c r="L27" s="698" t="n"/>
      <c r="M27" s="698" t="n"/>
      <c r="N27" s="746" t="n"/>
    </row>
    <row r="28" ht="12.75" customHeight="1" s="1225">
      <c r="A28" s="1289" t="inlineStr">
        <is>
          <t>003 002 Elevage ovin, caprin, équin</t>
        </is>
      </c>
      <c r="B28" s="1291" t="n"/>
      <c r="C28" s="1290" t="n"/>
      <c r="D28" s="698" t="n"/>
      <c r="E28" s="698" t="n"/>
      <c r="F28" s="699" t="n"/>
      <c r="H28" s="1292" t="inlineStr">
        <is>
          <t>027 001 Fabrication de véhicules routiers</t>
        </is>
      </c>
      <c r="I28" s="1291" t="n"/>
      <c r="J28" s="1291" t="n"/>
      <c r="K28" s="1290" t="n"/>
      <c r="L28" s="698" t="n"/>
      <c r="M28" s="698" t="n"/>
      <c r="N28" s="746" t="n"/>
    </row>
    <row r="29" ht="12.75" customHeight="1" s="1225">
      <c r="A29" s="747" t="inlineStr">
        <is>
          <t>003 003 Elevage de volaille</t>
        </is>
      </c>
      <c r="B29" s="704" t="n"/>
      <c r="C29" s="698" t="n"/>
      <c r="D29" s="698" t="n"/>
      <c r="E29" s="698" t="n"/>
      <c r="F29" s="699" t="n"/>
      <c r="H29" s="705" t="inlineStr">
        <is>
          <t>027 002 Fabrication d’autres matériels de transport</t>
        </is>
      </c>
      <c r="I29" s="705" t="n"/>
      <c r="J29" s="705" t="n"/>
      <c r="K29" s="704" t="n"/>
      <c r="L29" s="698" t="n"/>
      <c r="M29" s="698" t="n"/>
      <c r="N29" s="746" t="n"/>
    </row>
    <row r="30" ht="12.75" customHeight="1" s="1225">
      <c r="A30" s="1289" t="inlineStr">
        <is>
          <t>003 004 Autres élevages</t>
        </is>
      </c>
      <c r="B30" s="1290" t="n"/>
      <c r="C30" s="698" t="n"/>
      <c r="D30" s="698" t="n"/>
      <c r="E30" s="698" t="n"/>
      <c r="F30" s="699" t="n"/>
      <c r="H30" s="1292" t="inlineStr">
        <is>
          <t>Industries diverses</t>
        </is>
      </c>
      <c r="I30" s="698" t="n"/>
      <c r="J30" s="698" t="n"/>
      <c r="K30" s="698" t="n"/>
      <c r="L30" s="698" t="n"/>
      <c r="M30" s="698" t="n"/>
      <c r="N30" s="746" t="n"/>
    </row>
    <row r="31" ht="12.75" customHeight="1" s="1225">
      <c r="A31" s="1289" t="inlineStr">
        <is>
          <t>003 005 Chasse</t>
        </is>
      </c>
      <c r="B31" s="1290" t="n"/>
      <c r="C31" s="698" t="n"/>
      <c r="D31" s="698" t="n"/>
      <c r="E31" s="698" t="n"/>
      <c r="F31" s="699" t="n"/>
      <c r="H31" s="1292" t="inlineStr">
        <is>
          <t>028 001 Fabrication de meubles</t>
        </is>
      </c>
      <c r="I31" s="1290" t="n"/>
      <c r="J31" s="698" t="n"/>
      <c r="K31" s="698" t="n"/>
      <c r="L31" s="698" t="n"/>
      <c r="M31" s="698" t="n"/>
      <c r="N31" s="746" t="n"/>
    </row>
    <row r="32" ht="12.75" customHeight="1" s="1225">
      <c r="A32" s="1289" t="inlineStr">
        <is>
          <t>Sylviculture, exploitation forestière</t>
        </is>
      </c>
      <c r="B32" s="1291" t="n"/>
      <c r="C32" s="1290" t="n"/>
      <c r="D32" s="698" t="n"/>
      <c r="E32" s="698" t="n"/>
      <c r="F32" s="699" t="n"/>
      <c r="H32" s="706" t="inlineStr">
        <is>
          <t>028 002 Industries diverses</t>
        </is>
      </c>
      <c r="I32" s="698" t="n"/>
      <c r="J32" s="698" t="n"/>
      <c r="K32" s="698" t="n"/>
      <c r="L32" s="698" t="n"/>
      <c r="M32" s="698" t="n"/>
      <c r="N32" s="746" t="n"/>
    </row>
    <row r="33" ht="12.75" customHeight="1" s="1225">
      <c r="A33" s="1289" t="inlineStr">
        <is>
          <t>004 001 Sylviculture</t>
        </is>
      </c>
      <c r="B33" s="1290" t="n"/>
      <c r="C33" s="698" t="n"/>
      <c r="D33" s="698" t="n"/>
      <c r="E33" s="698" t="n"/>
      <c r="F33" s="699" t="n"/>
      <c r="H33" s="1292" t="inlineStr">
        <is>
          <t>Production et distribution d’eau, d’électricité et de gaz</t>
        </is>
      </c>
      <c r="I33" s="1291" t="n"/>
      <c r="J33" s="1291" t="n"/>
      <c r="K33" s="1291" t="n"/>
      <c r="L33" s="1290" t="n"/>
      <c r="M33" s="698" t="n"/>
      <c r="N33" s="746" t="n"/>
    </row>
    <row r="34" ht="12.75" customHeight="1" s="1225">
      <c r="A34" s="1289" t="inlineStr">
        <is>
          <t>004 002 Exploitation forestière</t>
        </is>
      </c>
      <c r="B34" s="1291" t="n"/>
      <c r="C34" s="1290" t="n"/>
      <c r="D34" s="698" t="n"/>
      <c r="E34" s="698" t="n"/>
      <c r="F34" s="699" t="n"/>
      <c r="H34" s="1292" t="inlineStr">
        <is>
          <t>029 001 Production, transport et distribution d’électricité</t>
        </is>
      </c>
      <c r="I34" s="1291" t="n"/>
      <c r="J34" s="1291" t="n"/>
      <c r="K34" s="1291" t="n"/>
      <c r="L34" s="1290" t="n"/>
      <c r="M34" s="698" t="n"/>
      <c r="N34" s="746" t="n"/>
    </row>
    <row r="35" ht="12.75" customHeight="1" s="1225">
      <c r="A35" s="1289" t="inlineStr">
        <is>
          <t>Pêche et aquaculture</t>
        </is>
      </c>
      <c r="B35" s="1290" t="n"/>
      <c r="C35" s="698" t="n"/>
      <c r="D35" s="698" t="n"/>
      <c r="E35" s="698" t="n"/>
      <c r="F35" s="699" t="n"/>
      <c r="H35" s="1292" t="inlineStr">
        <is>
          <t>029 002 Captage, épuration et distribution d’eau</t>
        </is>
      </c>
      <c r="I35" s="1291" t="n"/>
      <c r="J35" s="1291" t="n"/>
      <c r="K35" s="1290" t="n"/>
      <c r="L35" s="698" t="n"/>
      <c r="M35" s="698" t="n"/>
      <c r="N35" s="746" t="n"/>
    </row>
    <row r="36" ht="12.75" customHeight="1" s="1225">
      <c r="A36" s="747" t="inlineStr">
        <is>
          <t>005 001 Pêche de poissons</t>
        </is>
      </c>
      <c r="B36" s="704" t="n"/>
      <c r="C36" s="698" t="n"/>
      <c r="D36" s="698" t="n"/>
      <c r="E36" s="698" t="n"/>
      <c r="F36" s="699" t="n"/>
      <c r="H36" s="1292" t="inlineStr">
        <is>
          <t>029 003 Production et distribution de gaz</t>
        </is>
      </c>
      <c r="I36" s="1291" t="n"/>
      <c r="J36" s="1291" t="n"/>
      <c r="K36" s="1290" t="n"/>
      <c r="L36" s="698" t="n"/>
      <c r="M36" s="698" t="n"/>
      <c r="N36" s="746" t="n"/>
    </row>
    <row r="37" ht="12.75" customHeight="1" s="1225">
      <c r="A37" s="1289" t="inlineStr">
        <is>
          <t>005 002 Autres pèches et aquaculture</t>
        </is>
      </c>
      <c r="B37" s="1291" t="n"/>
      <c r="C37" s="1290" t="n"/>
      <c r="D37" s="698" t="n"/>
      <c r="E37" s="698" t="n"/>
      <c r="F37" s="699" t="n"/>
      <c r="H37" s="1292" t="inlineStr">
        <is>
          <t>Construction</t>
        </is>
      </c>
      <c r="I37" s="698" t="n"/>
      <c r="J37" s="698" t="n"/>
      <c r="K37" s="698" t="n"/>
      <c r="L37" s="698" t="n"/>
      <c r="M37" s="698" t="n"/>
      <c r="N37" s="746" t="n"/>
    </row>
    <row r="38" ht="12.6" customHeight="1" s="1225">
      <c r="A38" s="1289" t="inlineStr">
        <is>
          <t>Industries extractives</t>
        </is>
      </c>
      <c r="B38" s="1290" t="n"/>
      <c r="C38" s="698" t="n"/>
      <c r="D38" s="698" t="n"/>
      <c r="E38" s="698" t="n"/>
      <c r="F38" s="699" t="n"/>
      <c r="H38" s="1307" t="inlineStr">
        <is>
          <t>030 001 Préparation de sites et construction d’ouvrages de bâtiments ou de génie civil</t>
        </is>
      </c>
      <c r="I38" s="1291" t="n"/>
      <c r="J38" s="1291" t="n"/>
      <c r="K38" s="1291" t="n"/>
      <c r="L38" s="1291" t="n"/>
      <c r="M38" s="1291" t="n"/>
      <c r="N38" s="1308" t="n"/>
    </row>
    <row r="39" ht="12.75" customHeight="1" s="1225">
      <c r="A39" s="1289" t="inlineStr">
        <is>
          <t>006 001 Extraction d’hydrocarbures</t>
        </is>
      </c>
      <c r="B39" s="1291" t="n"/>
      <c r="C39" s="1290" t="n"/>
      <c r="D39" s="698" t="n"/>
      <c r="E39" s="698" t="n"/>
      <c r="F39" s="699" t="n"/>
      <c r="H39" s="1292" t="inlineStr">
        <is>
          <t>030 002 Travaux d’installation et de finition</t>
        </is>
      </c>
      <c r="I39" s="1291" t="n"/>
      <c r="J39" s="1291" t="n"/>
      <c r="K39" s="1290" t="n"/>
      <c r="L39" s="698" t="n"/>
      <c r="M39" s="698" t="n"/>
      <c r="N39" s="746" t="n"/>
    </row>
    <row r="40" ht="12.75" customHeight="1" s="1225">
      <c r="A40" s="1289" t="inlineStr">
        <is>
          <t>006 002 Extraction d’autres produits</t>
        </is>
      </c>
      <c r="B40" s="1291" t="n"/>
      <c r="C40" s="1290" t="n"/>
      <c r="D40" s="698" t="n"/>
      <c r="E40" s="698" t="n"/>
      <c r="F40" s="699" t="n"/>
      <c r="H40" s="1292" t="inlineStr">
        <is>
          <t>Commerce</t>
        </is>
      </c>
      <c r="I40" s="698" t="n"/>
      <c r="J40" s="698" t="n"/>
      <c r="K40" s="698" t="n"/>
      <c r="L40" s="698" t="n"/>
      <c r="M40" s="698" t="n"/>
      <c r="N40" s="746" t="n"/>
    </row>
    <row r="41" ht="12.75" customHeight="1" s="1225">
      <c r="A41" s="1289" t="inlineStr">
        <is>
          <t>Production de viande et de poissons</t>
        </is>
      </c>
      <c r="B41" s="1291" t="n"/>
      <c r="C41" s="1290" t="n"/>
      <c r="D41" s="698" t="n"/>
      <c r="E41" s="698" t="n"/>
      <c r="F41" s="699" t="n"/>
      <c r="H41" s="1292" t="inlineStr">
        <is>
          <t>031 001 Commerce de véhicules, d’accessoires et de carburant</t>
        </is>
      </c>
      <c r="I41" s="1291" t="n"/>
      <c r="J41" s="1291" t="n"/>
      <c r="K41" s="1291" t="n"/>
      <c r="L41" s="1290" t="n"/>
      <c r="M41" s="698" t="n"/>
      <c r="N41" s="746" t="n"/>
    </row>
    <row r="42" ht="12.75" customHeight="1" s="1225">
      <c r="A42" s="1289" t="inlineStr">
        <is>
          <t>007 001 Production de viande et de produits à base de viande</t>
        </is>
      </c>
      <c r="B42" s="1291" t="n"/>
      <c r="C42" s="1291" t="n"/>
      <c r="D42" s="1290" t="n"/>
      <c r="E42" s="698" t="n"/>
      <c r="F42" s="699" t="n"/>
      <c r="H42" s="1292" t="inlineStr">
        <is>
          <t>031 002 Commerce de produits agricoles bruts et d’animaux vivants</t>
        </is>
      </c>
      <c r="I42" s="1291" t="n"/>
      <c r="J42" s="1291" t="n"/>
      <c r="K42" s="1291" t="n"/>
      <c r="L42" s="1291" t="n"/>
      <c r="M42" s="1290" t="n"/>
      <c r="N42" s="746" t="n"/>
    </row>
    <row r="43" ht="12.75" customHeight="1" s="1225">
      <c r="A43" s="1289" t="inlineStr">
        <is>
          <t>007 002 Production de poissons et de produits à base de poisson</t>
        </is>
      </c>
      <c r="B43" s="1291" t="n"/>
      <c r="C43" s="1291" t="n"/>
      <c r="D43" s="1291" t="n"/>
      <c r="E43" s="1290" t="n"/>
      <c r="F43" s="699" t="n"/>
      <c r="H43" s="1312" t="inlineStr">
        <is>
          <t>031 003 Autres commerces</t>
        </is>
      </c>
      <c r="I43" s="1291" t="n"/>
      <c r="J43" s="1290" t="n"/>
      <c r="K43" s="698" t="n"/>
      <c r="L43" s="698" t="n"/>
      <c r="M43" s="698" t="n"/>
      <c r="N43" s="746" t="n"/>
    </row>
    <row r="44" ht="12.75" customHeight="1" s="1225">
      <c r="A44" s="747" t="inlineStr">
        <is>
          <t>Travail des grains et fabrication de produits amylacés</t>
        </is>
      </c>
      <c r="B44" s="705" t="n"/>
      <c r="C44" s="704" t="n"/>
      <c r="D44" s="698" t="n"/>
      <c r="E44" s="698" t="n"/>
      <c r="F44" s="699" t="n"/>
      <c r="H44" s="1292" t="inlineStr">
        <is>
          <t>Réparations</t>
        </is>
      </c>
      <c r="I44" s="698" t="n"/>
      <c r="J44" s="698" t="n"/>
      <c r="K44" s="698" t="n"/>
      <c r="L44" s="698" t="n"/>
      <c r="M44" s="698" t="n"/>
      <c r="N44" s="746" t="n"/>
    </row>
    <row r="45" ht="12.75" customHeight="1" s="1225">
      <c r="A45" s="1289" t="inlineStr">
        <is>
          <t>008 000 Travail des grains et fabrication de produits amylacés</t>
        </is>
      </c>
      <c r="B45" s="1291" t="n"/>
      <c r="C45" s="1291" t="n"/>
      <c r="D45" s="1290" t="n"/>
      <c r="E45" s="698" t="n"/>
      <c r="F45" s="699" t="n"/>
      <c r="H45" s="1292" t="inlineStr">
        <is>
          <t>032 001 Entretien et réparation de véhicules automobiles</t>
        </is>
      </c>
      <c r="I45" s="1291" t="n"/>
      <c r="J45" s="1291" t="n"/>
      <c r="K45" s="1291" t="n"/>
      <c r="L45" s="1290" t="n"/>
      <c r="M45" s="698" t="n"/>
      <c r="N45" s="746" t="n"/>
    </row>
    <row r="46" ht="12.75" customHeight="1" s="1225">
      <c r="A46" s="1289" t="inlineStr">
        <is>
          <t>Transformation du café et du cacao</t>
        </is>
      </c>
      <c r="B46" s="1291" t="n"/>
      <c r="C46" s="1290" t="n"/>
      <c r="D46" s="698" t="n"/>
      <c r="E46" s="698" t="n"/>
      <c r="F46" s="699" t="n"/>
      <c r="H46" s="1292" t="inlineStr">
        <is>
          <t>032 002 Réparations de biens personnels et domestiques</t>
        </is>
      </c>
      <c r="I46" s="1291" t="n"/>
      <c r="J46" s="1291" t="n"/>
      <c r="K46" s="1291" t="n"/>
      <c r="L46" s="1290" t="n"/>
      <c r="M46" s="698" t="n"/>
      <c r="N46" s="746" t="n"/>
    </row>
    <row r="47" ht="12.75" customHeight="1" s="1225">
      <c r="A47" s="1289" t="inlineStr">
        <is>
          <t>009 001 Transformation du café</t>
        </is>
      </c>
      <c r="B47" s="1291" t="n"/>
      <c r="C47" s="1290" t="n"/>
      <c r="D47" s="698" t="n"/>
      <c r="E47" s="698" t="n"/>
      <c r="F47" s="699" t="n"/>
      <c r="H47" s="1292" t="inlineStr">
        <is>
          <t>Hôtels, restaurants</t>
        </is>
      </c>
      <c r="I47" s="698" t="n"/>
      <c r="J47" s="698" t="n"/>
      <c r="K47" s="698" t="n"/>
      <c r="L47" s="698" t="n"/>
      <c r="M47" s="698" t="n"/>
      <c r="N47" s="746" t="n"/>
    </row>
    <row r="48" ht="12.75" customHeight="1" s="1225">
      <c r="A48" s="1289" t="inlineStr">
        <is>
          <t>009 002 Transformation du cacao</t>
        </is>
      </c>
      <c r="B48" s="1291" t="n"/>
      <c r="C48" s="1290" t="n"/>
      <c r="D48" s="698" t="n"/>
      <c r="E48" s="698" t="n"/>
      <c r="F48" s="699" t="n"/>
      <c r="H48" s="1292" t="inlineStr">
        <is>
          <t>033 001 Hôtels</t>
        </is>
      </c>
      <c r="I48" s="698" t="n"/>
      <c r="J48" s="698" t="n"/>
      <c r="K48" s="698" t="n"/>
      <c r="L48" s="698" t="n"/>
      <c r="M48" s="698" t="n"/>
      <c r="N48" s="746" t="n"/>
    </row>
    <row r="49" ht="12.75" customHeight="1" s="1225">
      <c r="A49" s="747" t="inlineStr">
        <is>
          <t>Industrie des oléagineux</t>
        </is>
      </c>
      <c r="B49" s="704" t="n"/>
      <c r="C49" s="698" t="n"/>
      <c r="D49" s="698" t="n"/>
      <c r="E49" s="698" t="n"/>
      <c r="F49" s="699" t="n"/>
      <c r="H49" s="706" t="inlineStr">
        <is>
          <t>033 002 Bars et restaurants</t>
        </is>
      </c>
      <c r="I49" s="698" t="n"/>
      <c r="J49" s="698" t="n"/>
      <c r="K49" s="698" t="n"/>
      <c r="L49" s="698" t="n"/>
      <c r="M49" s="698" t="n"/>
      <c r="N49" s="748" t="n"/>
    </row>
    <row r="50" ht="12.75" customHeight="1" s="1225">
      <c r="A50" s="1289" t="inlineStr">
        <is>
          <t>010 001 Huiles brutes et tourteaux</t>
        </is>
      </c>
      <c r="B50" s="1291" t="n"/>
      <c r="C50" s="1290" t="n"/>
      <c r="D50" s="698" t="n"/>
      <c r="E50" s="698" t="n"/>
      <c r="F50" s="699" t="n"/>
      <c r="H50" s="1292" t="inlineStr">
        <is>
          <t>Transport et communication</t>
        </is>
      </c>
      <c r="I50" s="1290" t="n"/>
      <c r="J50" s="698" t="n"/>
      <c r="K50" s="698" t="n"/>
      <c r="L50" s="698" t="n"/>
      <c r="M50" s="698" t="n"/>
      <c r="N50" s="746" t="n"/>
    </row>
    <row r="51" ht="12.75" customHeight="1" s="1225">
      <c r="A51" s="1289" t="inlineStr">
        <is>
          <t>010 002 Autres corps gras</t>
        </is>
      </c>
      <c r="B51" s="1290" t="n"/>
      <c r="C51" s="698" t="n"/>
      <c r="D51" s="698" t="n"/>
      <c r="E51" s="698" t="n"/>
      <c r="F51" s="699" t="n"/>
      <c r="H51" s="1292" t="inlineStr">
        <is>
          <t>034 001 Transports ferroviaires</t>
        </is>
      </c>
      <c r="I51" s="1290" t="n"/>
      <c r="J51" s="698" t="n"/>
      <c r="K51" s="698" t="n"/>
      <c r="L51" s="698" t="n"/>
      <c r="M51" s="698" t="n"/>
      <c r="N51" s="746" t="n"/>
    </row>
    <row r="52" ht="12.75" customHeight="1" s="1225">
      <c r="A52" s="1289" t="inlineStr">
        <is>
          <t>Boulangerie, Pâtisserie et pâtes alimentaires</t>
        </is>
      </c>
      <c r="B52" s="1291" t="n"/>
      <c r="C52" s="1290" t="n"/>
      <c r="D52" s="698" t="n"/>
      <c r="E52" s="698" t="n"/>
      <c r="F52" s="699" t="n"/>
      <c r="H52" s="705" t="inlineStr">
        <is>
          <t>034 002 Transports routiers, transports par conduite</t>
        </is>
      </c>
      <c r="I52" s="705" t="n"/>
      <c r="J52" s="705" t="n"/>
      <c r="K52" s="704" t="n"/>
      <c r="L52" s="698" t="n"/>
      <c r="M52" s="698" t="n"/>
      <c r="N52" s="746" t="n"/>
    </row>
    <row r="53" ht="12.75" customHeight="1" s="1225">
      <c r="A53" s="1289" t="inlineStr">
        <is>
          <t>011 001 Fabrication de pains, de biscuits et de pâtisserie</t>
        </is>
      </c>
      <c r="B53" s="1291" t="n"/>
      <c r="C53" s="1290" t="n"/>
      <c r="D53" s="698" t="n"/>
      <c r="E53" s="698" t="n"/>
      <c r="F53" s="699" t="n"/>
      <c r="H53" s="1292" t="inlineStr">
        <is>
          <t>034 003 Transport par eau</t>
        </is>
      </c>
      <c r="I53" s="698" t="n"/>
      <c r="J53" s="698" t="n"/>
      <c r="K53" s="698" t="n"/>
      <c r="L53" s="698" t="n"/>
      <c r="M53" s="698" t="n"/>
      <c r="N53" s="746" t="n"/>
    </row>
    <row r="54" ht="12.75" customHeight="1" s="1225">
      <c r="A54" s="1289" t="inlineStr">
        <is>
          <t>011 002 Fabrication de pâtes alimentaires</t>
        </is>
      </c>
      <c r="B54" s="1291" t="n"/>
      <c r="C54" s="1290" t="n"/>
      <c r="D54" s="698" t="n"/>
      <c r="E54" s="698" t="n"/>
      <c r="F54" s="699" t="n"/>
      <c r="H54" s="1292" t="inlineStr">
        <is>
          <t>034 004 Transport aérien</t>
        </is>
      </c>
      <c r="I54" s="698" t="n"/>
      <c r="J54" s="698" t="n"/>
      <c r="K54" s="698" t="n"/>
      <c r="L54" s="698" t="n"/>
      <c r="M54" s="698" t="n"/>
      <c r="N54" s="746" t="n"/>
    </row>
    <row r="55" ht="12.75" customHeight="1" s="1225">
      <c r="A55" s="1289" t="inlineStr">
        <is>
          <t>Industries laitières</t>
        </is>
      </c>
      <c r="B55" s="1290" t="n"/>
      <c r="C55" s="698" t="n"/>
      <c r="D55" s="698" t="n"/>
      <c r="E55" s="698" t="n"/>
      <c r="F55" s="699" t="n"/>
      <c r="H55" s="1292" t="inlineStr">
        <is>
          <t>034 005 Services annexes et auxiliaire de transport</t>
        </is>
      </c>
      <c r="I55" s="1291" t="n"/>
      <c r="J55" s="1291" t="n"/>
      <c r="K55" s="1290" t="n"/>
      <c r="L55" s="698" t="n"/>
      <c r="M55" s="698" t="n"/>
      <c r="N55" s="746" t="n"/>
    </row>
    <row r="56" ht="13.5" customHeight="1" s="1225" thickBot="1">
      <c r="A56" s="749" t="inlineStr">
        <is>
          <t>012 000 Industries laitières</t>
        </is>
      </c>
      <c r="B56" s="750" t="n"/>
      <c r="C56" s="751" t="n"/>
      <c r="D56" s="752" t="n"/>
      <c r="E56" s="752" t="n"/>
      <c r="F56" s="753" t="n"/>
      <c r="G56" s="1303" t="n"/>
      <c r="H56" s="1305" t="inlineStr">
        <is>
          <t>Postes, télécommunications</t>
        </is>
      </c>
      <c r="I56" s="1306" t="n"/>
      <c r="J56" s="752" t="n"/>
      <c r="K56" s="752" t="n"/>
      <c r="L56" s="752" t="n"/>
      <c r="M56" s="752" t="n"/>
      <c r="N56" s="754" t="n"/>
    </row>
  </sheetData>
  <mergeCells count="77">
    <mergeCell ref="H27:K27"/>
    <mergeCell ref="A37:C37"/>
    <mergeCell ref="A46:C46"/>
    <mergeCell ref="A51:B51"/>
    <mergeCell ref="H41:L41"/>
    <mergeCell ref="A7:B7"/>
    <mergeCell ref="A23:C23"/>
    <mergeCell ref="H35:K35"/>
    <mergeCell ref="A27:B27"/>
    <mergeCell ref="A52:C52"/>
    <mergeCell ref="H55:K55"/>
    <mergeCell ref="H42:M42"/>
    <mergeCell ref="A33:B33"/>
    <mergeCell ref="H39:K39"/>
    <mergeCell ref="A34:C34"/>
    <mergeCell ref="A22:B22"/>
    <mergeCell ref="A35:B35"/>
    <mergeCell ref="A43:E43"/>
    <mergeCell ref="A19:B19"/>
    <mergeCell ref="A42:D42"/>
    <mergeCell ref="A30:B30"/>
    <mergeCell ref="A2:N3"/>
    <mergeCell ref="H50:I50"/>
    <mergeCell ref="H56:I56"/>
    <mergeCell ref="H16:J16"/>
    <mergeCell ref="H8:K8"/>
    <mergeCell ref="A32:C32"/>
    <mergeCell ref="A14:C14"/>
    <mergeCell ref="H38:N38"/>
    <mergeCell ref="H10:K10"/>
    <mergeCell ref="A26:B26"/>
    <mergeCell ref="A40:C40"/>
    <mergeCell ref="A15:C15"/>
    <mergeCell ref="A8:B8"/>
    <mergeCell ref="A24:C24"/>
    <mergeCell ref="H26:M26"/>
    <mergeCell ref="H36:K36"/>
    <mergeCell ref="A16:C16"/>
    <mergeCell ref="A25:C25"/>
    <mergeCell ref="H28:K28"/>
    <mergeCell ref="H31:I31"/>
    <mergeCell ref="A50:C50"/>
    <mergeCell ref="H11:M11"/>
    <mergeCell ref="A6:N6"/>
    <mergeCell ref="A47:C47"/>
    <mergeCell ref="H19:M19"/>
    <mergeCell ref="H46:L46"/>
    <mergeCell ref="A55:B55"/>
    <mergeCell ref="A12:B12"/>
    <mergeCell ref="A28:C28"/>
    <mergeCell ref="A45:D45"/>
    <mergeCell ref="A21:B21"/>
    <mergeCell ref="H45:L45"/>
    <mergeCell ref="A38:B38"/>
    <mergeCell ref="H15:L15"/>
    <mergeCell ref="H33:L33"/>
    <mergeCell ref="H9:J9"/>
    <mergeCell ref="A54:C54"/>
    <mergeCell ref="H22:K22"/>
    <mergeCell ref="A41:C41"/>
    <mergeCell ref="G7:G56"/>
    <mergeCell ref="H34:L34"/>
    <mergeCell ref="A17:C17"/>
    <mergeCell ref="H20:K20"/>
    <mergeCell ref="H51:I51"/>
    <mergeCell ref="A53:C53"/>
    <mergeCell ref="A18:B18"/>
    <mergeCell ref="A9:C9"/>
    <mergeCell ref="H21:K21"/>
    <mergeCell ref="A39:C39"/>
    <mergeCell ref="A48:C48"/>
    <mergeCell ref="H43:J43"/>
    <mergeCell ref="A20:B20"/>
    <mergeCell ref="A11:C11"/>
    <mergeCell ref="H14:L14"/>
    <mergeCell ref="H7:K7"/>
    <mergeCell ref="A31:B31"/>
  </mergeCells>
  <pageMargins left="0.7" right="0.7" top="0.75" bottom="0.75" header="0.3" footer="0.3"/>
  <pageSetup orientation="portrait" paperSize="9"/>
</worksheet>
</file>

<file path=xl/worksheets/sheet7.xml><?xml version="1.0" encoding="utf-8"?>
<worksheet xmlns="http://schemas.openxmlformats.org/spreadsheetml/2006/main">
  <sheetPr codeName="Feuil6">
    <tabColor theme="4" tint="0.5999938962981048"/>
    <outlinePr summaryBelow="1" summaryRight="1"/>
    <pageSetUpPr fitToPage="1"/>
  </sheetPr>
  <dimension ref="A1:V65"/>
  <sheetViews>
    <sheetView showGridLines="0" zoomScaleNormal="100" workbookViewId="0">
      <selection activeCell="X8" sqref="X8"/>
    </sheetView>
  </sheetViews>
  <sheetFormatPr baseColWidth="10" defaultColWidth="11.42578125" defaultRowHeight="14.25"/>
  <cols>
    <col width="3.7109375" customWidth="1" style="1342" min="1" max="1"/>
    <col width="1.140625" customWidth="1" style="1342" min="2" max="2"/>
    <col width="7" customWidth="1" style="1342" min="3" max="3"/>
    <col width="18.7109375" customWidth="1" style="1342" min="4" max="4"/>
    <col width="4.140625" customWidth="1" style="1342" min="5" max="5"/>
    <col width="5.42578125" customWidth="1" style="1342" min="6" max="6"/>
    <col width="8.7109375" customWidth="1" style="1342" min="7" max="7"/>
    <col width="8.85546875" customWidth="1" style="1342" min="8" max="8"/>
    <col width="5.85546875" customWidth="1" style="1342" min="9" max="9"/>
    <col width="3.140625" customWidth="1" style="1342" min="10" max="10"/>
    <col width="1.28515625" customWidth="1" style="1342" min="11" max="11"/>
    <col width="1.140625" customWidth="1" style="1342" min="12" max="12"/>
    <col width="5.28515625" customWidth="1" style="1342" min="13" max="13"/>
    <col width="2.85546875" customWidth="1" style="1342" min="14" max="14"/>
    <col width="3.5703125" customWidth="1" style="1342" min="15" max="15"/>
    <col width="3.42578125" customWidth="1" style="1342" min="16" max="16"/>
    <col width="3.5703125" customWidth="1" style="1342" min="17" max="17"/>
    <col width="3.42578125" customWidth="1" style="1342" min="18" max="18"/>
    <col width="3.28515625" customWidth="1" style="1342" min="19" max="19"/>
    <col width="4.140625" customWidth="1" style="1342" min="20" max="20"/>
    <col width="3.42578125" customWidth="1" style="1342" min="21" max="21"/>
    <col width="4.42578125" customWidth="1" style="1342" min="22" max="22"/>
    <col width="11.42578125" customWidth="1" style="1342" min="23" max="23"/>
    <col width="11.42578125" customWidth="1" style="1342" min="24" max="16384"/>
  </cols>
  <sheetData>
    <row r="1" ht="15" customHeight="1" s="1225">
      <c r="A1" s="1275" t="inlineStr">
        <is>
          <t>- 1 -</t>
        </is>
      </c>
      <c r="B1" s="1229" t="n"/>
      <c r="C1" s="1229" t="n"/>
      <c r="D1" s="1229" t="n"/>
      <c r="E1" s="1229" t="n"/>
      <c r="F1" s="1229" t="n"/>
      <c r="G1" s="1229" t="n"/>
      <c r="H1" s="1229" t="n"/>
      <c r="I1" s="1229" t="n"/>
      <c r="J1" s="1229" t="n"/>
      <c r="K1" s="1229" t="n"/>
      <c r="L1" s="1229" t="n"/>
      <c r="M1" s="1229" t="n"/>
      <c r="N1" s="1229" t="n"/>
      <c r="O1" s="1229" t="n"/>
      <c r="P1" s="1229" t="n"/>
      <c r="Q1" s="1229" t="n"/>
      <c r="R1" s="1229" t="n"/>
      <c r="S1" s="1229" t="n"/>
      <c r="T1" s="1229" t="n"/>
      <c r="U1" s="1229" t="n"/>
      <c r="V1" s="1229" t="n"/>
    </row>
    <row r="2" ht="20.1" customHeight="1" s="1225">
      <c r="A2" s="1448" t="n"/>
      <c r="B2" s="1448" t="n"/>
      <c r="C2" s="26" t="n"/>
      <c r="D2" s="1458" t="n"/>
      <c r="E2" s="27" t="n"/>
      <c r="F2" s="27" t="n"/>
      <c r="G2" s="27" t="n"/>
      <c r="H2" s="27" t="n"/>
      <c r="I2" s="27" t="n"/>
      <c r="J2" s="27" t="n"/>
      <c r="K2" s="27" t="n"/>
      <c r="L2" s="27" t="n"/>
      <c r="M2" s="28" t="n"/>
      <c r="O2" s="29" t="n"/>
      <c r="P2" s="29" t="n"/>
      <c r="R2" s="1328" t="inlineStr">
        <is>
          <t>FICHE R1</t>
        </is>
      </c>
      <c r="S2" s="1253" t="n"/>
      <c r="T2" s="1253" t="n"/>
      <c r="U2" s="1253" t="n"/>
      <c r="V2" s="1274" t="n"/>
    </row>
    <row r="3" ht="15" customFormat="1" customHeight="1" s="1458">
      <c r="A3" s="1458" t="inlineStr">
        <is>
          <t>Dénomination sociale de l'entité :</t>
        </is>
      </c>
      <c r="D3" s="267" t="n"/>
      <c r="E3" s="1335">
        <f>GARDE!D22</f>
        <v/>
      </c>
      <c r="F3" s="1239" t="n"/>
      <c r="G3" s="1239" t="n"/>
      <c r="H3" s="1239" t="n"/>
      <c r="I3" s="1239" t="n"/>
      <c r="J3" s="1239" t="n"/>
      <c r="K3" s="1239" t="n"/>
      <c r="L3" s="1239" t="n"/>
      <c r="M3" s="1239" t="n"/>
      <c r="N3" s="1239" t="n"/>
      <c r="O3" s="1239" t="n"/>
      <c r="P3" s="1239" t="n"/>
      <c r="Q3" s="1239" t="n"/>
      <c r="R3" s="1239" t="n"/>
      <c r="S3" s="1239" t="n"/>
      <c r="T3" s="1239" t="n"/>
      <c r="U3" s="1239" t="n"/>
      <c r="V3" s="1239" t="n"/>
    </row>
    <row r="4" ht="15" customFormat="1" customHeight="1" s="1458">
      <c r="A4" s="1458" t="inlineStr">
        <is>
          <t>Adresse :</t>
        </is>
      </c>
      <c r="D4" s="1335" t="n"/>
      <c r="E4" s="1239" t="n"/>
      <c r="F4" s="1239" t="n"/>
      <c r="G4" s="1239" t="n"/>
      <c r="H4" s="1239" t="n"/>
      <c r="I4" s="1239" t="n"/>
      <c r="J4" s="1239" t="n"/>
      <c r="K4" s="1239" t="n"/>
      <c r="L4" s="1239" t="n"/>
      <c r="M4" s="1239" t="n"/>
      <c r="N4" s="1239" t="n"/>
      <c r="O4" s="1239" t="n"/>
      <c r="P4" s="268" t="inlineStr">
        <is>
          <t>Sigle usuel :</t>
        </is>
      </c>
      <c r="Q4" s="269" t="n"/>
      <c r="R4" s="269" t="n"/>
      <c r="S4" s="1339">
        <f>GARDE!C26</f>
        <v/>
      </c>
      <c r="T4" s="1266" t="n"/>
      <c r="U4" s="1266" t="n"/>
      <c r="V4" s="1266" t="n"/>
    </row>
    <row r="5" ht="15" customFormat="1" customHeight="1" s="1458">
      <c r="A5" s="1458" t="inlineStr">
        <is>
          <t>N° IFU du contribuable :</t>
        </is>
      </c>
      <c r="D5" s="1425" t="n"/>
      <c r="E5" s="1339" t="n"/>
      <c r="F5" s="1266" t="n"/>
      <c r="G5" s="1266" t="n"/>
      <c r="H5" s="267" t="inlineStr">
        <is>
          <t>Exercice clos le :</t>
        </is>
      </c>
      <c r="J5" s="1337" t="n"/>
      <c r="K5" s="1239" t="n"/>
      <c r="L5" s="1239" t="n"/>
      <c r="M5" s="1239" t="n"/>
      <c r="N5" s="1239" t="n"/>
      <c r="O5" s="1239" t="n"/>
      <c r="P5" s="1239" t="n"/>
      <c r="Q5" s="267" t="inlineStr">
        <is>
          <t>Durée (en mois) :</t>
        </is>
      </c>
      <c r="S5" s="1425" t="n"/>
      <c r="U5" s="1343" t="n">
        <v>12</v>
      </c>
      <c r="V5" s="1266" t="n"/>
    </row>
    <row r="6" ht="15" customFormat="1" customHeight="1" s="1458">
      <c r="A6" s="1458" t="inlineStr">
        <is>
          <t>N° de télédéclarant (NES) :</t>
        </is>
      </c>
      <c r="E6" s="1345">
        <f>GARDE!D31</f>
        <v/>
      </c>
      <c r="F6" s="1346" t="n"/>
      <c r="G6" s="1346" t="n"/>
      <c r="H6" s="270" t="n"/>
      <c r="I6" s="270" t="n"/>
      <c r="J6" s="270" t="n"/>
      <c r="K6" s="270" t="n"/>
      <c r="L6" s="270" t="n"/>
      <c r="M6" s="270" t="n"/>
      <c r="N6" s="270" t="n"/>
      <c r="O6" s="270" t="n"/>
      <c r="P6" s="270" t="n"/>
      <c r="Q6" s="270" t="n"/>
      <c r="R6" s="270" t="n"/>
      <c r="S6" s="270" t="n"/>
      <c r="T6" s="270" t="n"/>
      <c r="U6" s="270" t="n"/>
      <c r="V6" s="270" t="n"/>
    </row>
    <row r="7" ht="30" customHeight="1" s="1225">
      <c r="A7" s="1341" t="inlineStr">
        <is>
          <t>FICHE  R1 : FICHE D'IDENTIFICATION ET RENSEIGNEMENTS DIVERS 1</t>
        </is>
      </c>
    </row>
    <row r="8" ht="18" customFormat="1" customHeight="1" s="1333">
      <c r="A8" s="332" t="inlineStr">
        <is>
          <t>ZA</t>
        </is>
      </c>
      <c r="B8" s="1316" t="n"/>
      <c r="C8" s="35" t="inlineStr">
        <is>
          <t>EXERCICE COMPTABLE :</t>
        </is>
      </c>
      <c r="D8" s="35" t="n"/>
      <c r="E8" s="35" t="n"/>
      <c r="F8" s="35" t="n"/>
      <c r="G8" s="35" t="n"/>
      <c r="H8" s="35" t="n"/>
      <c r="I8" s="35" t="n"/>
      <c r="J8" s="35" t="n"/>
      <c r="K8" s="35" t="n"/>
      <c r="L8" s="35" t="n"/>
      <c r="M8" s="252" t="inlineStr">
        <is>
          <t>DU:</t>
        </is>
      </c>
      <c r="N8" s="1327" t="n">
        <v>44927</v>
      </c>
      <c r="O8" s="1318" t="n"/>
      <c r="P8" s="1318" t="n"/>
      <c r="Q8" s="1318" t="n"/>
      <c r="R8" s="35" t="inlineStr">
        <is>
          <t>AU:</t>
        </is>
      </c>
      <c r="S8" s="1317" t="n">
        <v>45291</v>
      </c>
      <c r="T8" s="1318" t="n"/>
      <c r="U8" s="1318" t="n"/>
      <c r="V8" s="1319" t="n"/>
    </row>
    <row r="9" ht="5.25" customFormat="1" customHeight="1" s="1333">
      <c r="A9" s="31" t="n"/>
      <c r="V9" s="32" t="n"/>
    </row>
    <row r="10" ht="12.75" customFormat="1" customHeight="1" s="1333">
      <c r="A10" s="332" t="inlineStr">
        <is>
          <t>ZB</t>
        </is>
      </c>
      <c r="B10" s="1349" t="n"/>
      <c r="C10" s="1333" t="inlineStr">
        <is>
          <t>DATE D'ARRETE EFFECTIF DES COMPTES :</t>
        </is>
      </c>
      <c r="H10" s="1331" t="n"/>
      <c r="I10" s="1259" t="n"/>
      <c r="K10" s="183" t="n"/>
      <c r="T10" s="1324" t="inlineStr">
        <is>
          <t>ZD</t>
        </is>
      </c>
      <c r="V10" s="32" t="n"/>
    </row>
    <row r="11" ht="5.25" customFormat="1" customHeight="1" s="1333">
      <c r="A11" s="31" t="n"/>
      <c r="T11" s="1325" t="n"/>
      <c r="V11" s="32" t="n"/>
    </row>
    <row r="12" ht="12.75" customFormat="1" customHeight="1" s="1333">
      <c r="A12" s="332" t="inlineStr">
        <is>
          <t>ZC</t>
        </is>
      </c>
      <c r="B12" s="1349" t="n"/>
      <c r="C12" s="1333" t="inlineStr">
        <is>
          <t>EXERCICE PRECEDENT CLOS LE :</t>
        </is>
      </c>
      <c r="H12" s="1331" t="n"/>
      <c r="I12" s="1259" t="n"/>
      <c r="K12" s="1333" t="inlineStr">
        <is>
          <t>DUREE EXERCICE PRECEDENT EN MOIS :</t>
        </is>
      </c>
      <c r="U12" s="1321" t="n">
        <v>12</v>
      </c>
      <c r="V12" s="1259" t="n"/>
    </row>
    <row r="13" ht="5.25" customFormat="1" customHeight="1" s="1333">
      <c r="A13" s="31" t="n"/>
      <c r="V13" s="32" t="n"/>
    </row>
    <row r="14" ht="12.75" customFormat="1" customHeight="1" s="1333">
      <c r="A14" s="332" t="inlineStr">
        <is>
          <t>ZE</t>
        </is>
      </c>
      <c r="C14" s="1331" t="n"/>
      <c r="D14" s="1321" t="n"/>
      <c r="E14" s="1259" t="n"/>
      <c r="J14" s="332" t="inlineStr">
        <is>
          <t>ZF</t>
        </is>
      </c>
      <c r="K14" s="1321" t="n"/>
      <c r="L14" s="1258" t="n"/>
      <c r="M14" s="1258" t="n"/>
      <c r="N14" s="1258" t="n"/>
      <c r="O14" s="1258" t="n"/>
      <c r="P14" s="1258" t="n"/>
      <c r="Q14" s="1258" t="n"/>
      <c r="R14" s="1258" t="n"/>
      <c r="S14" s="1258" t="n"/>
      <c r="T14" s="1259" t="n"/>
      <c r="V14" s="32" t="n"/>
    </row>
    <row r="15" ht="12.75" customFormat="1" customHeight="1" s="1333">
      <c r="A15" s="31" t="n"/>
      <c r="C15" s="1349" t="inlineStr">
        <is>
          <t>Greffe</t>
        </is>
      </c>
      <c r="D15" s="1316" t="inlineStr">
        <is>
          <t>N°Registre du Commerce</t>
        </is>
      </c>
      <c r="E15" s="1248" t="n"/>
      <c r="K15" s="1316" t="inlineStr">
        <is>
          <t>N° Répertoire des entités</t>
        </is>
      </c>
      <c r="L15" s="1248" t="n"/>
      <c r="M15" s="1248" t="n"/>
      <c r="N15" s="1248" t="n"/>
      <c r="O15" s="1248" t="n"/>
      <c r="P15" s="1248" t="n"/>
      <c r="Q15" s="1248" t="n"/>
      <c r="R15" s="1248" t="n"/>
      <c r="S15" s="1248" t="n"/>
      <c r="T15" s="1248" t="n"/>
      <c r="V15" s="32" t="n"/>
    </row>
    <row r="16" ht="5.25" customFormat="1" customHeight="1" s="1333">
      <c r="A16" s="31" t="n"/>
      <c r="C16" s="1349" t="n"/>
      <c r="D16" s="1349" t="n"/>
      <c r="E16" s="1349" t="n"/>
      <c r="K16" s="1349" t="n"/>
      <c r="L16" s="1349" t="n"/>
      <c r="M16" s="1349" t="n"/>
      <c r="N16" s="1349" t="n"/>
      <c r="O16" s="1349" t="n"/>
      <c r="P16" s="1349" t="n"/>
      <c r="Q16" s="1349" t="n"/>
      <c r="R16" s="1349" t="n"/>
      <c r="S16" s="1349" t="n"/>
      <c r="T16" s="1349" t="n"/>
      <c r="V16" s="32" t="n"/>
    </row>
    <row r="17" ht="12.75" customFormat="1" customHeight="1" s="1333">
      <c r="A17" s="332" t="inlineStr">
        <is>
          <t>ZG</t>
        </is>
      </c>
      <c r="C17" s="1350" t="n"/>
      <c r="D17" s="1259" t="n"/>
      <c r="E17" s="332" t="inlineStr">
        <is>
          <t>ZH</t>
        </is>
      </c>
      <c r="F17" s="1321" t="n"/>
      <c r="G17" s="1258" t="n"/>
      <c r="H17" s="1258" t="n"/>
      <c r="I17" s="1259" t="n"/>
      <c r="P17" s="332" t="inlineStr">
        <is>
          <t>ZI</t>
        </is>
      </c>
      <c r="Q17" s="1340" t="n"/>
      <c r="R17" s="1258" t="n"/>
      <c r="S17" s="1258" t="n"/>
      <c r="T17" s="1258" t="n"/>
      <c r="U17" s="1258" t="n"/>
      <c r="V17" s="1259" t="n"/>
    </row>
    <row r="18" ht="12.75" customFormat="1" customHeight="1" s="1333">
      <c r="A18" s="31" t="n"/>
      <c r="C18" s="1316" t="inlineStr">
        <is>
          <t>N° de caisse sociale</t>
        </is>
      </c>
      <c r="D18" s="1248" t="n"/>
      <c r="F18" s="1316" t="inlineStr">
        <is>
          <t>N° Code Importateur</t>
        </is>
      </c>
      <c r="G18" s="1248" t="n"/>
      <c r="H18" s="1248" t="n"/>
      <c r="I18" s="1248" t="n"/>
      <c r="Q18" s="1322" t="inlineStr">
        <is>
          <t>Code activité principale</t>
        </is>
      </c>
      <c r="R18" s="1248" t="n"/>
      <c r="S18" s="1248" t="n"/>
      <c r="T18" s="1248" t="n"/>
      <c r="U18" s="1248" t="n"/>
      <c r="V18" s="1249" t="n"/>
    </row>
    <row r="19" ht="5.25" customFormat="1" customHeight="1" s="1333">
      <c r="A19" s="31" t="n"/>
      <c r="C19" s="1349" t="n"/>
      <c r="D19" s="1349" t="n"/>
      <c r="F19" s="1349" t="n"/>
      <c r="G19" s="1349" t="n"/>
      <c r="H19" s="1349" t="n"/>
      <c r="Q19" s="1349" t="n"/>
      <c r="R19" s="1349" t="n"/>
      <c r="S19" s="1349" t="n"/>
      <c r="T19" s="1349" t="n"/>
      <c r="U19" s="1349" t="n"/>
      <c r="V19" s="1332" t="n"/>
    </row>
    <row r="20" ht="12.75" customFormat="1" customHeight="1" s="1333">
      <c r="A20" s="332" t="inlineStr">
        <is>
          <t>ZJ</t>
        </is>
      </c>
      <c r="C20" s="1321">
        <f>+E3</f>
        <v/>
      </c>
      <c r="D20" s="1258" t="n"/>
      <c r="E20" s="1258" t="n"/>
      <c r="F20" s="1258" t="n"/>
      <c r="G20" s="1258" t="n"/>
      <c r="H20" s="1258" t="n"/>
      <c r="I20" s="1258" t="n"/>
      <c r="J20" s="1258" t="n"/>
      <c r="K20" s="1258" t="n"/>
      <c r="L20" s="1258" t="n"/>
      <c r="M20" s="1258" t="n"/>
      <c r="N20" s="1258" t="n"/>
      <c r="O20" s="1258" t="n"/>
      <c r="P20" s="1259" t="n"/>
      <c r="Q20" s="1321">
        <f>+S4</f>
        <v/>
      </c>
      <c r="R20" s="1258" t="n"/>
      <c r="S20" s="1258" t="n"/>
      <c r="T20" s="1258" t="n"/>
      <c r="U20" s="1258" t="n"/>
      <c r="V20" s="1259" t="n"/>
    </row>
    <row r="21" ht="12.75" customFormat="1" customHeight="1" s="1333">
      <c r="A21" s="31" t="n"/>
      <c r="C21" s="1316" t="inlineStr">
        <is>
          <t>Désignation de l'entité</t>
        </is>
      </c>
      <c r="D21" s="1248" t="n"/>
      <c r="E21" s="1248" t="n"/>
      <c r="F21" s="1248" t="n"/>
      <c r="G21" s="1248" t="n"/>
      <c r="H21" s="1248" t="n"/>
      <c r="I21" s="1248" t="n"/>
      <c r="J21" s="1248" t="n"/>
      <c r="K21" s="1248" t="n"/>
      <c r="L21" s="1248" t="n"/>
      <c r="M21" s="1248" t="n"/>
      <c r="N21" s="1248" t="n"/>
      <c r="O21" s="1248" t="n"/>
      <c r="P21" s="1248" t="n"/>
      <c r="Q21" s="1322" t="inlineStr">
        <is>
          <t>Sigle</t>
        </is>
      </c>
      <c r="R21" s="1248" t="n"/>
      <c r="S21" s="1248" t="n"/>
      <c r="T21" s="1248" t="n"/>
      <c r="U21" s="1248" t="n"/>
      <c r="V21" s="1249" t="n"/>
    </row>
    <row r="22" ht="5.25" customFormat="1" customHeight="1" s="1333">
      <c r="A22" s="31" t="n"/>
      <c r="C22" s="1349" t="n"/>
      <c r="D22" s="1349" t="n"/>
      <c r="F22" s="1349" t="n"/>
      <c r="G22" s="1349" t="n"/>
      <c r="H22" s="1349" t="n"/>
      <c r="Q22" s="1349" t="n"/>
      <c r="R22" s="1349" t="n"/>
      <c r="S22" s="1349" t="n"/>
      <c r="T22" s="1349" t="n"/>
      <c r="U22" s="1349" t="n"/>
      <c r="V22" s="1332" t="n"/>
    </row>
    <row r="23" ht="12.75" customFormat="1" customHeight="1" s="1333">
      <c r="A23" s="332" t="inlineStr">
        <is>
          <t>ZK</t>
        </is>
      </c>
      <c r="C23" s="1326" t="n"/>
      <c r="D23" s="1259" t="n"/>
      <c r="E23" s="1336" t="n"/>
      <c r="F23" s="1258" t="n"/>
      <c r="G23" s="1258" t="n"/>
      <c r="H23" s="1258" t="n"/>
      <c r="I23" s="1258" t="n"/>
      <c r="J23" s="1259" t="n"/>
      <c r="K23" s="1340" t="n"/>
      <c r="L23" s="1258" t="n"/>
      <c r="M23" s="1259" t="n"/>
      <c r="N23" s="1321" t="n"/>
      <c r="O23" s="1258" t="n"/>
      <c r="P23" s="1259" t="n"/>
      <c r="Q23" s="1321" t="inlineStr">
        <is>
          <t>OUAGADOUGOU</t>
        </is>
      </c>
      <c r="R23" s="1258" t="n"/>
      <c r="S23" s="1258" t="n"/>
      <c r="T23" s="1258" t="n"/>
      <c r="U23" s="1258" t="n"/>
      <c r="V23" s="1259" t="n"/>
    </row>
    <row r="24" ht="12.75" customFormat="1" customHeight="1" s="1333">
      <c r="A24" s="31" t="n"/>
      <c r="C24" s="1316" t="inlineStr">
        <is>
          <t xml:space="preserve"> </t>
        </is>
      </c>
      <c r="D24" s="1248" t="n"/>
      <c r="E24" s="1316" t="inlineStr">
        <is>
          <t>Adresse e-mail</t>
        </is>
      </c>
      <c r="F24" s="1248" t="n"/>
      <c r="G24" s="1248" t="n"/>
      <c r="H24" s="1248" t="n"/>
      <c r="I24" s="1248" t="n"/>
      <c r="J24" s="1248" t="n"/>
      <c r="K24" s="1316" t="inlineStr">
        <is>
          <t>Code</t>
        </is>
      </c>
      <c r="L24" s="1248" t="n"/>
      <c r="M24" s="1248" t="n"/>
      <c r="N24" s="1316" t="inlineStr">
        <is>
          <t>Boîte Postale</t>
        </is>
      </c>
      <c r="O24" s="1248" t="n"/>
      <c r="P24" s="1248" t="n"/>
      <c r="Q24" s="1322" t="inlineStr">
        <is>
          <t>Ville</t>
        </is>
      </c>
      <c r="R24" s="1248" t="n"/>
      <c r="S24" s="1248" t="n"/>
      <c r="T24" s="1248" t="n"/>
      <c r="U24" s="1248" t="n"/>
      <c r="V24" s="1249" t="n"/>
    </row>
    <row r="25" ht="5.25" customFormat="1" customHeight="1" s="1333">
      <c r="A25" s="31" t="n"/>
      <c r="C25" s="1349" t="n"/>
      <c r="D25" s="1349" t="n"/>
      <c r="F25" s="1349" t="n"/>
      <c r="G25" s="1349" t="n"/>
      <c r="H25" s="1349" t="n"/>
      <c r="Q25" s="1349" t="n"/>
      <c r="R25" s="1349" t="n"/>
      <c r="S25" s="1349" t="n"/>
      <c r="T25" s="1349" t="n"/>
      <c r="U25" s="1349" t="n"/>
      <c r="V25" s="1332" t="n"/>
    </row>
    <row r="26" ht="12.75" customFormat="1" customHeight="1" s="1333">
      <c r="A26" s="332" t="inlineStr">
        <is>
          <t>ZL</t>
        </is>
      </c>
      <c r="C26" s="1321" t="n"/>
      <c r="D26" s="1258" t="n"/>
      <c r="E26" s="1258" t="n"/>
      <c r="F26" s="1258" t="n"/>
      <c r="G26" s="1258" t="n"/>
      <c r="H26" s="1258" t="n"/>
      <c r="I26" s="1258" t="n"/>
      <c r="J26" s="1258" t="n"/>
      <c r="K26" s="1258" t="n"/>
      <c r="L26" s="1258" t="n"/>
      <c r="M26" s="1258" t="n"/>
      <c r="N26" s="1258" t="n"/>
      <c r="O26" s="1258" t="n"/>
      <c r="P26" s="1258" t="n"/>
      <c r="Q26" s="1258" t="n"/>
      <c r="R26" s="1258" t="n"/>
      <c r="S26" s="1258" t="n"/>
      <c r="T26" s="1258" t="n"/>
      <c r="U26" s="1258" t="n"/>
      <c r="V26" s="1259" t="n"/>
    </row>
    <row r="27" ht="12.75" customFormat="1" customHeight="1" s="1333">
      <c r="A27" s="31" t="n"/>
      <c r="C27" s="1322" t="inlineStr">
        <is>
          <t>Adresse géographique complète (Immeuble, rue, quartier, ville, pays)</t>
        </is>
      </c>
      <c r="D27" s="1248" t="n"/>
      <c r="E27" s="1248" t="n"/>
      <c r="F27" s="1248" t="n"/>
      <c r="G27" s="1248" t="n"/>
      <c r="H27" s="1248" t="n"/>
      <c r="I27" s="1248" t="n"/>
      <c r="J27" s="1248" t="n"/>
      <c r="K27" s="1248" t="n"/>
      <c r="L27" s="1248" t="n"/>
      <c r="M27" s="1248" t="n"/>
      <c r="N27" s="1248" t="n"/>
      <c r="O27" s="1248" t="n"/>
      <c r="P27" s="1248" t="n"/>
      <c r="Q27" s="1248" t="n"/>
      <c r="R27" s="1248" t="n"/>
      <c r="S27" s="1248" t="n"/>
      <c r="T27" s="1248" t="n"/>
      <c r="U27" s="1248" t="n"/>
      <c r="V27" s="1249" t="n"/>
    </row>
    <row r="28" ht="9.75" customFormat="1" customHeight="1" s="1333">
      <c r="A28" s="31" t="n"/>
      <c r="C28" s="1349" t="n"/>
      <c r="D28" s="1349" t="n"/>
      <c r="F28" s="1349" t="n"/>
      <c r="G28" s="1349" t="n"/>
      <c r="H28" s="1349" t="n"/>
      <c r="P28" s="332" t="inlineStr">
        <is>
          <t>ZN</t>
        </is>
      </c>
      <c r="Q28" s="1349" t="n"/>
      <c r="R28" s="1349" t="n"/>
      <c r="S28" s="1349" t="n"/>
      <c r="T28" s="1349" t="n"/>
      <c r="U28" s="1349" t="n"/>
      <c r="V28" s="1332" t="n"/>
    </row>
    <row r="29" ht="12.75" customFormat="1" customHeight="1" s="1333">
      <c r="A29" s="332" t="inlineStr">
        <is>
          <t>ZM</t>
        </is>
      </c>
      <c r="C29" s="1321" t="n"/>
      <c r="D29" s="1258" t="n"/>
      <c r="E29" s="1258" t="n"/>
      <c r="F29" s="1258" t="n"/>
      <c r="G29" s="1258" t="n"/>
      <c r="H29" s="1258" t="n"/>
      <c r="I29" s="1258" t="n"/>
      <c r="J29" s="1258" t="n"/>
      <c r="K29" s="1258" t="n"/>
      <c r="L29" s="1258" t="n"/>
      <c r="M29" s="1258" t="n"/>
      <c r="N29" s="1258" t="n"/>
      <c r="O29" s="1259" t="n"/>
      <c r="P29" s="1334" t="n"/>
      <c r="Q29" s="1258" t="n"/>
      <c r="R29" s="1258" t="n"/>
      <c r="S29" s="1258" t="n"/>
      <c r="T29" s="1258" t="n"/>
      <c r="U29" s="1258" t="n"/>
      <c r="V29" s="1259" t="n"/>
    </row>
    <row r="30" ht="12.75" customFormat="1" customHeight="1" s="1333">
      <c r="A30" s="31" t="n"/>
      <c r="C30" s="1316" t="inlineStr">
        <is>
          <t>Désignation précise de l'activité principale exercée par l'entité</t>
        </is>
      </c>
      <c r="D30" s="1248" t="n"/>
      <c r="E30" s="1248" t="n"/>
      <c r="F30" s="1248" t="n"/>
      <c r="G30" s="1248" t="n"/>
      <c r="H30" s="1248" t="n"/>
      <c r="I30" s="1248" t="n"/>
      <c r="J30" s="1248" t="n"/>
      <c r="K30" s="1248" t="n"/>
      <c r="L30" s="1248" t="n"/>
      <c r="M30" s="1248" t="n"/>
      <c r="N30" s="1248" t="n"/>
      <c r="O30" s="1248" t="n"/>
      <c r="P30" s="1332" t="inlineStr">
        <is>
          <t>% Capacité production utile</t>
        </is>
      </c>
      <c r="V30" s="1242" t="n"/>
    </row>
    <row r="31" ht="6" customFormat="1" customHeight="1" s="1333">
      <c r="A31" s="31" t="n"/>
      <c r="C31" s="1349" t="n"/>
      <c r="D31" s="1349" t="n"/>
      <c r="E31" s="1349" t="n"/>
      <c r="F31" s="1349" t="n"/>
      <c r="G31" s="1349" t="n"/>
      <c r="H31" s="1349" t="n"/>
      <c r="I31" s="1349" t="n"/>
      <c r="J31" s="1349" t="n"/>
      <c r="K31" s="1349" t="n"/>
      <c r="L31" s="1349" t="n"/>
      <c r="M31" s="1349" t="n"/>
      <c r="N31" s="1349" t="n"/>
      <c r="O31" s="1349" t="n"/>
      <c r="P31" s="1349" t="n"/>
      <c r="Q31" s="1349" t="n"/>
      <c r="R31" s="1349" t="n"/>
      <c r="S31" s="1349" t="n"/>
      <c r="T31" s="1349" t="n"/>
      <c r="U31" s="1349" t="n"/>
      <c r="V31" s="1332" t="n"/>
    </row>
    <row r="32" ht="12.75" customFormat="1" customHeight="1" s="1333">
      <c r="A32" s="332" t="inlineStr">
        <is>
          <t>ZO</t>
        </is>
      </c>
      <c r="C32" s="1321" t="n"/>
      <c r="D32" s="1258" t="n"/>
      <c r="E32" s="1258" t="n"/>
      <c r="F32" s="1258" t="n"/>
      <c r="G32" s="1258" t="n"/>
      <c r="H32" s="1258" t="n"/>
      <c r="I32" s="1258" t="n"/>
      <c r="J32" s="1258" t="n"/>
      <c r="K32" s="1258" t="n"/>
      <c r="L32" s="1258" t="n"/>
      <c r="M32" s="1258" t="n"/>
      <c r="N32" s="1258" t="n"/>
      <c r="O32" s="1258" t="n"/>
      <c r="P32" s="1258" t="n"/>
      <c r="Q32" s="1258" t="n"/>
      <c r="R32" s="1258" t="n"/>
      <c r="S32" s="1258" t="n"/>
      <c r="T32" s="1258" t="n"/>
      <c r="U32" s="1258" t="n"/>
      <c r="V32" s="1259" t="n"/>
    </row>
    <row r="33" ht="12.75" customFormat="1" customHeight="1" s="1333">
      <c r="A33" s="31" t="n"/>
      <c r="C33" s="1322" t="inlineStr">
        <is>
          <t xml:space="preserve">Nom, adresse, téléphone, adresse e-mail et qualité de la personne à contacter en cas de demande </t>
        </is>
      </c>
      <c r="D33" s="1248" t="n"/>
      <c r="E33" s="1248" t="n"/>
      <c r="F33" s="1248" t="n"/>
      <c r="G33" s="1248" t="n"/>
      <c r="H33" s="1248" t="n"/>
      <c r="I33" s="1248" t="n"/>
      <c r="J33" s="1248" t="n"/>
      <c r="K33" s="1248" t="n"/>
      <c r="L33" s="1248" t="n"/>
      <c r="M33" s="1248" t="n"/>
      <c r="N33" s="1248" t="n"/>
      <c r="O33" s="1248" t="n"/>
      <c r="P33" s="1248" t="n"/>
      <c r="Q33" s="1248" t="n"/>
      <c r="R33" s="1248" t="n"/>
      <c r="S33" s="1248" t="n"/>
      <c r="T33" s="1248" t="n"/>
      <c r="U33" s="1248" t="n"/>
      <c r="V33" s="1249" t="n"/>
    </row>
    <row r="34" ht="6" customFormat="1" customHeight="1" s="1333">
      <c r="A34" s="31" t="n"/>
      <c r="C34" s="1349" t="n"/>
      <c r="D34" s="1349" t="n"/>
      <c r="E34" s="1349" t="n"/>
      <c r="F34" s="1349" t="n"/>
      <c r="G34" s="1349" t="n"/>
      <c r="H34" s="1349" t="n"/>
      <c r="I34" s="1349" t="n"/>
      <c r="J34" s="1349" t="n"/>
      <c r="K34" s="1349" t="n"/>
      <c r="L34" s="1349" t="n"/>
      <c r="M34" s="1349" t="n"/>
      <c r="N34" s="1349" t="n"/>
      <c r="O34" s="1349" t="n"/>
      <c r="P34" s="1349" t="n"/>
      <c r="Q34" s="1349" t="n"/>
      <c r="R34" s="1349" t="n"/>
      <c r="S34" s="1349" t="n"/>
      <c r="T34" s="1349" t="n"/>
      <c r="U34" s="1349" t="n"/>
      <c r="V34" s="1332" t="n"/>
    </row>
    <row r="35" ht="12.75" customFormat="1" customHeight="1" s="1333">
      <c r="A35" s="332" t="inlineStr">
        <is>
          <t>ZP</t>
        </is>
      </c>
      <c r="C35" s="1321" t="n"/>
      <c r="D35" s="1258" t="n"/>
      <c r="E35" s="1258" t="n"/>
      <c r="F35" s="1258" t="n"/>
      <c r="G35" s="1258" t="n"/>
      <c r="H35" s="1258" t="n"/>
      <c r="I35" s="1258" t="n"/>
      <c r="J35" s="1258" t="n"/>
      <c r="K35" s="1258" t="n"/>
      <c r="L35" s="1258" t="n"/>
      <c r="M35" s="1258" t="n"/>
      <c r="N35" s="1258" t="n"/>
      <c r="O35" s="1258" t="n"/>
      <c r="P35" s="1258" t="n"/>
      <c r="Q35" s="1258" t="n"/>
      <c r="R35" s="1258" t="n"/>
      <c r="S35" s="1258" t="n"/>
      <c r="T35" s="1258" t="n"/>
      <c r="U35" s="1258" t="n"/>
      <c r="V35" s="1259" t="n"/>
    </row>
    <row r="36" ht="12.75" customFormat="1" customHeight="1" s="1333">
      <c r="A36" s="31" t="n"/>
      <c r="C36" s="1322" t="inlineStr">
        <is>
          <t xml:space="preserve">Nom, adresse, téléphone et e-mail du salarié de l'entité ou </t>
        </is>
      </c>
      <c r="D36" s="1248" t="n"/>
      <c r="E36" s="1248" t="n"/>
      <c r="F36" s="1248" t="n"/>
      <c r="G36" s="1248" t="n"/>
      <c r="H36" s="1248" t="n"/>
      <c r="I36" s="1248" t="n"/>
      <c r="J36" s="1248" t="n"/>
      <c r="K36" s="1248" t="n"/>
      <c r="L36" s="1248" t="n"/>
      <c r="M36" s="1248" t="n"/>
      <c r="N36" s="1248" t="n"/>
      <c r="O36" s="1248" t="n"/>
      <c r="P36" s="1248" t="n"/>
      <c r="Q36" s="1248" t="n"/>
      <c r="R36" s="1248" t="n"/>
      <c r="S36" s="1248" t="n"/>
      <c r="T36" s="1248" t="n"/>
      <c r="U36" s="1248" t="n"/>
      <c r="V36" s="1249" t="n"/>
    </row>
    <row r="37" ht="12.75" customFormat="1" customHeight="1" s="1333">
      <c r="A37" s="31" t="n"/>
      <c r="C37" s="1344" t="inlineStr">
        <is>
          <t>du professionnel comptable inscrit à l'Ordre des Experts-comptables ayant établi les états financiers</t>
        </is>
      </c>
      <c r="V37" s="1242" t="n"/>
    </row>
    <row r="38" ht="7.5" customFormat="1" customHeight="1" s="1333">
      <c r="A38" s="31" t="n"/>
      <c r="C38" s="1323" t="n"/>
      <c r="D38" s="1229" t="n"/>
      <c r="E38" s="1229" t="n"/>
      <c r="F38" s="1229" t="n"/>
      <c r="G38" s="1229" t="n"/>
      <c r="H38" s="1229" t="n"/>
      <c r="I38" s="1229" t="n"/>
      <c r="J38" s="1229" t="n"/>
      <c r="K38" s="1229" t="n"/>
      <c r="L38" s="1229" t="n"/>
      <c r="M38" s="1229" t="n"/>
      <c r="N38" s="1229" t="n"/>
      <c r="O38" s="1229" t="n"/>
      <c r="P38" s="1229" t="n"/>
      <c r="Q38" s="1229" t="n"/>
      <c r="R38" s="1229" t="n"/>
      <c r="S38" s="1229" t="n"/>
      <c r="T38" s="1229" t="n"/>
      <c r="U38" s="1229" t="n"/>
      <c r="V38" s="1255" t="n"/>
    </row>
    <row r="39" ht="12.75" customFormat="1" customHeight="1" s="1333">
      <c r="A39" s="332" t="inlineStr">
        <is>
          <t>ZQ</t>
        </is>
      </c>
      <c r="C39" s="1321" t="n"/>
      <c r="D39" s="1258" t="n"/>
      <c r="E39" s="1258" t="n"/>
      <c r="F39" s="1258" t="n"/>
      <c r="G39" s="1258" t="n"/>
      <c r="H39" s="1258" t="n"/>
      <c r="I39" s="1258" t="n"/>
      <c r="J39" s="1258" t="n"/>
      <c r="K39" s="1258" t="n"/>
      <c r="L39" s="1258" t="n"/>
      <c r="M39" s="1258" t="n"/>
      <c r="N39" s="1258" t="n"/>
      <c r="O39" s="1258" t="n"/>
      <c r="P39" s="1258" t="n"/>
      <c r="Q39" s="1258" t="n"/>
      <c r="R39" s="1258" t="n"/>
      <c r="S39" s="1258" t="n"/>
      <c r="T39" s="1258" t="n"/>
      <c r="U39" s="1258" t="n"/>
      <c r="V39" s="1259" t="n"/>
    </row>
    <row r="40" ht="13.5" customFormat="1" customHeight="1" s="1333">
      <c r="A40" s="31" t="n"/>
      <c r="C40" s="1322" t="n"/>
      <c r="D40" s="1248" t="n"/>
      <c r="E40" s="1248" t="n"/>
      <c r="F40" s="1248" t="n"/>
      <c r="G40" s="1248" t="n"/>
      <c r="H40" s="1248" t="n"/>
      <c r="I40" s="1248" t="n"/>
      <c r="J40" s="1248" t="n"/>
      <c r="K40" s="1248" t="n"/>
      <c r="L40" s="1248" t="n"/>
      <c r="M40" s="1248" t="n"/>
      <c r="N40" s="1248" t="n"/>
      <c r="O40" s="1248" t="n"/>
      <c r="P40" s="1248" t="n"/>
      <c r="Q40" s="1248" t="n"/>
      <c r="R40" s="1248" t="n"/>
      <c r="S40" s="1248" t="n"/>
      <c r="T40" s="1248" t="n"/>
      <c r="U40" s="1248" t="n"/>
      <c r="V40" s="1249" t="n"/>
    </row>
    <row r="41" ht="11.25" customFormat="1" customHeight="1" s="1333">
      <c r="A41" s="31" t="n"/>
      <c r="C41" s="1332" t="n"/>
      <c r="V41" s="1242" t="n"/>
    </row>
    <row r="42" ht="5.25" customFormat="1" customHeight="1" s="1333">
      <c r="A42" s="31" t="n"/>
      <c r="C42" s="1349" t="n"/>
      <c r="D42" s="1349" t="n"/>
      <c r="E42" s="1349" t="n"/>
      <c r="F42" s="1349" t="n"/>
      <c r="G42" s="1349" t="n"/>
      <c r="H42" s="1349" t="n"/>
      <c r="I42" s="1349" t="n"/>
      <c r="J42" s="1349" t="n"/>
      <c r="K42" s="1349" t="n"/>
      <c r="L42" s="1349" t="n"/>
      <c r="M42" s="1349" t="n"/>
      <c r="N42" s="1349" t="n"/>
      <c r="O42" s="1349" t="n"/>
      <c r="P42" s="1349" t="n"/>
      <c r="Q42" s="1349" t="n"/>
      <c r="R42" s="1349" t="n"/>
      <c r="S42" s="1349" t="n"/>
      <c r="T42" s="1349" t="n"/>
      <c r="U42" s="1349" t="n"/>
      <c r="V42" s="1332" t="n"/>
    </row>
    <row r="43" ht="12.75" customFormat="1" customHeight="1" s="1333">
      <c r="A43" s="332" t="inlineStr">
        <is>
          <t>ZR</t>
        </is>
      </c>
      <c r="C43" s="1321" t="n"/>
      <c r="D43" s="1258" t="n"/>
      <c r="E43" s="1258" t="n"/>
      <c r="F43" s="1258" t="n"/>
      <c r="G43" s="1258" t="n"/>
      <c r="H43" s="1258" t="n"/>
      <c r="I43" s="1258" t="n"/>
      <c r="J43" s="1258" t="n"/>
      <c r="K43" s="1258" t="n"/>
      <c r="L43" s="1258" t="n"/>
      <c r="M43" s="1258" t="n"/>
      <c r="N43" s="1258" t="n"/>
      <c r="O43" s="1258" t="n"/>
      <c r="P43" s="1258" t="n"/>
      <c r="Q43" s="1258" t="n"/>
      <c r="R43" s="1258" t="n"/>
      <c r="S43" s="1258" t="n"/>
      <c r="T43" s="1258" t="n"/>
      <c r="U43" s="1258" t="n"/>
      <c r="V43" s="1259" t="n"/>
    </row>
    <row r="44" ht="12.75" customFormat="1" customHeight="1" s="1333">
      <c r="A44" s="31" t="n"/>
      <c r="C44" s="1322" t="inlineStr">
        <is>
          <t>Nom, adresse, téléphone, e-mail et numéro d'inscription à l'Ordre des Experts-comptables</t>
        </is>
      </c>
      <c r="D44" s="1248" t="n"/>
      <c r="E44" s="1248" t="n"/>
      <c r="F44" s="1248" t="n"/>
      <c r="G44" s="1248" t="n"/>
      <c r="H44" s="1248" t="n"/>
      <c r="I44" s="1248" t="n"/>
      <c r="J44" s="1248" t="n"/>
      <c r="K44" s="1248" t="n"/>
      <c r="L44" s="1248" t="n"/>
      <c r="M44" s="1248" t="n"/>
      <c r="N44" s="1248" t="n"/>
      <c r="O44" s="1248" t="n"/>
      <c r="P44" s="1248" t="n"/>
      <c r="Q44" s="1248" t="n"/>
      <c r="R44" s="1248" t="n"/>
      <c r="S44" s="1248" t="n"/>
      <c r="T44" s="1248" t="n"/>
      <c r="U44" s="1248" t="n"/>
      <c r="V44" s="1249" t="n"/>
    </row>
    <row r="45" ht="11.25" customFormat="1" customHeight="1" s="1333">
      <c r="A45" s="31" t="n"/>
      <c r="C45" s="1332" t="inlineStr">
        <is>
          <t>de l'Expert comptablble ayant délivré l'attestation d'exécution de la mission du commissariat aux comptes</t>
        </is>
      </c>
      <c r="V45" s="1242" t="n"/>
    </row>
    <row r="46" ht="16.5" customFormat="1" customHeight="1" s="1333">
      <c r="A46" s="31" t="n"/>
      <c r="P46" s="184" t="n"/>
      <c r="R46" s="551" t="n"/>
      <c r="T46" s="184" t="n"/>
      <c r="V46" s="32" t="n"/>
    </row>
    <row r="47" ht="15" customFormat="1" customHeight="1" s="1333">
      <c r="A47" s="332" t="inlineStr">
        <is>
          <t>ZS</t>
        </is>
      </c>
      <c r="E47" s="1451" t="n"/>
      <c r="O47" s="1349" t="inlineStr">
        <is>
          <t>Non</t>
        </is>
      </c>
      <c r="R47" s="1349" t="n"/>
      <c r="S47" s="1349" t="n"/>
      <c r="T47" s="1349" t="inlineStr">
        <is>
          <t>Oui</t>
        </is>
      </c>
      <c r="U47" s="1349" t="n"/>
      <c r="V47" s="32" t="n"/>
    </row>
    <row r="48" ht="22.5" customFormat="1" customHeight="1" s="1333">
      <c r="A48" s="31" t="n"/>
      <c r="N48" s="1348" t="inlineStr">
        <is>
          <t>Etats financiers approuvés par l'Assemblée
Générale (cocher la case)</t>
        </is>
      </c>
      <c r="V48" s="1242" t="n"/>
    </row>
    <row r="49" ht="13.5" customFormat="1" customHeight="1" s="1333">
      <c r="A49" s="31" t="n"/>
      <c r="J49" s="332" t="inlineStr">
        <is>
          <t>ZW</t>
        </is>
      </c>
      <c r="V49" s="32" t="n"/>
    </row>
    <row r="50" ht="15" customFormat="1" customHeight="1" s="1333">
      <c r="A50" s="332" t="inlineStr">
        <is>
          <t>ZT</t>
        </is>
      </c>
      <c r="C50" s="1321" t="n"/>
      <c r="D50" s="1258" t="n"/>
      <c r="E50" s="1258" t="n"/>
      <c r="F50" s="1258" t="n"/>
      <c r="G50" s="1258" t="n"/>
      <c r="H50" s="1259" t="n"/>
      <c r="J50" s="1338" t="inlineStr">
        <is>
          <t>Domiciliations bancaires</t>
        </is>
      </c>
      <c r="K50" s="1253" t="n"/>
      <c r="L50" s="1253" t="n"/>
      <c r="M50" s="1253" t="n"/>
      <c r="N50" s="1253" t="n"/>
      <c r="O50" s="1253" t="n"/>
      <c r="P50" s="1253" t="n"/>
      <c r="Q50" s="1253" t="n"/>
      <c r="R50" s="1253" t="n"/>
      <c r="S50" s="1253" t="n"/>
      <c r="T50" s="1253" t="n"/>
      <c r="U50" s="1253" t="n"/>
      <c r="V50" s="1274" t="n"/>
    </row>
    <row r="51" ht="12.75" customFormat="1" customHeight="1" s="1333">
      <c r="A51" s="31" t="n"/>
      <c r="C51" s="1316" t="inlineStr">
        <is>
          <t>Nom du signataire des états financiers</t>
        </is>
      </c>
      <c r="D51" s="1248" t="n"/>
      <c r="E51" s="1248" t="n"/>
      <c r="F51" s="1248" t="n"/>
      <c r="G51" s="1248" t="n"/>
      <c r="H51" s="1248" t="n"/>
      <c r="J51" s="1347" t="inlineStr">
        <is>
          <t>Banque</t>
        </is>
      </c>
      <c r="K51" s="1253" t="n"/>
      <c r="L51" s="1253" t="n"/>
      <c r="M51" s="1253" t="n"/>
      <c r="N51" s="1253" t="n"/>
      <c r="O51" s="1253" t="n"/>
      <c r="P51" s="1274" t="n"/>
      <c r="Q51" s="1347" t="inlineStr">
        <is>
          <t>Numéro de compte</t>
        </is>
      </c>
      <c r="R51" s="1253" t="n"/>
      <c r="S51" s="1253" t="n"/>
      <c r="T51" s="1253" t="n"/>
      <c r="U51" s="1253" t="n"/>
      <c r="V51" s="1274" t="n"/>
    </row>
    <row r="52" ht="12.75" customFormat="1" customHeight="1" s="1333">
      <c r="A52" s="31" t="n"/>
      <c r="J52" s="1320" t="n"/>
      <c r="K52" s="1314" t="n"/>
      <c r="L52" s="1314" t="n"/>
      <c r="M52" s="1314" t="n"/>
      <c r="N52" s="1314" t="n"/>
      <c r="O52" s="1314" t="n"/>
      <c r="P52" s="1315" t="n"/>
      <c r="Q52" s="1329" t="n"/>
      <c r="R52" s="1314" t="n"/>
      <c r="S52" s="1314" t="n"/>
      <c r="T52" s="1314" t="n"/>
      <c r="U52" s="1314" t="n"/>
      <c r="V52" s="1315" t="n"/>
    </row>
    <row r="53" ht="12" customFormat="1" customHeight="1" s="1333">
      <c r="A53" s="332" t="inlineStr">
        <is>
          <t>ZU</t>
        </is>
      </c>
      <c r="C53" s="1321" t="n"/>
      <c r="D53" s="1258" t="n"/>
      <c r="E53" s="1258" t="n"/>
      <c r="F53" s="1258" t="n"/>
      <c r="G53" s="1258" t="n"/>
      <c r="H53" s="1259" t="n"/>
      <c r="J53" s="1320" t="n"/>
      <c r="K53" s="1314" t="n"/>
      <c r="L53" s="1314" t="n"/>
      <c r="M53" s="1314" t="n"/>
      <c r="N53" s="1314" t="n"/>
      <c r="O53" s="1314" t="n"/>
      <c r="P53" s="1315" t="n"/>
      <c r="Q53" s="1313" t="n"/>
      <c r="R53" s="1314" t="n"/>
      <c r="S53" s="1314" t="n"/>
      <c r="T53" s="1314" t="n"/>
      <c r="U53" s="1314" t="n"/>
      <c r="V53" s="1315" t="n"/>
    </row>
    <row r="54" ht="12.75" customFormat="1" customHeight="1" s="1333">
      <c r="A54" s="31" t="n"/>
      <c r="C54" s="1316" t="inlineStr">
        <is>
          <t>Qualité du signataire des états financiers</t>
        </is>
      </c>
      <c r="D54" s="1248" t="n"/>
      <c r="E54" s="1248" t="n"/>
      <c r="F54" s="1248" t="n"/>
      <c r="G54" s="1248" t="n"/>
      <c r="H54" s="1248" t="n"/>
      <c r="J54" s="1320" t="n"/>
      <c r="K54" s="1314" t="n"/>
      <c r="L54" s="1314" t="n"/>
      <c r="M54" s="1314" t="n"/>
      <c r="N54" s="1314" t="n"/>
      <c r="O54" s="1314" t="n"/>
      <c r="P54" s="1315" t="n"/>
      <c r="Q54" s="1313" t="n"/>
      <c r="R54" s="1314" t="n"/>
      <c r="S54" s="1314" t="n"/>
      <c r="T54" s="1314" t="n"/>
      <c r="U54" s="1314" t="n"/>
      <c r="V54" s="1315" t="n"/>
    </row>
    <row r="55" ht="12.75" customFormat="1" customHeight="1" s="1333">
      <c r="A55" s="31" t="n"/>
      <c r="J55" s="1320" t="n"/>
      <c r="K55" s="1314" t="n"/>
      <c r="L55" s="1314" t="n"/>
      <c r="M55" s="1314" t="n"/>
      <c r="N55" s="1314" t="n"/>
      <c r="O55" s="1314" t="n"/>
      <c r="P55" s="1315" t="n"/>
      <c r="Q55" s="1330" t="n"/>
      <c r="R55" s="1314" t="n"/>
      <c r="S55" s="1314" t="n"/>
      <c r="T55" s="1314" t="n"/>
      <c r="U55" s="1314" t="n"/>
      <c r="V55" s="1315" t="n"/>
    </row>
    <row r="56" ht="12.75" customFormat="1" customHeight="1" s="1333">
      <c r="A56" s="332" t="inlineStr">
        <is>
          <t>ZV</t>
        </is>
      </c>
      <c r="C56" s="1331" t="n"/>
      <c r="D56" s="1258" t="n"/>
      <c r="E56" s="1258" t="n"/>
      <c r="F56" s="1258" t="n"/>
      <c r="G56" s="1258" t="n"/>
      <c r="H56" s="1259" t="n"/>
      <c r="J56" s="1320" t="n"/>
      <c r="K56" s="1314" t="n"/>
      <c r="L56" s="1314" t="n"/>
      <c r="M56" s="1314" t="n"/>
      <c r="N56" s="1314" t="n"/>
      <c r="O56" s="1314" t="n"/>
      <c r="P56" s="1315" t="n"/>
      <c r="Q56" s="1313" t="n"/>
      <c r="R56" s="1314" t="n"/>
      <c r="S56" s="1314" t="n"/>
      <c r="T56" s="1314" t="n"/>
      <c r="U56" s="1314" t="n"/>
      <c r="V56" s="1315" t="n"/>
    </row>
    <row r="57" ht="12.75" customFormat="1" customHeight="1" s="1333">
      <c r="A57" s="31" t="n"/>
      <c r="C57" s="1316" t="inlineStr">
        <is>
          <t>Date de signature</t>
        </is>
      </c>
      <c r="D57" s="1248" t="n"/>
      <c r="E57" s="1248" t="n"/>
      <c r="F57" s="1248" t="n"/>
      <c r="G57" s="1248" t="n"/>
      <c r="H57" s="1248" t="n"/>
      <c r="J57" s="1320" t="n"/>
      <c r="K57" s="1314" t="n"/>
      <c r="L57" s="1314" t="n"/>
      <c r="M57" s="1314" t="n"/>
      <c r="N57" s="1314" t="n"/>
      <c r="O57" s="1314" t="n"/>
      <c r="P57" s="1315" t="n"/>
      <c r="Q57" s="1313" t="n"/>
      <c r="R57" s="1314" t="n"/>
      <c r="S57" s="1314" t="n"/>
      <c r="T57" s="1314" t="n"/>
      <c r="U57" s="1314" t="n"/>
      <c r="V57" s="1315" t="n"/>
    </row>
    <row r="58" ht="12.75" customFormat="1" customHeight="1" s="1333">
      <c r="A58" s="31" t="n"/>
      <c r="J58" s="1145" t="n"/>
      <c r="K58" s="1146" t="n"/>
      <c r="L58" s="1146" t="n"/>
      <c r="M58" s="1146" t="n"/>
      <c r="N58" s="1146" t="n"/>
      <c r="O58" s="1146" t="n"/>
      <c r="P58" s="1147" t="n"/>
      <c r="Q58" s="1142" t="n"/>
      <c r="R58" s="1143" t="n"/>
      <c r="S58" s="1143" t="n"/>
      <c r="T58" s="1143" t="n"/>
      <c r="U58" s="1143" t="n"/>
      <c r="V58" s="1144" t="n"/>
    </row>
    <row r="59" ht="12.75" customFormat="1" customHeight="1" s="1333">
      <c r="A59" s="31" t="n"/>
      <c r="C59" s="34" t="n"/>
      <c r="D59" s="35" t="n"/>
      <c r="E59" s="35" t="n"/>
      <c r="F59" s="35" t="n"/>
      <c r="G59" s="35" t="n"/>
      <c r="H59" s="36" t="n"/>
      <c r="J59" s="1145" t="n"/>
      <c r="K59" s="1146" t="n"/>
      <c r="L59" s="1146" t="n"/>
      <c r="M59" s="1146" t="n"/>
      <c r="N59" s="1146" t="n"/>
      <c r="O59" s="1146" t="n"/>
      <c r="P59" s="1147" t="n"/>
      <c r="Q59" s="1142" t="n"/>
      <c r="R59" s="1143" t="n"/>
      <c r="S59" s="1143" t="n"/>
      <c r="T59" s="1143" t="n"/>
      <c r="U59" s="1143" t="n"/>
      <c r="V59" s="1144" t="n"/>
    </row>
    <row r="60" ht="12.75" customFormat="1" customHeight="1" s="1333">
      <c r="A60" s="31" t="n"/>
      <c r="C60" s="31" t="n"/>
      <c r="H60" s="32" t="n"/>
      <c r="J60" s="1320" t="n"/>
      <c r="K60" s="1314" t="n"/>
      <c r="L60" s="1314" t="n"/>
      <c r="M60" s="1314" t="n"/>
      <c r="N60" s="1314" t="n"/>
      <c r="O60" s="1314" t="n"/>
      <c r="P60" s="1315" t="n"/>
      <c r="Q60" s="1313" t="n"/>
      <c r="R60" s="1314" t="n"/>
      <c r="S60" s="1314" t="n"/>
      <c r="T60" s="1314" t="n"/>
      <c r="U60" s="1314" t="n"/>
      <c r="V60" s="1315" t="n"/>
    </row>
    <row r="61" ht="12.75" customFormat="1" customHeight="1" s="1333">
      <c r="A61" s="31" t="n"/>
      <c r="C61" s="31" t="n"/>
      <c r="H61" s="32" t="n"/>
      <c r="J61" s="1320" t="n"/>
      <c r="K61" s="1314" t="n"/>
      <c r="L61" s="1314" t="n"/>
      <c r="M61" s="1314" t="n"/>
      <c r="N61" s="1314" t="n"/>
      <c r="O61" s="1314" t="n"/>
      <c r="P61" s="1315" t="n"/>
      <c r="Q61" s="1313" t="n"/>
      <c r="R61" s="1314" t="n"/>
      <c r="S61" s="1314" t="n"/>
      <c r="T61" s="1314" t="n"/>
      <c r="U61" s="1314" t="n"/>
      <c r="V61" s="1315" t="n"/>
    </row>
    <row r="62" ht="12.75" customFormat="1" customHeight="1" s="1333">
      <c r="A62" s="31" t="n"/>
      <c r="C62" s="31" t="n"/>
      <c r="H62" s="32" t="n"/>
      <c r="J62" s="1320" t="n"/>
      <c r="K62" s="1314" t="n"/>
      <c r="L62" s="1314" t="n"/>
      <c r="M62" s="1314" t="n"/>
      <c r="N62" s="1314" t="n"/>
      <c r="O62" s="1314" t="n"/>
      <c r="P62" s="1315" t="n"/>
      <c r="Q62" s="1142" t="n"/>
      <c r="R62" s="1143" t="n"/>
      <c r="S62" s="1143" t="n"/>
      <c r="T62" s="1143" t="n"/>
      <c r="U62" s="1143" t="n"/>
      <c r="V62" s="1144" t="n"/>
    </row>
    <row r="63" ht="12.75" customFormat="1" customHeight="1" s="1333">
      <c r="A63" s="31" t="n"/>
      <c r="C63" s="31" t="n"/>
      <c r="H63" s="32" t="n"/>
      <c r="J63" s="1320" t="n"/>
      <c r="K63" s="1314" t="n"/>
      <c r="L63" s="1314" t="n"/>
      <c r="M63" s="1314" t="n"/>
      <c r="N63" s="1314" t="n"/>
      <c r="O63" s="1314" t="n"/>
      <c r="P63" s="1315" t="n"/>
      <c r="Q63" s="1142" t="n"/>
      <c r="R63" s="1143" t="n"/>
      <c r="S63" s="1143" t="n"/>
      <c r="T63" s="1143" t="n"/>
      <c r="U63" s="1143" t="n"/>
      <c r="V63" s="1144" t="n"/>
    </row>
    <row r="64" ht="12.75" customFormat="1" customHeight="1" s="1333">
      <c r="A64" s="31" t="n"/>
      <c r="C64" s="1316" t="inlineStr">
        <is>
          <t>Signature</t>
        </is>
      </c>
      <c r="D64" s="1248" t="n"/>
      <c r="E64" s="1248" t="n"/>
      <c r="F64" s="1248" t="n"/>
      <c r="G64" s="1248" t="n"/>
      <c r="H64" s="1248" t="n"/>
      <c r="V64" s="32" t="n"/>
    </row>
    <row r="65" ht="3" customFormat="1" customHeight="1" s="1333">
      <c r="A65" s="37" t="n"/>
      <c r="B65" s="38" t="n"/>
      <c r="C65" s="38" t="n"/>
      <c r="D65" s="38" t="n"/>
      <c r="E65" s="38" t="n"/>
      <c r="F65" s="38" t="n"/>
      <c r="G65" s="38" t="n"/>
      <c r="H65" s="38" t="n"/>
      <c r="I65" s="38" t="n"/>
      <c r="J65" s="38" t="n"/>
      <c r="K65" s="38" t="n"/>
      <c r="L65" s="38" t="n"/>
      <c r="M65" s="38" t="n"/>
      <c r="N65" s="38" t="n"/>
      <c r="O65" s="38" t="n"/>
      <c r="P65" s="38" t="n"/>
      <c r="Q65" s="38" t="n"/>
      <c r="R65" s="38" t="n"/>
      <c r="S65" s="38" t="n"/>
      <c r="T65" s="38" t="n"/>
      <c r="U65" s="38" t="n"/>
      <c r="V65" s="39" t="n"/>
    </row>
  </sheetData>
  <mergeCells count="88">
    <mergeCell ref="H10:I10"/>
    <mergeCell ref="J51:P51"/>
    <mergeCell ref="Q60:V60"/>
    <mergeCell ref="N48:V48"/>
    <mergeCell ref="J62:P62"/>
    <mergeCell ref="C26:V26"/>
    <mergeCell ref="O47:Q47"/>
    <mergeCell ref="J57:P57"/>
    <mergeCell ref="C21:P21"/>
    <mergeCell ref="C43:V43"/>
    <mergeCell ref="C17:D17"/>
    <mergeCell ref="C36:V36"/>
    <mergeCell ref="A7:V7"/>
    <mergeCell ref="Q21:V21"/>
    <mergeCell ref="E24:J24"/>
    <mergeCell ref="U5:V5"/>
    <mergeCell ref="C37:V37"/>
    <mergeCell ref="Q51:V51"/>
    <mergeCell ref="K14:T14"/>
    <mergeCell ref="C50:H50"/>
    <mergeCell ref="P30:V30"/>
    <mergeCell ref="E6:G6"/>
    <mergeCell ref="J61:P61"/>
    <mergeCell ref="S4:V4"/>
    <mergeCell ref="C20:P20"/>
    <mergeCell ref="K23:M23"/>
    <mergeCell ref="C30:O30"/>
    <mergeCell ref="Q17:V17"/>
    <mergeCell ref="C41:V41"/>
    <mergeCell ref="Q53:V53"/>
    <mergeCell ref="C27:V27"/>
    <mergeCell ref="E3:V3"/>
    <mergeCell ref="H12:I12"/>
    <mergeCell ref="F17:I17"/>
    <mergeCell ref="D15:E15"/>
    <mergeCell ref="E23:J23"/>
    <mergeCell ref="C64:H64"/>
    <mergeCell ref="C18:D18"/>
    <mergeCell ref="Q54:V54"/>
    <mergeCell ref="Q55:V55"/>
    <mergeCell ref="C54:H54"/>
    <mergeCell ref="N23:P23"/>
    <mergeCell ref="C56:H56"/>
    <mergeCell ref="C45:V45"/>
    <mergeCell ref="J52:P52"/>
    <mergeCell ref="P29:V29"/>
    <mergeCell ref="J5:P5"/>
    <mergeCell ref="K15:T15"/>
    <mergeCell ref="C44:V44"/>
    <mergeCell ref="C57:H57"/>
    <mergeCell ref="U12:V12"/>
    <mergeCell ref="C40:V40"/>
    <mergeCell ref="A1:V1"/>
    <mergeCell ref="C53:H53"/>
    <mergeCell ref="Q57:V57"/>
    <mergeCell ref="J53:P53"/>
    <mergeCell ref="C29:O29"/>
    <mergeCell ref="C23:D23"/>
    <mergeCell ref="F18:I18"/>
    <mergeCell ref="K24:M24"/>
    <mergeCell ref="N8:Q8"/>
    <mergeCell ref="J55:P55"/>
    <mergeCell ref="D14:E14"/>
    <mergeCell ref="R2:V2"/>
    <mergeCell ref="Q52:V52"/>
    <mergeCell ref="J54:P54"/>
    <mergeCell ref="J63:P63"/>
    <mergeCell ref="Q20:V20"/>
    <mergeCell ref="C24:D24"/>
    <mergeCell ref="Q23:V23"/>
    <mergeCell ref="J56:P56"/>
    <mergeCell ref="C33:V33"/>
    <mergeCell ref="J50:V50"/>
    <mergeCell ref="C51:H51"/>
    <mergeCell ref="C35:V35"/>
    <mergeCell ref="D4:O4"/>
    <mergeCell ref="Q61:V61"/>
    <mergeCell ref="N24:P24"/>
    <mergeCell ref="S8:V8"/>
    <mergeCell ref="J60:P60"/>
    <mergeCell ref="Q56:V56"/>
    <mergeCell ref="C39:V39"/>
    <mergeCell ref="Q24:V24"/>
    <mergeCell ref="E5:G5"/>
    <mergeCell ref="Q18:V18"/>
    <mergeCell ref="C32:V32"/>
    <mergeCell ref="C38:V38"/>
    <mergeCell ref="T10:T11"/>
  </mergeCells>
  <printOptions horizontalCentered="1"/>
  <pageMargins left="0.3937007874015748" right="0.3149606299212598" top="0.3543307086614174" bottom="0.3543307086614174" header="0.1181102362204725" footer="0.1181102362204725"/>
  <pageSetup orientation="portrait" paperSize="9" scale="90"/>
</worksheet>
</file>

<file path=xl/worksheets/sheet8.xml><?xml version="1.0" encoding="utf-8"?>
<worksheet xmlns="http://schemas.openxmlformats.org/spreadsheetml/2006/main">
  <sheetPr codeName="Feuil7">
    <tabColor theme="4" tint="0.5999938962981048"/>
    <outlinePr summaryBelow="1" summaryRight="1"/>
    <pageSetUpPr fitToPage="1"/>
  </sheetPr>
  <dimension ref="A1:AL61"/>
  <sheetViews>
    <sheetView showGridLines="0" topLeftCell="A42" workbookViewId="0">
      <selection activeCell="B14" sqref="B14"/>
    </sheetView>
  </sheetViews>
  <sheetFormatPr baseColWidth="10" defaultRowHeight="15"/>
  <cols>
    <col width="3.42578125" customWidth="1" style="1225" min="1" max="1"/>
    <col width="0.85546875" customWidth="1" style="1225" min="2" max="2"/>
    <col width="1.140625" customWidth="1" style="1225" min="3" max="3"/>
    <col width="2.5703125" customWidth="1" style="1225" min="4" max="7"/>
    <col width="13.5703125" customWidth="1" style="1225" min="8" max="8"/>
    <col width="2.5703125" customWidth="1" style="1225" min="9" max="10"/>
    <col width="1.85546875" customWidth="1" style="1225" min="11" max="11"/>
    <col width="2.5703125" customWidth="1" style="1225" min="12" max="14"/>
    <col width="2.140625" customWidth="1" style="1225" min="15" max="15"/>
    <col width="1.28515625" customWidth="1" style="1225" min="16" max="16"/>
    <col width="2.5703125" customWidth="1" style="1225" min="17" max="22"/>
    <col width="2.42578125" customWidth="1" style="1225" min="23" max="23"/>
    <col width="1.28515625" customWidth="1" style="1225" min="24" max="24"/>
    <col width="1.42578125" customWidth="1" style="1225" min="25" max="25"/>
    <col width="2.28515625" customWidth="1" style="1225" min="26" max="26"/>
    <col width="4" customWidth="1" style="1225" min="27" max="27"/>
    <col width="3.28515625" customWidth="1" style="1225" min="28" max="28"/>
    <col width="2.7109375" customWidth="1" style="1225" min="29" max="29"/>
    <col width="2.85546875" customWidth="1" style="1225" min="30" max="30"/>
    <col width="2.7109375" customWidth="1" style="1225" min="31" max="31"/>
    <col width="2.28515625" customWidth="1" style="1225" min="32" max="32"/>
    <col width="2.140625" customWidth="1" style="1225" min="33" max="33"/>
    <col width="1.5703125" customWidth="1" style="1225" min="34" max="34"/>
    <col width="2.28515625" customWidth="1" style="1225" min="35" max="35"/>
    <col width="2.140625" customWidth="1" style="1225" min="36" max="36"/>
    <col width="4" customWidth="1" style="1225" min="37" max="37"/>
    <col width="2.7109375" customWidth="1" style="1225" min="38" max="38"/>
  </cols>
  <sheetData>
    <row r="1" ht="15" customHeight="1" s="1225">
      <c r="A1" s="1275" t="inlineStr">
        <is>
          <t>- 2 -</t>
        </is>
      </c>
      <c r="B1" s="1229" t="n"/>
      <c r="C1" s="1229" t="n"/>
      <c r="D1" s="1229" t="n"/>
      <c r="E1" s="1229" t="n"/>
      <c r="F1" s="1229" t="n"/>
      <c r="G1" s="1229" t="n"/>
      <c r="H1" s="1229" t="n"/>
      <c r="I1" s="1229" t="n"/>
      <c r="J1" s="1229" t="n"/>
      <c r="K1" s="1229" t="n"/>
      <c r="L1" s="1229" t="n"/>
      <c r="M1" s="1229" t="n"/>
      <c r="N1" s="1229" t="n"/>
      <c r="O1" s="1229" t="n"/>
      <c r="P1" s="1229" t="n"/>
      <c r="Q1" s="1229" t="n"/>
      <c r="R1" s="1229" t="n"/>
      <c r="S1" s="1229" t="n"/>
      <c r="T1" s="1229" t="n"/>
      <c r="U1" s="1229" t="n"/>
      <c r="V1" s="1229" t="n"/>
      <c r="W1" s="1229" t="n"/>
      <c r="X1" s="1229" t="n"/>
      <c r="Y1" s="1229" t="n"/>
      <c r="Z1" s="1229" t="n"/>
      <c r="AA1" s="1229" t="n"/>
      <c r="AB1" s="1229" t="n"/>
      <c r="AC1" s="1229" t="n"/>
      <c r="AD1" s="1229" t="n"/>
      <c r="AE1" s="1229" t="n"/>
      <c r="AF1" s="1229" t="n"/>
      <c r="AG1" s="1229" t="n"/>
      <c r="AH1" s="1229" t="n"/>
      <c r="AI1" s="1229" t="n"/>
      <c r="AJ1" s="1229" t="n"/>
      <c r="AK1" s="1229" t="n"/>
      <c r="AL1" s="1229" t="n"/>
    </row>
    <row r="2" ht="20.1" customHeight="1" s="1225">
      <c r="B2" s="177" t="n"/>
      <c r="C2" s="177" t="n"/>
      <c r="D2" s="177" t="n"/>
      <c r="E2" s="177" t="n"/>
      <c r="F2" s="177" t="n"/>
      <c r="G2" s="177" t="n"/>
      <c r="H2" s="177" t="n"/>
      <c r="I2" s="177" t="n"/>
      <c r="J2" s="177" t="n"/>
      <c r="K2" s="177" t="n"/>
      <c r="L2" s="177" t="n"/>
      <c r="M2" s="177" t="n"/>
      <c r="N2" s="177" t="n"/>
      <c r="O2" s="177" t="n"/>
      <c r="P2" s="177" t="n"/>
      <c r="Q2" s="177" t="n"/>
      <c r="R2" s="1275" t="n"/>
      <c r="S2" s="1275" t="n"/>
      <c r="T2" s="1275" t="n"/>
      <c r="U2" s="1275" t="n"/>
      <c r="V2" s="177" t="n"/>
      <c r="W2" s="177" t="n"/>
      <c r="X2" s="177" t="n"/>
      <c r="Y2" s="177" t="n"/>
      <c r="Z2" s="177" t="n"/>
      <c r="AA2" s="177" t="n"/>
      <c r="AB2" s="177" t="n"/>
      <c r="AC2" s="177" t="n"/>
      <c r="AD2" s="177" t="n"/>
      <c r="AE2" s="177" t="n"/>
      <c r="AF2" s="177" t="n"/>
      <c r="AG2" s="1378" t="inlineStr">
        <is>
          <t>FICHE R2</t>
        </is>
      </c>
      <c r="AH2" s="1253" t="n"/>
      <c r="AI2" s="1253" t="n"/>
      <c r="AJ2" s="1253" t="n"/>
      <c r="AK2" s="1253" t="n"/>
      <c r="AL2" s="1274" t="n"/>
    </row>
    <row r="3" ht="15" customFormat="1" customHeight="1" s="1382">
      <c r="A3" s="271" t="inlineStr">
        <is>
          <t>Dénomination sociale de l'entité :</t>
        </is>
      </c>
      <c r="B3" s="271" t="n"/>
      <c r="C3" s="271" t="n"/>
      <c r="D3" s="197" t="n"/>
      <c r="E3" s="197" t="n"/>
      <c r="F3" s="197" t="n"/>
      <c r="G3" s="197" t="n"/>
      <c r="H3" s="197" t="n"/>
      <c r="I3" s="1370" t="n"/>
      <c r="J3" s="1239" t="n"/>
      <c r="K3" s="1239" t="n"/>
      <c r="L3" s="1239" t="n"/>
      <c r="M3" s="1239" t="n"/>
      <c r="N3" s="1239" t="n"/>
      <c r="O3" s="1239" t="n"/>
      <c r="P3" s="1239" t="n"/>
      <c r="Q3" s="1239" t="n"/>
      <c r="R3" s="1239" t="n"/>
      <c r="S3" s="1239" t="n"/>
      <c r="T3" s="1239" t="n"/>
      <c r="U3" s="1239" t="n"/>
      <c r="V3" s="1239" t="n"/>
      <c r="W3" s="1239" t="n"/>
      <c r="X3" s="1239" t="n"/>
      <c r="Y3" s="1239" t="n"/>
      <c r="Z3" s="1239" t="n"/>
      <c r="AA3" s="1239" t="n"/>
      <c r="AB3" s="1239" t="n"/>
      <c r="AC3" s="1239" t="n"/>
      <c r="AD3" s="1239" t="n"/>
      <c r="AE3" s="1239" t="n"/>
      <c r="AF3" s="1239" t="n"/>
      <c r="AG3" s="1239" t="n"/>
      <c r="AH3" s="1239" t="n"/>
      <c r="AI3" s="1239" t="n"/>
      <c r="AJ3" s="1239" t="n"/>
      <c r="AK3" s="1239" t="n"/>
      <c r="AL3" s="1239" t="n"/>
    </row>
    <row r="4" ht="15" customFormat="1" customHeight="1" s="1382">
      <c r="A4" s="197" t="inlineStr">
        <is>
          <t>Adresse :</t>
        </is>
      </c>
      <c r="B4" s="197" t="n"/>
      <c r="C4" s="197" t="n"/>
      <c r="D4" s="271" t="n"/>
      <c r="E4" s="1365" t="n"/>
      <c r="F4" s="1352" t="n"/>
      <c r="G4" s="1352" t="n"/>
      <c r="H4" s="1352" t="n"/>
      <c r="I4" s="1352" t="n"/>
      <c r="J4" s="1352" t="n"/>
      <c r="K4" s="1352" t="n"/>
      <c r="L4" s="1352" t="n"/>
      <c r="M4" s="1352" t="n"/>
      <c r="N4" s="1352" t="n"/>
      <c r="O4" s="1352" t="n"/>
      <c r="P4" s="1352" t="n"/>
      <c r="Q4" s="1352" t="n"/>
      <c r="R4" s="1352" t="n"/>
      <c r="S4" s="1352" t="n"/>
      <c r="T4" s="1352" t="n"/>
      <c r="U4" s="1352" t="n"/>
      <c r="V4" s="1352" t="n"/>
      <c r="W4" s="1352" t="n"/>
      <c r="X4" s="1352" t="n"/>
      <c r="Y4" s="1352" t="n"/>
      <c r="Z4" s="1352" t="n"/>
      <c r="AA4" s="1352" t="n"/>
      <c r="AB4" s="272" t="n"/>
      <c r="AC4" s="274" t="inlineStr">
        <is>
          <t>Sigle usuel :</t>
        </is>
      </c>
      <c r="AD4" s="275" t="n"/>
      <c r="AE4" s="275" t="n"/>
      <c r="AF4" s="276" t="n"/>
      <c r="AG4" s="1366" t="n"/>
      <c r="AH4" s="1266" t="n"/>
      <c r="AI4" s="1266" t="n"/>
      <c r="AJ4" s="1266" t="n"/>
      <c r="AK4" s="1266" t="n"/>
      <c r="AL4" s="1266" t="n"/>
    </row>
    <row r="5" ht="15" customFormat="1" customHeight="1" s="1382">
      <c r="A5" s="271" t="inlineStr">
        <is>
          <t>N° IFU du contribuable  :</t>
        </is>
      </c>
      <c r="B5" s="271" t="n"/>
      <c r="C5" s="197" t="n"/>
      <c r="D5" s="197" t="n"/>
      <c r="E5" s="197" t="n"/>
      <c r="F5" s="197" t="n"/>
      <c r="G5" s="197" t="n"/>
      <c r="H5" s="271" t="n"/>
      <c r="I5" s="1365" t="n"/>
      <c r="J5" s="1352" t="n"/>
      <c r="K5" s="1352" t="n"/>
      <c r="L5" s="1352" t="n"/>
      <c r="M5" s="1352" t="n"/>
      <c r="N5" s="1352" t="n"/>
      <c r="O5" s="1352" t="n"/>
      <c r="P5" s="1352" t="n"/>
      <c r="Q5" s="1381" t="inlineStr">
        <is>
          <t>Exercice clos le :</t>
        </is>
      </c>
      <c r="W5" s="1385" t="n"/>
      <c r="X5" s="1352" t="n"/>
      <c r="Y5" s="1352" t="n"/>
      <c r="Z5" s="1352" t="n"/>
      <c r="AA5" s="1352" t="n"/>
      <c r="AB5" s="1352" t="n"/>
      <c r="AC5" s="271" t="inlineStr">
        <is>
          <t>Durée (en mois) :</t>
        </is>
      </c>
      <c r="AE5" s="1381" t="n"/>
      <c r="AF5" s="1381" t="n"/>
      <c r="AG5" s="1381" t="n"/>
      <c r="AH5" s="1381" t="n"/>
      <c r="AI5" s="1368">
        <f>'FICHE R1'!U5</f>
        <v/>
      </c>
      <c r="AJ5" s="1369" t="n"/>
      <c r="AK5" s="1369" t="n"/>
      <c r="AL5" s="1369" t="n"/>
    </row>
    <row r="6" ht="15" customFormat="1" customHeight="1" s="1382">
      <c r="A6" s="271" t="inlineStr">
        <is>
          <t>N° de télédéclarant (NES) :</t>
        </is>
      </c>
      <c r="I6" s="1379" t="n"/>
      <c r="J6" s="1380" t="n"/>
      <c r="K6" s="1380" t="n"/>
      <c r="L6" s="1380" t="n"/>
      <c r="M6" s="1380" t="n"/>
      <c r="N6" s="1380" t="n"/>
      <c r="O6" s="1380" t="n"/>
      <c r="P6" s="1380" t="n"/>
      <c r="Q6" s="258" t="n"/>
      <c r="R6" s="258" t="n"/>
      <c r="S6" s="258" t="n"/>
      <c r="T6" s="258" t="n"/>
      <c r="U6" s="258" t="n"/>
      <c r="V6" s="258" t="n"/>
      <c r="W6" s="258" t="n"/>
      <c r="X6" s="258" t="n"/>
      <c r="Y6" s="258" t="n"/>
      <c r="Z6" s="258" t="n"/>
      <c r="AA6" s="258" t="n"/>
      <c r="AB6" s="258" t="n"/>
      <c r="AC6" s="258" t="n"/>
      <c r="AD6" s="258" t="n"/>
      <c r="AE6" s="258" t="n"/>
      <c r="AF6" s="258" t="n"/>
      <c r="AG6" s="258" t="n"/>
      <c r="AH6" s="258" t="n"/>
      <c r="AI6" s="258" t="n"/>
      <c r="AJ6" s="258" t="n"/>
      <c r="AK6" s="258" t="n"/>
      <c r="AL6" s="258" t="n"/>
    </row>
    <row r="7" ht="28.5" customFormat="1" customHeight="1" s="1356">
      <c r="A7" s="1357" t="inlineStr">
        <is>
          <t>FICHE  R2 : FICHE D'IDENTIFICATION ET RENSEIGNEMENTS DIVERS 2</t>
        </is>
      </c>
    </row>
    <row r="8" ht="16.5" customFormat="1" customHeight="1" s="1356">
      <c r="A8" s="186" t="n"/>
      <c r="B8" s="187" t="n"/>
      <c r="C8" s="187" t="n"/>
      <c r="D8" s="187" t="n"/>
      <c r="E8" s="187" t="n"/>
      <c r="F8" s="187" t="n"/>
      <c r="G8" s="187" t="n"/>
      <c r="H8" s="187" t="n"/>
      <c r="I8" s="187" t="n"/>
      <c r="J8" s="187" t="n"/>
      <c r="K8" s="187" t="n"/>
      <c r="L8" s="187" t="n"/>
      <c r="M8" s="187" t="n"/>
      <c r="N8" s="187" t="n"/>
      <c r="O8" s="187" t="n"/>
      <c r="P8" s="187" t="n"/>
      <c r="Q8" s="187" t="n"/>
      <c r="R8" s="187" t="n"/>
      <c r="S8" s="188" t="n"/>
      <c r="T8" s="189" t="n"/>
      <c r="U8" s="190" t="n"/>
      <c r="V8" s="1384" t="inlineStr">
        <is>
          <t>Contrôle de l'Entité (cocher la case)</t>
        </is>
      </c>
      <c r="W8" s="1253" t="n"/>
      <c r="X8" s="1253" t="n"/>
      <c r="Y8" s="1253" t="n"/>
      <c r="Z8" s="1253" t="n"/>
      <c r="AA8" s="1253" t="n"/>
      <c r="AB8" s="1253" t="n"/>
      <c r="AC8" s="1253" t="n"/>
      <c r="AD8" s="1253" t="n"/>
      <c r="AE8" s="1253" t="n"/>
      <c r="AF8" s="1253" t="n"/>
      <c r="AG8" s="1253" t="n"/>
      <c r="AH8" s="1253" t="n"/>
      <c r="AI8" s="1253" t="n"/>
      <c r="AJ8" s="1253" t="n"/>
      <c r="AK8" s="1253" t="n"/>
      <c r="AL8" s="1274" t="n"/>
    </row>
    <row r="9" ht="15.75" customFormat="1" customHeight="1" s="1356">
      <c r="A9" s="1364" t="inlineStr">
        <is>
          <t>ZX</t>
        </is>
      </c>
      <c r="B9" s="1274" t="n"/>
      <c r="D9" s="191" t="inlineStr">
        <is>
          <t>Forme juridique (1) :</t>
        </is>
      </c>
      <c r="E9" s="192" t="n"/>
      <c r="F9" s="192" t="n"/>
      <c r="G9" s="192" t="n"/>
      <c r="H9" s="192" t="n"/>
      <c r="I9" s="192" t="n"/>
      <c r="J9" s="192" t="n"/>
      <c r="K9" s="192" t="n"/>
      <c r="L9" s="192" t="n"/>
      <c r="M9" s="193" t="n"/>
      <c r="N9" s="194" t="n"/>
      <c r="O9" s="194" t="n"/>
      <c r="P9" s="194" t="n"/>
      <c r="Q9" s="227" t="n">
        <v>0</v>
      </c>
      <c r="R9" s="227" t="n">
        <v>1</v>
      </c>
      <c r="S9" s="195" t="n"/>
      <c r="T9" s="194" t="n"/>
      <c r="U9" s="196" t="n"/>
      <c r="V9" s="1353" t="inlineStr">
        <is>
          <t>ZZ5</t>
        </is>
      </c>
      <c r="W9" s="1245" t="n"/>
      <c r="X9" s="197" t="inlineStr">
        <is>
          <t xml:space="preserve"> Entité sous contrôle public</t>
        </is>
      </c>
      <c r="Y9" s="197" t="n"/>
      <c r="Z9" s="197" t="n"/>
      <c r="AA9" s="197" t="n"/>
      <c r="AB9" s="197" t="n"/>
      <c r="AC9" s="197" t="n"/>
      <c r="AD9" s="194" t="n"/>
      <c r="AE9" s="194" t="n"/>
      <c r="AF9" s="194" t="n"/>
      <c r="AG9" s="194" t="n"/>
      <c r="AH9" s="194" t="n"/>
      <c r="AI9" s="194" t="n"/>
      <c r="AJ9" s="198" t="n"/>
      <c r="AK9" s="228" t="n"/>
      <c r="AL9" s="196" t="n"/>
    </row>
    <row r="10" ht="6" customFormat="1" customHeight="1" s="1356">
      <c r="A10" s="199" t="n"/>
      <c r="B10" s="193" t="n"/>
      <c r="C10" s="193" t="n"/>
      <c r="D10" s="192" t="n"/>
      <c r="E10" s="192" t="n"/>
      <c r="F10" s="192" t="n"/>
      <c r="G10" s="192" t="n"/>
      <c r="H10" s="192" t="n"/>
      <c r="I10" s="192" t="n"/>
      <c r="J10" s="192" t="n"/>
      <c r="K10" s="192" t="n"/>
      <c r="L10" s="192" t="n"/>
      <c r="M10" s="193" t="n"/>
      <c r="N10" s="194" t="n"/>
      <c r="O10" s="194" t="n"/>
      <c r="P10" s="194" t="n"/>
      <c r="Q10" s="200" t="n"/>
      <c r="R10" s="200" t="n"/>
      <c r="S10" s="195" t="n"/>
      <c r="T10" s="194" t="n"/>
      <c r="U10" s="196" t="n"/>
      <c r="V10" s="194" t="n"/>
      <c r="W10" s="194" t="n"/>
      <c r="X10" s="197" t="n"/>
      <c r="Y10" s="197" t="n"/>
      <c r="Z10" s="197" t="n"/>
      <c r="AA10" s="197" t="n"/>
      <c r="AB10" s="197" t="n"/>
      <c r="AC10" s="197" t="n"/>
      <c r="AD10" s="194" t="n"/>
      <c r="AE10" s="194" t="n"/>
      <c r="AF10" s="194" t="n"/>
      <c r="AG10" s="194" t="n"/>
      <c r="AH10" s="194" t="n"/>
      <c r="AI10" s="194" t="n"/>
      <c r="AJ10" s="201" t="n"/>
      <c r="AK10" s="195" t="n"/>
      <c r="AL10" s="196" t="n"/>
    </row>
    <row r="11" ht="15.75" customFormat="1" customHeight="1" s="1356">
      <c r="A11" s="1364" t="inlineStr">
        <is>
          <t>ZY</t>
        </is>
      </c>
      <c r="B11" s="1274" t="n"/>
      <c r="D11" s="191" t="inlineStr">
        <is>
          <t>Régime fiscal (1) :</t>
        </is>
      </c>
      <c r="E11" s="192" t="n"/>
      <c r="F11" s="192" t="n"/>
      <c r="G11" s="192" t="n"/>
      <c r="H11" s="192" t="n"/>
      <c r="I11" s="192" t="n"/>
      <c r="J11" s="192" t="n"/>
      <c r="K11" s="192" t="n"/>
      <c r="L11" s="192" t="n"/>
      <c r="M11" s="193" t="n"/>
      <c r="N11" s="194" t="n"/>
      <c r="O11" s="194" t="n"/>
      <c r="P11" s="194" t="n"/>
      <c r="Q11" s="227" t="n">
        <v>1</v>
      </c>
      <c r="R11" s="202" t="n"/>
      <c r="S11" s="195" t="n"/>
      <c r="T11" s="194" t="n"/>
      <c r="U11" s="196" t="n"/>
      <c r="V11" s="1362" t="inlineStr">
        <is>
          <t>ZZ6</t>
        </is>
      </c>
      <c r="W11" s="1274" t="n"/>
      <c r="X11" s="197" t="inlineStr">
        <is>
          <t xml:space="preserve"> Entité sous contrôle privé national</t>
        </is>
      </c>
      <c r="Y11" s="197" t="n"/>
      <c r="Z11" s="197" t="n"/>
      <c r="AA11" s="197" t="n"/>
      <c r="AB11" s="197" t="n"/>
      <c r="AC11" s="197" t="n"/>
      <c r="AD11" s="194" t="n"/>
      <c r="AE11" s="194" t="n"/>
      <c r="AF11" s="194" t="n"/>
      <c r="AG11" s="194" t="n"/>
      <c r="AH11" s="194" t="n"/>
      <c r="AI11" s="194" t="n"/>
      <c r="AJ11" s="201" t="n"/>
      <c r="AK11" s="228" t="inlineStr">
        <is>
          <t>X</t>
        </is>
      </c>
      <c r="AL11" s="196" t="n"/>
    </row>
    <row r="12" ht="6" customFormat="1" customHeight="1" s="1356">
      <c r="A12" s="199" t="n"/>
      <c r="B12" s="193" t="n"/>
      <c r="C12" s="193" t="n"/>
      <c r="D12" s="192" t="n"/>
      <c r="E12" s="192" t="n"/>
      <c r="F12" s="192" t="n"/>
      <c r="G12" s="192" t="n"/>
      <c r="H12" s="192" t="n"/>
      <c r="I12" s="192" t="n"/>
      <c r="J12" s="192" t="n"/>
      <c r="K12" s="192" t="n"/>
      <c r="L12" s="192" t="n"/>
      <c r="M12" s="193" t="n"/>
      <c r="N12" s="194" t="n"/>
      <c r="O12" s="194" t="n"/>
      <c r="P12" s="194" t="n"/>
      <c r="Q12" s="200" t="n"/>
      <c r="R12" s="200" t="n"/>
      <c r="S12" s="195" t="n"/>
      <c r="T12" s="194" t="n"/>
      <c r="U12" s="196" t="n"/>
      <c r="V12" s="194" t="n"/>
      <c r="W12" s="194" t="n"/>
      <c r="X12" s="197" t="n"/>
      <c r="Y12" s="197" t="n"/>
      <c r="Z12" s="197" t="n"/>
      <c r="AA12" s="197" t="n"/>
      <c r="AB12" s="197" t="n"/>
      <c r="AC12" s="197" t="n"/>
      <c r="AD12" s="194" t="n"/>
      <c r="AE12" s="194" t="n"/>
      <c r="AF12" s="194" t="n"/>
      <c r="AG12" s="194" t="n"/>
      <c r="AH12" s="194" t="n"/>
      <c r="AI12" s="194" t="n"/>
      <c r="AJ12" s="201" t="n"/>
      <c r="AK12" s="195" t="n"/>
      <c r="AL12" s="196" t="n"/>
    </row>
    <row r="13" ht="15.75" customFormat="1" customHeight="1" s="1356">
      <c r="A13" s="1364" t="inlineStr">
        <is>
          <t>ZZ1</t>
        </is>
      </c>
      <c r="B13" s="1274" t="n"/>
      <c r="D13" s="191" t="inlineStr">
        <is>
          <t>Pays du siège social (1) :</t>
        </is>
      </c>
      <c r="E13" s="192" t="n"/>
      <c r="F13" s="192" t="n"/>
      <c r="G13" s="192" t="n"/>
      <c r="H13" s="192" t="n"/>
      <c r="I13" s="192" t="n"/>
      <c r="J13" s="192" t="n"/>
      <c r="K13" s="192" t="n"/>
      <c r="L13" s="192" t="n"/>
      <c r="M13" s="193" t="n"/>
      <c r="N13" s="194" t="n"/>
      <c r="O13" s="194" t="n"/>
      <c r="P13" s="194" t="n"/>
      <c r="Q13" s="227" t="n">
        <v>0</v>
      </c>
      <c r="R13" s="227" t="n">
        <v>2</v>
      </c>
      <c r="S13" s="195" t="n"/>
      <c r="T13" s="194" t="n"/>
      <c r="U13" s="196" t="n"/>
      <c r="V13" s="1362" t="inlineStr">
        <is>
          <t>ZZ7</t>
        </is>
      </c>
      <c r="W13" s="1274" t="n"/>
      <c r="X13" s="197" t="inlineStr">
        <is>
          <t xml:space="preserve"> Entité sous contrôle privé étranger</t>
        </is>
      </c>
      <c r="Y13" s="197" t="n"/>
      <c r="Z13" s="197" t="n"/>
      <c r="AA13" s="197" t="n"/>
      <c r="AB13" s="197" t="n"/>
      <c r="AC13" s="197" t="n"/>
      <c r="AD13" s="194" t="n"/>
      <c r="AE13" s="194" t="n"/>
      <c r="AF13" s="194" t="n"/>
      <c r="AG13" s="194" t="n"/>
      <c r="AH13" s="194" t="n"/>
      <c r="AI13" s="194" t="n"/>
      <c r="AJ13" s="201" t="n"/>
      <c r="AK13" s="228" t="n"/>
      <c r="AL13" s="196" t="n"/>
    </row>
    <row r="14" ht="6" customFormat="1" customHeight="1" s="1356">
      <c r="A14" s="199" t="n"/>
      <c r="B14" s="193" t="n"/>
      <c r="C14" s="193" t="n"/>
      <c r="D14" s="192" t="n"/>
      <c r="E14" s="192" t="n"/>
      <c r="F14" s="192" t="n"/>
      <c r="G14" s="192" t="n"/>
      <c r="H14" s="192" t="n"/>
      <c r="I14" s="192" t="n"/>
      <c r="J14" s="192" t="n"/>
      <c r="K14" s="192" t="n"/>
      <c r="L14" s="192" t="n"/>
      <c r="M14" s="193" t="n"/>
      <c r="N14" s="194" t="n"/>
      <c r="O14" s="194" t="n"/>
      <c r="P14" s="194" t="n"/>
      <c r="Q14" s="200" t="n"/>
      <c r="R14" s="200" t="n"/>
      <c r="S14" s="195" t="n"/>
      <c r="T14" s="194" t="n"/>
      <c r="U14" s="196" t="n"/>
      <c r="V14" s="194" t="n"/>
      <c r="W14" s="194" t="n"/>
      <c r="X14" s="194" t="n"/>
      <c r="Y14" s="194" t="n"/>
      <c r="Z14" s="194" t="n"/>
      <c r="AA14" s="194" t="n"/>
      <c r="AB14" s="194" t="n"/>
      <c r="AC14" s="194" t="n"/>
      <c r="AD14" s="194" t="n"/>
      <c r="AE14" s="194" t="n"/>
      <c r="AF14" s="194" t="n"/>
      <c r="AG14" s="194" t="n"/>
      <c r="AH14" s="194" t="n"/>
      <c r="AI14" s="194" t="n"/>
      <c r="AJ14" s="201" t="n"/>
      <c r="AK14" s="194" t="n"/>
      <c r="AL14" s="196" t="n"/>
    </row>
    <row r="15" ht="15.75" customFormat="1" customHeight="1" s="1356">
      <c r="A15" s="1364" t="inlineStr">
        <is>
          <t>ZZ2</t>
        </is>
      </c>
      <c r="B15" s="1274" t="n"/>
      <c r="D15" s="191" t="inlineStr">
        <is>
          <t>Nombre d'établissements dans le pays :</t>
        </is>
      </c>
      <c r="E15" s="192" t="n"/>
      <c r="F15" s="192" t="n"/>
      <c r="G15" s="192" t="n"/>
      <c r="H15" s="192" t="n"/>
      <c r="I15" s="192" t="n"/>
      <c r="J15" s="192" t="n"/>
      <c r="K15" s="192" t="n"/>
      <c r="L15" s="192" t="n"/>
      <c r="M15" s="193" t="n"/>
      <c r="N15" s="194" t="n"/>
      <c r="O15" s="194" t="n"/>
      <c r="P15" s="194" t="n"/>
      <c r="Q15" s="227" t="n">
        <v>0</v>
      </c>
      <c r="R15" s="227" t="n">
        <v>1</v>
      </c>
      <c r="S15" s="195" t="n"/>
      <c r="T15" s="194" t="n"/>
      <c r="U15" s="196" t="n"/>
      <c r="V15" s="194" t="n"/>
      <c r="W15" s="194" t="n"/>
      <c r="X15" s="194" t="n"/>
      <c r="Y15" s="194" t="n"/>
      <c r="Z15" s="194" t="n"/>
      <c r="AA15" s="194" t="n"/>
      <c r="AB15" s="194" t="n"/>
      <c r="AC15" s="194" t="n"/>
      <c r="AD15" s="194" t="n"/>
      <c r="AE15" s="194" t="n"/>
      <c r="AF15" s="194" t="n"/>
      <c r="AG15" s="194" t="n"/>
      <c r="AH15" s="194" t="n"/>
      <c r="AI15" s="194" t="n"/>
      <c r="AJ15" s="201" t="n"/>
      <c r="AK15" s="194" t="n"/>
      <c r="AL15" s="196" t="n"/>
    </row>
    <row r="16" ht="6" customFormat="1" customHeight="1" s="1356">
      <c r="A16" s="199" t="n"/>
      <c r="B16" s="193" t="n"/>
      <c r="C16" s="193" t="n"/>
      <c r="D16" s="192" t="n"/>
      <c r="E16" s="192" t="n"/>
      <c r="F16" s="192" t="n"/>
      <c r="G16" s="192" t="n"/>
      <c r="H16" s="192" t="n"/>
      <c r="I16" s="192" t="n"/>
      <c r="J16" s="192" t="n"/>
      <c r="K16" s="192" t="n"/>
      <c r="L16" s="192" t="n"/>
      <c r="M16" s="193" t="n"/>
      <c r="N16" s="194" t="n"/>
      <c r="O16" s="194" t="n"/>
      <c r="P16" s="194" t="n"/>
      <c r="Q16" s="200" t="n"/>
      <c r="R16" s="200" t="n"/>
      <c r="S16" s="195" t="n"/>
      <c r="T16" s="194" t="n"/>
      <c r="U16" s="196" t="n"/>
      <c r="V16" s="194" t="n"/>
      <c r="W16" s="194" t="n"/>
      <c r="X16" s="194" t="n"/>
      <c r="Y16" s="194" t="n"/>
      <c r="Z16" s="194" t="n"/>
      <c r="AA16" s="194" t="n"/>
      <c r="AB16" s="194" t="n"/>
      <c r="AC16" s="194" t="n"/>
      <c r="AD16" s="194" t="n"/>
      <c r="AE16" s="194" t="n"/>
      <c r="AF16" s="194" t="n"/>
      <c r="AG16" s="194" t="n"/>
      <c r="AH16" s="194" t="n"/>
      <c r="AI16" s="194" t="n"/>
      <c r="AJ16" s="201" t="n"/>
      <c r="AK16" s="194" t="n"/>
      <c r="AL16" s="196" t="n"/>
    </row>
    <row r="17" ht="15.75" customFormat="1" customHeight="1" s="1356">
      <c r="A17" s="1364" t="inlineStr">
        <is>
          <t>ZZ3</t>
        </is>
      </c>
      <c r="B17" s="1274" t="n"/>
      <c r="D17" s="191" t="inlineStr">
        <is>
          <t xml:space="preserve">Nombre d'établissements hors du pays pour </t>
        </is>
      </c>
      <c r="E17" s="192" t="n"/>
      <c r="F17" s="192" t="n"/>
      <c r="G17" s="192" t="n"/>
      <c r="H17" s="192" t="n"/>
      <c r="I17" s="192" t="n"/>
      <c r="J17" s="192" t="n"/>
      <c r="K17" s="192" t="n"/>
      <c r="L17" s="192" t="n"/>
      <c r="M17" s="193" t="n"/>
      <c r="N17" s="194" t="n"/>
      <c r="O17" s="194" t="n"/>
      <c r="P17" s="194" t="n"/>
      <c r="Q17" s="227" t="n">
        <v>0</v>
      </c>
      <c r="R17" s="227" t="n">
        <v>0</v>
      </c>
      <c r="S17" s="195" t="n"/>
      <c r="T17" s="194" t="n"/>
      <c r="U17" s="196" t="n"/>
      <c r="V17" s="194" t="n"/>
      <c r="W17" s="194" t="n"/>
      <c r="X17" s="194" t="n"/>
      <c r="Y17" s="194" t="n"/>
      <c r="Z17" s="194" t="n"/>
      <c r="AA17" s="194" t="n"/>
      <c r="AB17" s="194" t="n"/>
      <c r="AC17" s="194" t="n"/>
      <c r="AD17" s="194" t="n"/>
      <c r="AE17" s="194" t="n"/>
      <c r="AF17" s="194" t="n"/>
      <c r="AG17" s="194" t="n"/>
      <c r="AH17" s="194" t="n"/>
      <c r="AI17" s="194" t="n"/>
      <c r="AJ17" s="201" t="n"/>
      <c r="AK17" s="194" t="n"/>
      <c r="AL17" s="196" t="n"/>
    </row>
    <row r="18" ht="12" customFormat="1" customHeight="1" s="1356">
      <c r="A18" s="201" t="n"/>
      <c r="B18" s="193" t="n"/>
      <c r="D18" s="191" t="inlineStr">
        <is>
          <t>lesquels une comptabilité distincte est tenue :</t>
        </is>
      </c>
      <c r="E18" s="192" t="n"/>
      <c r="F18" s="192" t="n"/>
      <c r="G18" s="192" t="n"/>
      <c r="H18" s="192" t="n"/>
      <c r="I18" s="192" t="n"/>
      <c r="J18" s="192" t="n"/>
      <c r="K18" s="192" t="n"/>
      <c r="L18" s="192" t="n"/>
      <c r="M18" s="193" t="n"/>
      <c r="N18" s="194" t="n"/>
      <c r="O18" s="194" t="n"/>
      <c r="P18" s="194" t="n"/>
      <c r="Q18" s="193" t="n"/>
      <c r="R18" s="193" t="n"/>
      <c r="S18" s="194" t="n"/>
      <c r="T18" s="194" t="n"/>
      <c r="U18" s="196" t="n"/>
      <c r="V18" s="194" t="n"/>
      <c r="W18" s="194" t="n"/>
      <c r="X18" s="194" t="n"/>
      <c r="Y18" s="194" t="n"/>
      <c r="Z18" s="194" t="n"/>
      <c r="AA18" s="194" t="n"/>
      <c r="AB18" s="194" t="n"/>
      <c r="AC18" s="194" t="n"/>
      <c r="AD18" s="194" t="n"/>
      <c r="AE18" s="194" t="n"/>
      <c r="AF18" s="194" t="n"/>
      <c r="AG18" s="194" t="n"/>
      <c r="AH18" s="194" t="n"/>
      <c r="AI18" s="194" t="n"/>
      <c r="AJ18" s="201" t="n"/>
      <c r="AK18" s="194" t="n"/>
      <c r="AL18" s="196" t="n"/>
    </row>
    <row r="19" ht="6" customFormat="1" customHeight="1" s="1356">
      <c r="A19" s="199" t="n"/>
      <c r="B19" s="193" t="n"/>
      <c r="C19" s="193" t="n"/>
      <c r="D19" s="192" t="n"/>
      <c r="E19" s="192" t="n"/>
      <c r="F19" s="192" t="n"/>
      <c r="G19" s="192" t="n"/>
      <c r="H19" s="192" t="n"/>
      <c r="I19" s="192" t="n"/>
      <c r="J19" s="192" t="n"/>
      <c r="K19" s="192" t="n"/>
      <c r="L19" s="192" t="n"/>
      <c r="M19" s="193" t="n"/>
      <c r="N19" s="194" t="n"/>
      <c r="O19" s="194" t="n"/>
      <c r="P19" s="194" t="n"/>
      <c r="Q19" s="193" t="n"/>
      <c r="R19" s="193" t="n"/>
      <c r="S19" s="194" t="n"/>
      <c r="T19" s="194" t="n"/>
      <c r="U19" s="196" t="n"/>
      <c r="V19" s="194" t="n"/>
      <c r="W19" s="194" t="n"/>
      <c r="X19" s="194" t="n"/>
      <c r="Y19" s="194" t="n"/>
      <c r="Z19" s="194" t="n"/>
      <c r="AA19" s="194" t="n"/>
      <c r="AB19" s="194" t="n"/>
      <c r="AC19" s="194" t="n"/>
      <c r="AD19" s="194" t="n"/>
      <c r="AE19" s="194" t="n"/>
      <c r="AF19" s="194" t="n"/>
      <c r="AG19" s="194" t="n"/>
      <c r="AH19" s="194" t="n"/>
      <c r="AI19" s="194" t="n"/>
      <c r="AJ19" s="201" t="n"/>
      <c r="AK19" s="194" t="n"/>
      <c r="AL19" s="196" t="n"/>
    </row>
    <row r="20" ht="15.75" customFormat="1" customHeight="1" s="1356">
      <c r="A20" s="1364" t="inlineStr">
        <is>
          <t>ZZ4</t>
        </is>
      </c>
      <c r="B20" s="1274" t="n"/>
      <c r="D20" s="191" t="inlineStr">
        <is>
          <t>Première année d'exercice dans le pays :</t>
        </is>
      </c>
      <c r="E20" s="192" t="n"/>
      <c r="F20" s="192" t="n"/>
      <c r="G20" s="192" t="n"/>
      <c r="H20" s="192" t="n"/>
      <c r="I20" s="192" t="n"/>
      <c r="J20" s="192" t="n"/>
      <c r="K20" s="192" t="n"/>
      <c r="L20" s="192" t="n"/>
      <c r="M20" s="193" t="n"/>
      <c r="N20" s="194" t="n"/>
      <c r="O20" s="194" t="n"/>
      <c r="P20" s="194" t="n"/>
      <c r="Q20" s="227" t="n">
        <v>2</v>
      </c>
      <c r="R20" s="227" t="n">
        <v>0</v>
      </c>
      <c r="S20" s="227" t="n">
        <v>2</v>
      </c>
      <c r="T20" s="227" t="n">
        <v>1</v>
      </c>
      <c r="U20" s="196" t="n"/>
      <c r="V20" s="194" t="n"/>
      <c r="W20" s="194" t="n"/>
      <c r="X20" s="194" t="n"/>
      <c r="Y20" s="194" t="n"/>
      <c r="Z20" s="194" t="n"/>
      <c r="AA20" s="194" t="n"/>
      <c r="AB20" s="194" t="n"/>
      <c r="AC20" s="194" t="n"/>
      <c r="AD20" s="194" t="n"/>
      <c r="AE20" s="194" t="n"/>
      <c r="AF20" s="194" t="n"/>
      <c r="AG20" s="194" t="n"/>
      <c r="AH20" s="194" t="n"/>
      <c r="AI20" s="194" t="n"/>
      <c r="AJ20" s="201" t="n"/>
      <c r="AK20" s="194" t="n"/>
      <c r="AL20" s="196" t="n"/>
    </row>
    <row r="21" ht="10.15" customFormat="1" customHeight="1" s="1356">
      <c r="A21" s="203" t="n"/>
      <c r="B21" s="204" t="n"/>
      <c r="C21" s="204" t="n"/>
      <c r="D21" s="204" t="n"/>
      <c r="E21" s="204" t="n"/>
      <c r="F21" s="204" t="n"/>
      <c r="G21" s="204" t="n"/>
      <c r="H21" s="204" t="n"/>
      <c r="I21" s="204" t="n"/>
      <c r="J21" s="204" t="n"/>
      <c r="K21" s="204" t="n"/>
      <c r="L21" s="204" t="n"/>
      <c r="M21" s="204" t="n"/>
      <c r="N21" s="205" t="n"/>
      <c r="O21" s="205" t="n"/>
      <c r="P21" s="205" t="n"/>
      <c r="Q21" s="205" t="n"/>
      <c r="R21" s="205" t="n"/>
      <c r="S21" s="205" t="n"/>
      <c r="T21" s="205" t="n"/>
      <c r="U21" s="206" t="n"/>
      <c r="V21" s="205" t="n"/>
      <c r="W21" s="205" t="n"/>
      <c r="X21" s="205" t="n"/>
      <c r="Y21" s="205" t="n"/>
      <c r="Z21" s="205" t="n"/>
      <c r="AA21" s="205" t="n"/>
      <c r="AB21" s="205" t="n"/>
      <c r="AC21" s="205" t="n"/>
      <c r="AD21" s="205" t="n"/>
      <c r="AE21" s="205" t="n"/>
      <c r="AF21" s="205" t="n"/>
      <c r="AG21" s="205" t="n"/>
      <c r="AH21" s="205" t="n"/>
      <c r="AI21" s="205" t="n"/>
      <c r="AJ21" s="207" t="n"/>
      <c r="AK21" s="205" t="n"/>
      <c r="AL21" s="206" t="n"/>
    </row>
    <row r="22" ht="5.25" customFormat="1" customHeight="1" s="1356">
      <c r="A22" s="208" t="n"/>
      <c r="B22" s="208" t="n"/>
      <c r="C22" s="208" t="n"/>
      <c r="D22" s="208" t="n"/>
      <c r="E22" s="208" t="n"/>
      <c r="F22" s="208" t="n"/>
      <c r="G22" s="208" t="n"/>
      <c r="H22" s="208" t="n"/>
      <c r="I22" s="208" t="n"/>
      <c r="J22" s="209" t="n"/>
      <c r="K22" s="209" t="n"/>
      <c r="L22" s="209" t="n"/>
      <c r="M22" s="209" t="n"/>
      <c r="N22" s="209" t="n"/>
      <c r="O22" s="209" t="n"/>
      <c r="P22" s="209" t="n"/>
      <c r="Q22" s="209" t="n"/>
      <c r="R22" s="209" t="n"/>
      <c r="S22" s="209" t="n"/>
      <c r="T22" s="209" t="n"/>
      <c r="U22" s="209" t="n"/>
      <c r="V22" s="209" t="n"/>
      <c r="W22" s="209" t="n"/>
      <c r="X22" s="209" t="n"/>
      <c r="Y22" s="209" t="n"/>
      <c r="Z22" s="209" t="n"/>
      <c r="AA22" s="209" t="n"/>
      <c r="AB22" s="209" t="n"/>
      <c r="AC22" s="209" t="n"/>
      <c r="AD22" s="209" t="n"/>
      <c r="AE22" s="209" t="n"/>
      <c r="AF22" s="209" t="n"/>
      <c r="AG22" s="209" t="n"/>
      <c r="AH22" s="209" t="n"/>
      <c r="AI22" s="209" t="n"/>
      <c r="AJ22" s="209" t="n"/>
      <c r="AK22" s="209" t="n"/>
      <c r="AL22" s="209" t="n"/>
    </row>
    <row r="23" ht="13.15" customFormat="1" customHeight="1" s="1356">
      <c r="A23" s="1375" t="inlineStr">
        <is>
          <t>ACTIVITE DE L'ENTITE</t>
        </is>
      </c>
    </row>
    <row r="24" ht="5.25" customFormat="1" customHeight="1" s="1356">
      <c r="A24" s="210" t="n"/>
      <c r="B24" s="210" t="n"/>
      <c r="C24" s="210" t="n"/>
      <c r="D24" s="210" t="n"/>
      <c r="E24" s="210" t="n"/>
      <c r="F24" s="210" t="n"/>
      <c r="G24" s="210" t="n"/>
      <c r="H24" s="210" t="n"/>
      <c r="I24" s="210" t="n"/>
      <c r="J24" s="210" t="n"/>
      <c r="K24" s="210" t="n"/>
      <c r="L24" s="210" t="n"/>
      <c r="M24" s="210" t="n"/>
      <c r="N24" s="210" t="n"/>
      <c r="O24" s="210" t="n"/>
      <c r="P24" s="210" t="n"/>
      <c r="Q24" s="210" t="n"/>
      <c r="R24" s="210" t="n"/>
      <c r="S24" s="210" t="n"/>
      <c r="T24" s="210" t="n"/>
      <c r="U24" s="210" t="n"/>
      <c r="V24" s="210" t="n"/>
      <c r="W24" s="210" t="n"/>
      <c r="X24" s="210" t="n"/>
      <c r="Y24" s="210" t="n"/>
      <c r="Z24" s="210" t="n"/>
      <c r="AA24" s="210" t="n"/>
      <c r="AB24" s="210" t="n"/>
      <c r="AC24" s="210" t="n"/>
      <c r="AD24" s="210" t="n"/>
      <c r="AE24" s="210" t="n"/>
      <c r="AF24" s="210" t="n"/>
      <c r="AG24" s="210" t="n"/>
      <c r="AH24" s="210" t="n"/>
      <c r="AI24" s="210" t="n"/>
      <c r="AJ24" s="210" t="n"/>
      <c r="AK24" s="210" t="n"/>
      <c r="AL24" s="210" t="n"/>
    </row>
    <row r="25" ht="11.25" customFormat="1" customHeight="1" s="1356">
      <c r="A25" s="1383" t="inlineStr">
        <is>
          <t>Désignation de l'activité (2)</t>
        </is>
      </c>
      <c r="B25" s="1248" t="n"/>
      <c r="C25" s="1248" t="n"/>
      <c r="D25" s="1248" t="n"/>
      <c r="E25" s="1248" t="n"/>
      <c r="F25" s="1248" t="n"/>
      <c r="G25" s="1248" t="n"/>
      <c r="H25" s="1248" t="n"/>
      <c r="I25" s="1248" t="n"/>
      <c r="J25" s="1248" t="n"/>
      <c r="K25" s="1248" t="n"/>
      <c r="L25" s="1248" t="n"/>
      <c r="M25" s="1248" t="n"/>
      <c r="N25" s="1248" t="n"/>
      <c r="O25" s="1249" t="n"/>
      <c r="P25" s="1354" t="inlineStr">
        <is>
          <t>Code nomenclature
d'activité (1)</t>
        </is>
      </c>
      <c r="Q25" s="1248" t="n"/>
      <c r="R25" s="1248" t="n"/>
      <c r="S25" s="1248" t="n"/>
      <c r="T25" s="1248" t="n"/>
      <c r="U25" s="1248" t="n"/>
      <c r="V25" s="1248" t="n"/>
      <c r="W25" s="1248" t="n"/>
      <c r="X25" s="1249" t="n"/>
      <c r="Y25" s="1354" t="inlineStr">
        <is>
          <t>Chiffre d'affaires HT 
(CA HT) ou Valeur ajoutée (VA) (3) (4)</t>
        </is>
      </c>
      <c r="Z25" s="1248" t="n"/>
      <c r="AA25" s="1248" t="n"/>
      <c r="AB25" s="1248" t="n"/>
      <c r="AC25" s="1248" t="n"/>
      <c r="AD25" s="1248" t="n"/>
      <c r="AE25" s="1248" t="n"/>
      <c r="AF25" s="1248" t="n"/>
      <c r="AG25" s="1249" t="n"/>
      <c r="AH25" s="211" t="n"/>
      <c r="AI25" s="1386" t="inlineStr">
        <is>
          <t>% activité
dans le CA HT ou la VA</t>
        </is>
      </c>
      <c r="AJ25" s="1248" t="n"/>
      <c r="AK25" s="1248" t="n"/>
      <c r="AL25" s="1249" t="n"/>
    </row>
    <row r="26" ht="11.45" customFormat="1" customHeight="1" s="1356">
      <c r="A26" s="1355" t="n"/>
      <c r="O26" s="1242" t="n"/>
      <c r="P26" s="1355" t="n"/>
      <c r="X26" s="1242" t="n"/>
      <c r="Y26" s="1355" t="n"/>
      <c r="AG26" s="1242" t="n"/>
      <c r="AH26" s="212" t="n"/>
      <c r="AL26" s="1242" t="n"/>
    </row>
    <row r="27" ht="20.25" customFormat="1" customHeight="1" s="1356">
      <c r="A27" s="1243" t="n"/>
      <c r="B27" s="1244" t="n"/>
      <c r="C27" s="1244" t="n"/>
      <c r="D27" s="1244" t="n"/>
      <c r="E27" s="1244" t="n"/>
      <c r="F27" s="1244" t="n"/>
      <c r="G27" s="1244" t="n"/>
      <c r="H27" s="1244" t="n"/>
      <c r="I27" s="1244" t="n"/>
      <c r="J27" s="1244" t="n"/>
      <c r="K27" s="1244" t="n"/>
      <c r="L27" s="1244" t="n"/>
      <c r="M27" s="1244" t="n"/>
      <c r="N27" s="1244" t="n"/>
      <c r="O27" s="1245" t="n"/>
      <c r="P27" s="1243" t="n"/>
      <c r="Q27" s="1244" t="n"/>
      <c r="R27" s="1244" t="n"/>
      <c r="S27" s="1244" t="n"/>
      <c r="T27" s="1244" t="n"/>
      <c r="U27" s="1244" t="n"/>
      <c r="V27" s="1244" t="n"/>
      <c r="W27" s="1244" t="n"/>
      <c r="X27" s="1245" t="n"/>
      <c r="Y27" s="1243" t="n"/>
      <c r="Z27" s="1244" t="n"/>
      <c r="AA27" s="1244" t="n"/>
      <c r="AB27" s="1244" t="n"/>
      <c r="AC27" s="1244" t="n"/>
      <c r="AD27" s="1244" t="n"/>
      <c r="AE27" s="1244" t="n"/>
      <c r="AF27" s="1244" t="n"/>
      <c r="AG27" s="1245" t="n"/>
      <c r="AH27" s="213" t="n"/>
      <c r="AI27" s="1244" t="n"/>
      <c r="AJ27" s="1244" t="n"/>
      <c r="AK27" s="1244" t="n"/>
      <c r="AL27" s="1245" t="n"/>
    </row>
    <row r="28" ht="5.25" customFormat="1" customHeight="1" s="1356">
      <c r="A28" s="214" t="n"/>
      <c r="B28" s="210" t="n"/>
      <c r="C28" s="210" t="n"/>
      <c r="D28" s="210" t="n"/>
      <c r="E28" s="210" t="n"/>
      <c r="F28" s="210" t="n"/>
      <c r="G28" s="210" t="n"/>
      <c r="H28" s="210" t="n"/>
      <c r="I28" s="210" t="n"/>
      <c r="J28" s="210" t="n"/>
      <c r="K28" s="210" t="n"/>
      <c r="L28" s="210" t="n"/>
      <c r="M28" s="210" t="n"/>
      <c r="N28" s="210" t="n"/>
      <c r="O28" s="215" t="n"/>
      <c r="P28" s="210" t="n"/>
      <c r="Q28" s="210" t="n"/>
      <c r="R28" s="210" t="n"/>
      <c r="S28" s="210" t="n"/>
      <c r="T28" s="210" t="n"/>
      <c r="U28" s="210" t="n"/>
      <c r="V28" s="210" t="n"/>
      <c r="W28" s="210" t="n"/>
      <c r="X28" s="210" t="n"/>
      <c r="Y28" s="214" t="n"/>
      <c r="Z28" s="210" t="n"/>
      <c r="AA28" s="210" t="n"/>
      <c r="AB28" s="210" t="n"/>
      <c r="AC28" s="210" t="n"/>
      <c r="AD28" s="210" t="n"/>
      <c r="AE28" s="210" t="n"/>
      <c r="AF28" s="210" t="n"/>
      <c r="AG28" s="215" t="n"/>
      <c r="AH28" s="210" t="n"/>
      <c r="AI28" s="216" t="n"/>
      <c r="AJ28" s="210" t="n"/>
      <c r="AK28" s="210" t="n"/>
      <c r="AL28" s="215" t="n"/>
    </row>
    <row r="29" ht="18.95" customFormat="1" customHeight="1" s="303">
      <c r="A29" s="501" t="n"/>
      <c r="B29" s="1363" t="n"/>
      <c r="C29" s="1359" t="n"/>
      <c r="D29" s="1359" t="n"/>
      <c r="E29" s="1359" t="n"/>
      <c r="F29" s="1359" t="n"/>
      <c r="G29" s="1359" t="n"/>
      <c r="H29" s="1359" t="n"/>
      <c r="I29" s="1359" t="n"/>
      <c r="J29" s="1359" t="n"/>
      <c r="K29" s="1359" t="n"/>
      <c r="L29" s="1359" t="n"/>
      <c r="M29" s="1359" t="n"/>
      <c r="N29" s="1359" t="n"/>
      <c r="O29" s="1361" t="n"/>
      <c r="P29" s="502" t="n"/>
      <c r="Q29" s="526" t="n"/>
      <c r="R29" s="526" t="n"/>
      <c r="S29" s="526" t="n"/>
      <c r="T29" s="526" t="n"/>
      <c r="U29" s="526" t="n"/>
      <c r="V29" s="526" t="n"/>
      <c r="W29" s="526" t="n"/>
      <c r="X29" s="503" t="n"/>
      <c r="Y29" s="504" t="n"/>
      <c r="Z29" s="1358" t="n"/>
      <c r="AA29" s="1359" t="n"/>
      <c r="AB29" s="1359" t="n"/>
      <c r="AC29" s="1359" t="n"/>
      <c r="AD29" s="1359" t="n"/>
      <c r="AE29" s="1359" t="n"/>
      <c r="AF29" s="1359" t="n"/>
      <c r="AG29" s="505" t="n"/>
      <c r="AH29" s="506" t="n"/>
      <c r="AI29" s="1351" t="n"/>
      <c r="AJ29" s="1352" t="n"/>
      <c r="AK29" s="1352" t="n"/>
      <c r="AL29" s="505" t="n"/>
    </row>
    <row r="30" ht="5.25" customFormat="1" customHeight="1" s="303">
      <c r="A30" s="507" t="n"/>
      <c r="B30" s="529" t="n"/>
      <c r="C30" s="529" t="n"/>
      <c r="D30" s="529" t="n"/>
      <c r="E30" s="529" t="n"/>
      <c r="F30" s="529" t="n"/>
      <c r="G30" s="529" t="n"/>
      <c r="H30" s="529" t="n"/>
      <c r="I30" s="529" t="n"/>
      <c r="J30" s="529" t="n"/>
      <c r="K30" s="529" t="n"/>
      <c r="L30" s="529" t="n"/>
      <c r="M30" s="529" t="n"/>
      <c r="N30" s="529" t="n"/>
      <c r="O30" s="530" t="n"/>
      <c r="P30" s="502" t="n"/>
      <c r="Q30" s="502" t="n"/>
      <c r="R30" s="502" t="n"/>
      <c r="S30" s="502" t="n"/>
      <c r="T30" s="502" t="n"/>
      <c r="U30" s="502" t="n"/>
      <c r="V30" s="502" t="n"/>
      <c r="W30" s="502" t="n"/>
      <c r="X30" s="502" t="n"/>
      <c r="Y30" s="504" t="n"/>
      <c r="Z30" s="502" t="n"/>
      <c r="AA30" s="502" t="n"/>
      <c r="AB30" s="502" t="n"/>
      <c r="AC30" s="502" t="n"/>
      <c r="AD30" s="502" t="n"/>
      <c r="AE30" s="502" t="n"/>
      <c r="AF30" s="502" t="n"/>
      <c r="AG30" s="505" t="n"/>
      <c r="AH30" s="506" t="n"/>
      <c r="AI30" s="506" t="n"/>
      <c r="AJ30" s="506" t="n"/>
      <c r="AK30" s="506" t="n"/>
      <c r="AL30" s="505" t="n"/>
    </row>
    <row r="31" ht="5.25" customFormat="1" customHeight="1" s="303">
      <c r="A31" s="508" t="n"/>
      <c r="B31" s="531" t="n"/>
      <c r="C31" s="531" t="n"/>
      <c r="D31" s="531" t="n"/>
      <c r="E31" s="531" t="n"/>
      <c r="F31" s="531" t="n"/>
      <c r="G31" s="531" t="n"/>
      <c r="H31" s="531" t="n"/>
      <c r="I31" s="531" t="n"/>
      <c r="J31" s="531" t="n"/>
      <c r="K31" s="531" t="n"/>
      <c r="L31" s="531" t="n"/>
      <c r="M31" s="531" t="n"/>
      <c r="N31" s="531" t="n"/>
      <c r="O31" s="532" t="n"/>
      <c r="P31" s="509" t="n"/>
      <c r="Q31" s="509" t="n"/>
      <c r="R31" s="509" t="n"/>
      <c r="S31" s="509" t="n"/>
      <c r="T31" s="509" t="n"/>
      <c r="U31" s="509" t="n"/>
      <c r="V31" s="509" t="n"/>
      <c r="W31" s="509" t="n"/>
      <c r="X31" s="509" t="n"/>
      <c r="Y31" s="510" t="n"/>
      <c r="Z31" s="509" t="n"/>
      <c r="AA31" s="509" t="n"/>
      <c r="AB31" s="509" t="n"/>
      <c r="AC31" s="509" t="n"/>
      <c r="AD31" s="509" t="n"/>
      <c r="AE31" s="509" t="n"/>
      <c r="AF31" s="509" t="n"/>
      <c r="AG31" s="511" t="n"/>
      <c r="AH31" s="512" t="n"/>
      <c r="AI31" s="512" t="n"/>
      <c r="AJ31" s="512" t="n"/>
      <c r="AK31" s="512" t="n"/>
      <c r="AL31" s="511" t="n"/>
    </row>
    <row r="32" ht="18.95" customFormat="1" customHeight="1" s="303">
      <c r="A32" s="501" t="n"/>
      <c r="B32" s="1360" t="n"/>
      <c r="C32" s="1359" t="n"/>
      <c r="D32" s="1359" t="n"/>
      <c r="E32" s="1359" t="n"/>
      <c r="F32" s="1359" t="n"/>
      <c r="G32" s="1359" t="n"/>
      <c r="H32" s="1359" t="n"/>
      <c r="I32" s="1359" t="n"/>
      <c r="J32" s="1359" t="n"/>
      <c r="K32" s="1359" t="n"/>
      <c r="L32" s="1359" t="n"/>
      <c r="M32" s="1359" t="n"/>
      <c r="N32" s="1359" t="n"/>
      <c r="O32" s="1361" t="n"/>
      <c r="P32" s="502" t="n"/>
      <c r="Q32" s="526" t="n"/>
      <c r="R32" s="526" t="n"/>
      <c r="S32" s="526" t="n"/>
      <c r="T32" s="526" t="n"/>
      <c r="U32" s="526" t="n"/>
      <c r="V32" s="526" t="n"/>
      <c r="W32" s="526" t="n"/>
      <c r="X32" s="502" t="n"/>
      <c r="Y32" s="504" t="n"/>
      <c r="Z32" s="1358" t="n"/>
      <c r="AA32" s="1359" t="n"/>
      <c r="AB32" s="1359" t="n"/>
      <c r="AC32" s="1359" t="n"/>
      <c r="AD32" s="1359" t="n"/>
      <c r="AE32" s="1359" t="n"/>
      <c r="AF32" s="1359" t="n"/>
      <c r="AG32" s="505" t="n"/>
      <c r="AH32" s="506" t="n"/>
      <c r="AI32" s="1351" t="n"/>
      <c r="AJ32" s="1352" t="n"/>
      <c r="AK32" s="1352" t="n"/>
      <c r="AL32" s="505" t="n"/>
    </row>
    <row r="33" ht="5.25" customFormat="1" customHeight="1" s="303">
      <c r="A33" s="507" t="n"/>
      <c r="B33" s="529" t="n"/>
      <c r="C33" s="529" t="n"/>
      <c r="D33" s="529" t="n"/>
      <c r="E33" s="529" t="n"/>
      <c r="F33" s="529" t="n"/>
      <c r="G33" s="529" t="n"/>
      <c r="H33" s="529" t="n"/>
      <c r="I33" s="529" t="n"/>
      <c r="J33" s="529" t="n"/>
      <c r="K33" s="529" t="n"/>
      <c r="L33" s="529" t="n"/>
      <c r="M33" s="529" t="n"/>
      <c r="N33" s="529" t="n"/>
      <c r="O33" s="530" t="n"/>
      <c r="P33" s="502" t="n"/>
      <c r="Q33" s="502" t="n"/>
      <c r="R33" s="502" t="n"/>
      <c r="S33" s="502" t="n"/>
      <c r="T33" s="502" t="n"/>
      <c r="U33" s="502" t="n"/>
      <c r="V33" s="502" t="n"/>
      <c r="W33" s="502" t="n"/>
      <c r="X33" s="502" t="n"/>
      <c r="Y33" s="504" t="n"/>
      <c r="Z33" s="502" t="n"/>
      <c r="AA33" s="502" t="n"/>
      <c r="AB33" s="502" t="n"/>
      <c r="AC33" s="502" t="n"/>
      <c r="AD33" s="502" t="n"/>
      <c r="AE33" s="502" t="n"/>
      <c r="AF33" s="502" t="n"/>
      <c r="AG33" s="505" t="n"/>
      <c r="AH33" s="506" t="n"/>
      <c r="AI33" s="506" t="n"/>
      <c r="AJ33" s="506" t="n"/>
      <c r="AK33" s="506" t="n"/>
      <c r="AL33" s="505" t="n"/>
    </row>
    <row r="34" ht="5.25" customFormat="1" customHeight="1" s="303">
      <c r="A34" s="508" t="n"/>
      <c r="B34" s="531" t="n"/>
      <c r="C34" s="531" t="n"/>
      <c r="D34" s="531" t="n"/>
      <c r="E34" s="531" t="n"/>
      <c r="F34" s="531" t="n"/>
      <c r="G34" s="531" t="n"/>
      <c r="H34" s="531" t="n"/>
      <c r="I34" s="531" t="n"/>
      <c r="J34" s="531" t="n"/>
      <c r="K34" s="531" t="n"/>
      <c r="L34" s="531" t="n"/>
      <c r="M34" s="531" t="n"/>
      <c r="N34" s="531" t="n"/>
      <c r="O34" s="532" t="n"/>
      <c r="P34" s="509" t="n"/>
      <c r="Q34" s="509" t="n"/>
      <c r="R34" s="509" t="n"/>
      <c r="S34" s="509" t="n"/>
      <c r="T34" s="509" t="n"/>
      <c r="U34" s="509" t="n"/>
      <c r="V34" s="509" t="n"/>
      <c r="W34" s="509" t="n"/>
      <c r="X34" s="509" t="n"/>
      <c r="Y34" s="510" t="n"/>
      <c r="Z34" s="509" t="n"/>
      <c r="AA34" s="509" t="n"/>
      <c r="AB34" s="509" t="n"/>
      <c r="AC34" s="509" t="n"/>
      <c r="AD34" s="509" t="n"/>
      <c r="AE34" s="509" t="n"/>
      <c r="AF34" s="509" t="n"/>
      <c r="AG34" s="511" t="n"/>
      <c r="AH34" s="512" t="n"/>
      <c r="AI34" s="512" t="n"/>
      <c r="AJ34" s="512" t="n"/>
      <c r="AK34" s="512" t="n"/>
      <c r="AL34" s="511" t="n"/>
    </row>
    <row r="35" ht="18.95" customFormat="1" customHeight="1" s="303">
      <c r="A35" s="501" t="n"/>
      <c r="B35" s="1360" t="n"/>
      <c r="C35" s="1359" t="n"/>
      <c r="D35" s="1359" t="n"/>
      <c r="E35" s="1359" t="n"/>
      <c r="F35" s="1359" t="n"/>
      <c r="G35" s="1359" t="n"/>
      <c r="H35" s="1359" t="n"/>
      <c r="I35" s="1359" t="n"/>
      <c r="J35" s="1359" t="n"/>
      <c r="K35" s="1359" t="n"/>
      <c r="L35" s="1359" t="n"/>
      <c r="M35" s="1359" t="n"/>
      <c r="N35" s="1359" t="n"/>
      <c r="O35" s="1361" t="n"/>
      <c r="P35" s="502" t="n"/>
      <c r="Q35" s="526" t="n"/>
      <c r="R35" s="526" t="n"/>
      <c r="S35" s="526" t="n"/>
      <c r="T35" s="526" t="n"/>
      <c r="U35" s="526" t="n"/>
      <c r="V35" s="526" t="n"/>
      <c r="W35" s="526" t="n"/>
      <c r="X35" s="502" t="n"/>
      <c r="Y35" s="504" t="n"/>
      <c r="Z35" s="1358" t="n"/>
      <c r="AA35" s="1359" t="n"/>
      <c r="AB35" s="1359" t="n"/>
      <c r="AC35" s="1359" t="n"/>
      <c r="AD35" s="1359" t="n"/>
      <c r="AE35" s="1359" t="n"/>
      <c r="AF35" s="1359" t="n"/>
      <c r="AG35" s="505" t="n"/>
      <c r="AH35" s="506" t="n"/>
      <c r="AI35" s="1351" t="n"/>
      <c r="AJ35" s="1352" t="n"/>
      <c r="AK35" s="1352" t="n"/>
      <c r="AL35" s="505" t="n"/>
    </row>
    <row r="36" ht="5.25" customFormat="1" customHeight="1" s="303">
      <c r="A36" s="507" t="n"/>
      <c r="B36" s="529" t="n"/>
      <c r="C36" s="529" t="n"/>
      <c r="D36" s="529" t="n"/>
      <c r="E36" s="529" t="n"/>
      <c r="F36" s="529" t="n"/>
      <c r="G36" s="529" t="n"/>
      <c r="H36" s="529" t="n"/>
      <c r="I36" s="529" t="n"/>
      <c r="J36" s="529" t="n"/>
      <c r="K36" s="529" t="n"/>
      <c r="L36" s="529" t="n"/>
      <c r="M36" s="529" t="n"/>
      <c r="N36" s="529" t="n"/>
      <c r="O36" s="530" t="n"/>
      <c r="P36" s="502" t="n"/>
      <c r="Q36" s="502" t="n"/>
      <c r="R36" s="502" t="n"/>
      <c r="S36" s="502" t="n"/>
      <c r="T36" s="502" t="n"/>
      <c r="U36" s="502" t="n"/>
      <c r="V36" s="502" t="n"/>
      <c r="W36" s="502" t="n"/>
      <c r="X36" s="502" t="n"/>
      <c r="Y36" s="504" t="n"/>
      <c r="Z36" s="502" t="n"/>
      <c r="AA36" s="502" t="n"/>
      <c r="AB36" s="502" t="n"/>
      <c r="AC36" s="502" t="n"/>
      <c r="AD36" s="502" t="n"/>
      <c r="AE36" s="502" t="n"/>
      <c r="AF36" s="502" t="n"/>
      <c r="AG36" s="505" t="n"/>
      <c r="AH36" s="506" t="n"/>
      <c r="AI36" s="506" t="n"/>
      <c r="AJ36" s="506" t="n"/>
      <c r="AK36" s="506" t="n"/>
      <c r="AL36" s="505" t="n"/>
    </row>
    <row r="37" ht="5.25" customFormat="1" customHeight="1" s="303">
      <c r="A37" s="508" t="n"/>
      <c r="B37" s="531" t="n"/>
      <c r="C37" s="531" t="n"/>
      <c r="D37" s="531" t="n"/>
      <c r="E37" s="531" t="n"/>
      <c r="F37" s="531" t="n"/>
      <c r="G37" s="531" t="n"/>
      <c r="H37" s="531" t="n"/>
      <c r="I37" s="531" t="n"/>
      <c r="J37" s="531" t="n"/>
      <c r="K37" s="531" t="n"/>
      <c r="L37" s="531" t="n"/>
      <c r="M37" s="531" t="n"/>
      <c r="N37" s="531" t="n"/>
      <c r="O37" s="532" t="n"/>
      <c r="P37" s="509" t="n"/>
      <c r="Q37" s="509" t="n"/>
      <c r="R37" s="509" t="n"/>
      <c r="S37" s="509" t="n"/>
      <c r="T37" s="509" t="n"/>
      <c r="U37" s="509" t="n"/>
      <c r="V37" s="509" t="n"/>
      <c r="W37" s="509" t="n"/>
      <c r="X37" s="509" t="n"/>
      <c r="Y37" s="510" t="n"/>
      <c r="Z37" s="509" t="n"/>
      <c r="AA37" s="509" t="n"/>
      <c r="AB37" s="509" t="n"/>
      <c r="AC37" s="509" t="n"/>
      <c r="AD37" s="509" t="n"/>
      <c r="AE37" s="509" t="n"/>
      <c r="AF37" s="509" t="n"/>
      <c r="AG37" s="511" t="n"/>
      <c r="AH37" s="512" t="n"/>
      <c r="AI37" s="512" t="n"/>
      <c r="AJ37" s="512" t="n"/>
      <c r="AK37" s="512" t="n"/>
      <c r="AL37" s="511" t="n"/>
    </row>
    <row r="38" ht="18.95" customFormat="1" customHeight="1" s="303">
      <c r="A38" s="501" t="n"/>
      <c r="B38" s="1360" t="n"/>
      <c r="C38" s="1359" t="n"/>
      <c r="D38" s="1359" t="n"/>
      <c r="E38" s="1359" t="n"/>
      <c r="F38" s="1359" t="n"/>
      <c r="G38" s="1359" t="n"/>
      <c r="H38" s="1359" t="n"/>
      <c r="I38" s="1359" t="n"/>
      <c r="J38" s="1359" t="n"/>
      <c r="K38" s="1359" t="n"/>
      <c r="L38" s="1359" t="n"/>
      <c r="M38" s="1359" t="n"/>
      <c r="N38" s="1359" t="n"/>
      <c r="O38" s="1361" t="n"/>
      <c r="P38" s="502" t="n"/>
      <c r="Q38" s="526" t="n"/>
      <c r="R38" s="526" t="n"/>
      <c r="S38" s="526" t="n"/>
      <c r="T38" s="526" t="n"/>
      <c r="U38" s="526" t="n"/>
      <c r="V38" s="526" t="n"/>
      <c r="W38" s="526" t="n"/>
      <c r="X38" s="502" t="n"/>
      <c r="Y38" s="504" t="n"/>
      <c r="Z38" s="1358" t="n"/>
      <c r="AA38" s="1359" t="n"/>
      <c r="AB38" s="1359" t="n"/>
      <c r="AC38" s="1359" t="n"/>
      <c r="AD38" s="1359" t="n"/>
      <c r="AE38" s="1359" t="n"/>
      <c r="AF38" s="1359" t="n"/>
      <c r="AG38" s="505" t="n"/>
      <c r="AH38" s="506" t="n"/>
      <c r="AI38" s="1351" t="n"/>
      <c r="AJ38" s="1352" t="n"/>
      <c r="AK38" s="1352" t="n"/>
      <c r="AL38" s="505" t="n"/>
    </row>
    <row r="39" ht="5.25" customFormat="1" customHeight="1" s="303">
      <c r="A39" s="507" t="n"/>
      <c r="B39" s="529" t="n"/>
      <c r="C39" s="529" t="n"/>
      <c r="D39" s="529" t="n"/>
      <c r="E39" s="529" t="n"/>
      <c r="F39" s="529" t="n"/>
      <c r="G39" s="529" t="n"/>
      <c r="H39" s="529" t="n"/>
      <c r="I39" s="529" t="n"/>
      <c r="J39" s="529" t="n"/>
      <c r="K39" s="529" t="n"/>
      <c r="L39" s="529" t="n"/>
      <c r="M39" s="529" t="n"/>
      <c r="N39" s="529" t="n"/>
      <c r="O39" s="530" t="n"/>
      <c r="P39" s="502" t="n"/>
      <c r="Q39" s="502" t="n"/>
      <c r="R39" s="502" t="n"/>
      <c r="S39" s="502" t="n"/>
      <c r="T39" s="502" t="n"/>
      <c r="U39" s="502" t="n"/>
      <c r="V39" s="502" t="n"/>
      <c r="W39" s="502" t="n"/>
      <c r="X39" s="502" t="n"/>
      <c r="Y39" s="504" t="n"/>
      <c r="Z39" s="502" t="n"/>
      <c r="AA39" s="502" t="n"/>
      <c r="AB39" s="502" t="n"/>
      <c r="AC39" s="502" t="n"/>
      <c r="AD39" s="502" t="n"/>
      <c r="AE39" s="502" t="n"/>
      <c r="AF39" s="502" t="n"/>
      <c r="AG39" s="505" t="n"/>
      <c r="AH39" s="506" t="n"/>
      <c r="AI39" s="506" t="n"/>
      <c r="AJ39" s="506" t="n"/>
      <c r="AK39" s="506" t="n"/>
      <c r="AL39" s="505" t="n"/>
    </row>
    <row r="40" ht="5.25" customFormat="1" customHeight="1" s="303">
      <c r="A40" s="508" t="n"/>
      <c r="B40" s="531" t="n"/>
      <c r="C40" s="531" t="n"/>
      <c r="D40" s="531" t="n"/>
      <c r="E40" s="531" t="n"/>
      <c r="F40" s="531" t="n"/>
      <c r="G40" s="531" t="n"/>
      <c r="H40" s="531" t="n"/>
      <c r="I40" s="531" t="n"/>
      <c r="J40" s="531" t="n"/>
      <c r="K40" s="531" t="n"/>
      <c r="L40" s="531" t="n"/>
      <c r="M40" s="531" t="n"/>
      <c r="N40" s="531" t="n"/>
      <c r="O40" s="532" t="n"/>
      <c r="P40" s="509" t="n"/>
      <c r="Q40" s="509" t="n"/>
      <c r="R40" s="509" t="n"/>
      <c r="S40" s="509" t="n"/>
      <c r="T40" s="509" t="n"/>
      <c r="U40" s="509" t="n"/>
      <c r="V40" s="509" t="n"/>
      <c r="W40" s="509" t="n"/>
      <c r="X40" s="509" t="n"/>
      <c r="Y40" s="510" t="n"/>
      <c r="Z40" s="509" t="n"/>
      <c r="AA40" s="509" t="n"/>
      <c r="AB40" s="509" t="n"/>
      <c r="AC40" s="509" t="n"/>
      <c r="AD40" s="509" t="n"/>
      <c r="AE40" s="509" t="n"/>
      <c r="AF40" s="509" t="n"/>
      <c r="AG40" s="511" t="n"/>
      <c r="AH40" s="512" t="n"/>
      <c r="AI40" s="512" t="n"/>
      <c r="AJ40" s="512" t="n"/>
      <c r="AK40" s="512" t="n"/>
      <c r="AL40" s="511" t="n"/>
    </row>
    <row r="41" ht="18.95" customFormat="1" customHeight="1" s="303">
      <c r="A41" s="501" t="n"/>
      <c r="B41" s="1360" t="n"/>
      <c r="C41" s="1359" t="n"/>
      <c r="D41" s="1359" t="n"/>
      <c r="E41" s="1359" t="n"/>
      <c r="F41" s="1359" t="n"/>
      <c r="G41" s="1359" t="n"/>
      <c r="H41" s="1359" t="n"/>
      <c r="I41" s="1359" t="n"/>
      <c r="J41" s="1359" t="n"/>
      <c r="K41" s="1359" t="n"/>
      <c r="L41" s="1359" t="n"/>
      <c r="M41" s="1359" t="n"/>
      <c r="N41" s="1359" t="n"/>
      <c r="O41" s="1361" t="n"/>
      <c r="P41" s="502" t="n"/>
      <c r="Q41" s="526" t="n"/>
      <c r="R41" s="526" t="n"/>
      <c r="S41" s="526" t="n"/>
      <c r="T41" s="526" t="n"/>
      <c r="U41" s="526" t="n"/>
      <c r="V41" s="526" t="n"/>
      <c r="W41" s="526" t="n"/>
      <c r="X41" s="502" t="n"/>
      <c r="Y41" s="504" t="n"/>
      <c r="Z41" s="1358" t="n"/>
      <c r="AA41" s="1359" t="n"/>
      <c r="AB41" s="1359" t="n"/>
      <c r="AC41" s="1359" t="n"/>
      <c r="AD41" s="1359" t="n"/>
      <c r="AE41" s="1359" t="n"/>
      <c r="AF41" s="1359" t="n"/>
      <c r="AG41" s="505" t="n"/>
      <c r="AH41" s="506" t="n"/>
      <c r="AI41" s="1351" t="n"/>
      <c r="AJ41" s="1352" t="n"/>
      <c r="AK41" s="1352" t="n"/>
      <c r="AL41" s="505" t="n"/>
    </row>
    <row r="42" ht="5.25" customFormat="1" customHeight="1" s="303">
      <c r="A42" s="507" t="n"/>
      <c r="B42" s="529" t="n"/>
      <c r="C42" s="529" t="n"/>
      <c r="D42" s="529" t="n"/>
      <c r="E42" s="529" t="n"/>
      <c r="F42" s="529" t="n"/>
      <c r="G42" s="529" t="n"/>
      <c r="H42" s="529" t="n"/>
      <c r="I42" s="529" t="n"/>
      <c r="J42" s="529" t="n"/>
      <c r="K42" s="529" t="n"/>
      <c r="L42" s="529" t="n"/>
      <c r="M42" s="529" t="n"/>
      <c r="N42" s="529" t="n"/>
      <c r="O42" s="530" t="n"/>
      <c r="P42" s="502" t="n"/>
      <c r="Q42" s="502" t="n"/>
      <c r="R42" s="502" t="n"/>
      <c r="S42" s="502" t="n"/>
      <c r="T42" s="502" t="n"/>
      <c r="U42" s="502" t="n"/>
      <c r="V42" s="502" t="n"/>
      <c r="W42" s="502" t="n"/>
      <c r="X42" s="502" t="n"/>
      <c r="Y42" s="504" t="n"/>
      <c r="Z42" s="502" t="n"/>
      <c r="AA42" s="502" t="n"/>
      <c r="AB42" s="502" t="n"/>
      <c r="AC42" s="502" t="n"/>
      <c r="AD42" s="502" t="n"/>
      <c r="AE42" s="502" t="n"/>
      <c r="AF42" s="502" t="n"/>
      <c r="AG42" s="505" t="n"/>
      <c r="AH42" s="506" t="n"/>
      <c r="AI42" s="506" t="n"/>
      <c r="AJ42" s="506" t="n"/>
      <c r="AK42" s="506" t="n"/>
      <c r="AL42" s="505" t="n"/>
    </row>
    <row r="43" ht="5.25" customFormat="1" customHeight="1" s="303">
      <c r="A43" s="508" t="n"/>
      <c r="B43" s="531" t="n"/>
      <c r="C43" s="531" t="n"/>
      <c r="D43" s="531" t="n"/>
      <c r="E43" s="531" t="n"/>
      <c r="F43" s="531" t="n"/>
      <c r="G43" s="531" t="n"/>
      <c r="H43" s="531" t="n"/>
      <c r="I43" s="531" t="n"/>
      <c r="J43" s="531" t="n"/>
      <c r="K43" s="531" t="n"/>
      <c r="L43" s="531" t="n"/>
      <c r="M43" s="531" t="n"/>
      <c r="N43" s="531" t="n"/>
      <c r="O43" s="532" t="n"/>
      <c r="P43" s="509" t="n"/>
      <c r="Q43" s="509" t="n"/>
      <c r="R43" s="509" t="n"/>
      <c r="S43" s="509" t="n"/>
      <c r="T43" s="509" t="n"/>
      <c r="U43" s="509" t="n"/>
      <c r="V43" s="509" t="n"/>
      <c r="W43" s="509" t="n"/>
      <c r="X43" s="509" t="n"/>
      <c r="Y43" s="510" t="n"/>
      <c r="Z43" s="509" t="n"/>
      <c r="AA43" s="509" t="n"/>
      <c r="AB43" s="509" t="n"/>
      <c r="AC43" s="509" t="n"/>
      <c r="AD43" s="509" t="n"/>
      <c r="AE43" s="509" t="n"/>
      <c r="AF43" s="509" t="n"/>
      <c r="AG43" s="511" t="n"/>
      <c r="AH43" s="512" t="n"/>
      <c r="AI43" s="512" t="n"/>
      <c r="AJ43" s="512" t="n"/>
      <c r="AK43" s="512" t="n"/>
      <c r="AL43" s="511" t="n"/>
    </row>
    <row r="44" ht="18.95" customFormat="1" customHeight="1" s="303">
      <c r="A44" s="501" t="n"/>
      <c r="B44" s="1360" t="n"/>
      <c r="C44" s="1359" t="n"/>
      <c r="D44" s="1359" t="n"/>
      <c r="E44" s="1359" t="n"/>
      <c r="F44" s="1359" t="n"/>
      <c r="G44" s="1359" t="n"/>
      <c r="H44" s="1359" t="n"/>
      <c r="I44" s="1359" t="n"/>
      <c r="J44" s="1359" t="n"/>
      <c r="K44" s="1359" t="n"/>
      <c r="L44" s="1359" t="n"/>
      <c r="M44" s="1359" t="n"/>
      <c r="N44" s="1359" t="n"/>
      <c r="O44" s="1361" t="n"/>
      <c r="P44" s="502" t="n"/>
      <c r="Q44" s="526" t="n"/>
      <c r="R44" s="526" t="n"/>
      <c r="S44" s="526" t="n"/>
      <c r="T44" s="526" t="n"/>
      <c r="U44" s="526" t="n"/>
      <c r="V44" s="526" t="n"/>
      <c r="W44" s="526" t="n"/>
      <c r="X44" s="502" t="n"/>
      <c r="Y44" s="504" t="n"/>
      <c r="Z44" s="1358" t="n"/>
      <c r="AA44" s="1359" t="n"/>
      <c r="AB44" s="1359" t="n"/>
      <c r="AC44" s="1359" t="n"/>
      <c r="AD44" s="1359" t="n"/>
      <c r="AE44" s="1359" t="n"/>
      <c r="AF44" s="1359" t="n"/>
      <c r="AG44" s="505" t="n"/>
      <c r="AH44" s="506" t="n"/>
      <c r="AI44" s="1351" t="n"/>
      <c r="AJ44" s="1352" t="n"/>
      <c r="AK44" s="1352" t="n"/>
      <c r="AL44" s="505" t="n"/>
    </row>
    <row r="45" ht="5.25" customFormat="1" customHeight="1" s="303">
      <c r="A45" s="507" t="n"/>
      <c r="B45" s="529" t="n"/>
      <c r="C45" s="529" t="n"/>
      <c r="D45" s="529" t="n"/>
      <c r="E45" s="529" t="n"/>
      <c r="F45" s="529" t="n"/>
      <c r="G45" s="529" t="n"/>
      <c r="H45" s="529" t="n"/>
      <c r="I45" s="529" t="n"/>
      <c r="J45" s="529" t="n"/>
      <c r="K45" s="529" t="n"/>
      <c r="L45" s="529" t="n"/>
      <c r="M45" s="529" t="n"/>
      <c r="N45" s="529" t="n"/>
      <c r="O45" s="530" t="n"/>
      <c r="P45" s="502" t="n"/>
      <c r="Q45" s="502" t="n"/>
      <c r="R45" s="502" t="n"/>
      <c r="S45" s="502" t="n"/>
      <c r="T45" s="502" t="n"/>
      <c r="U45" s="502" t="n"/>
      <c r="V45" s="502" t="n"/>
      <c r="W45" s="502" t="n"/>
      <c r="X45" s="502" t="n"/>
      <c r="Y45" s="504" t="n"/>
      <c r="Z45" s="502" t="n"/>
      <c r="AA45" s="502" t="n"/>
      <c r="AB45" s="502" t="n"/>
      <c r="AC45" s="502" t="n"/>
      <c r="AD45" s="502" t="n"/>
      <c r="AE45" s="502" t="n"/>
      <c r="AF45" s="502" t="n"/>
      <c r="AG45" s="505" t="n"/>
      <c r="AH45" s="506" t="n"/>
      <c r="AI45" s="506" t="n"/>
      <c r="AJ45" s="506" t="n"/>
      <c r="AK45" s="506" t="n"/>
      <c r="AL45" s="505" t="n"/>
    </row>
    <row r="46" ht="5.25" customFormat="1" customHeight="1" s="303">
      <c r="A46" s="508" t="n"/>
      <c r="B46" s="531" t="n"/>
      <c r="C46" s="531" t="n"/>
      <c r="D46" s="531" t="n"/>
      <c r="E46" s="531" t="n"/>
      <c r="F46" s="531" t="n"/>
      <c r="G46" s="531" t="n"/>
      <c r="H46" s="531" t="n"/>
      <c r="I46" s="531" t="n"/>
      <c r="J46" s="531" t="n"/>
      <c r="K46" s="531" t="n"/>
      <c r="L46" s="531" t="n"/>
      <c r="M46" s="531" t="n"/>
      <c r="N46" s="531" t="n"/>
      <c r="O46" s="532" t="n"/>
      <c r="P46" s="509" t="n"/>
      <c r="Q46" s="509" t="n"/>
      <c r="R46" s="509" t="n"/>
      <c r="S46" s="509" t="n"/>
      <c r="T46" s="509" t="n"/>
      <c r="U46" s="509" t="n"/>
      <c r="V46" s="509" t="n"/>
      <c r="W46" s="509" t="n"/>
      <c r="X46" s="509" t="n"/>
      <c r="Y46" s="510" t="n"/>
      <c r="Z46" s="509" t="n"/>
      <c r="AA46" s="509" t="n"/>
      <c r="AB46" s="509" t="n"/>
      <c r="AC46" s="509" t="n"/>
      <c r="AD46" s="509" t="n"/>
      <c r="AE46" s="509" t="n"/>
      <c r="AF46" s="509" t="n"/>
      <c r="AG46" s="511" t="n"/>
      <c r="AH46" s="512" t="n"/>
      <c r="AI46" s="512" t="n"/>
      <c r="AJ46" s="512" t="n"/>
      <c r="AK46" s="512" t="n"/>
      <c r="AL46" s="511" t="n"/>
    </row>
    <row r="47" ht="18.95" customFormat="1" customHeight="1" s="303">
      <c r="A47" s="501" t="n"/>
      <c r="B47" s="1360" t="n"/>
      <c r="C47" s="1359" t="n"/>
      <c r="D47" s="1359" t="n"/>
      <c r="E47" s="1359" t="n"/>
      <c r="F47" s="1359" t="n"/>
      <c r="G47" s="1359" t="n"/>
      <c r="H47" s="1359" t="n"/>
      <c r="I47" s="1359" t="n"/>
      <c r="J47" s="1359" t="n"/>
      <c r="K47" s="1359" t="n"/>
      <c r="L47" s="1359" t="n"/>
      <c r="M47" s="1359" t="n"/>
      <c r="N47" s="1359" t="n"/>
      <c r="O47" s="1361" t="n"/>
      <c r="P47" s="502" t="n"/>
      <c r="Q47" s="526" t="n"/>
      <c r="R47" s="526" t="n"/>
      <c r="S47" s="526" t="n"/>
      <c r="T47" s="526" t="n"/>
      <c r="U47" s="526" t="n"/>
      <c r="V47" s="526" t="n"/>
      <c r="W47" s="526" t="n"/>
      <c r="X47" s="502" t="n"/>
      <c r="Y47" s="504" t="n"/>
      <c r="Z47" s="1358" t="n"/>
      <c r="AA47" s="1359" t="n"/>
      <c r="AB47" s="1359" t="n"/>
      <c r="AC47" s="1359" t="n"/>
      <c r="AD47" s="1359" t="n"/>
      <c r="AE47" s="1359" t="n"/>
      <c r="AF47" s="1359" t="n"/>
      <c r="AG47" s="505" t="n"/>
      <c r="AH47" s="506" t="n"/>
      <c r="AI47" s="1351" t="n"/>
      <c r="AJ47" s="1352" t="n"/>
      <c r="AK47" s="1352" t="n"/>
      <c r="AL47" s="505" t="n"/>
    </row>
    <row r="48" ht="5.25" customFormat="1" customHeight="1" s="303">
      <c r="A48" s="507" t="n"/>
      <c r="B48" s="529" t="n"/>
      <c r="C48" s="529" t="n"/>
      <c r="D48" s="529" t="n"/>
      <c r="E48" s="529" t="n"/>
      <c r="F48" s="529" t="n"/>
      <c r="G48" s="529" t="n"/>
      <c r="H48" s="529" t="n"/>
      <c r="I48" s="529" t="n"/>
      <c r="J48" s="529" t="n"/>
      <c r="K48" s="529" t="n"/>
      <c r="L48" s="529" t="n"/>
      <c r="M48" s="529" t="n"/>
      <c r="N48" s="529" t="n"/>
      <c r="O48" s="530" t="n"/>
      <c r="P48" s="502" t="n"/>
      <c r="Q48" s="502" t="n"/>
      <c r="R48" s="502" t="n"/>
      <c r="S48" s="502" t="n"/>
      <c r="T48" s="502" t="n"/>
      <c r="U48" s="502" t="n"/>
      <c r="V48" s="502" t="n"/>
      <c r="W48" s="502" t="n"/>
      <c r="X48" s="502" t="n"/>
      <c r="Y48" s="504" t="n"/>
      <c r="Z48" s="502" t="n"/>
      <c r="AA48" s="502" t="n"/>
      <c r="AB48" s="502" t="n"/>
      <c r="AC48" s="502" t="n"/>
      <c r="AD48" s="502" t="n"/>
      <c r="AE48" s="502" t="n"/>
      <c r="AF48" s="502" t="n"/>
      <c r="AG48" s="505" t="n"/>
      <c r="AH48" s="506" t="n"/>
      <c r="AI48" s="506" t="n"/>
      <c r="AJ48" s="506" t="n"/>
      <c r="AK48" s="506" t="n"/>
      <c r="AL48" s="505" t="n"/>
    </row>
    <row r="49" ht="5.25" customFormat="1" customHeight="1" s="303">
      <c r="A49" s="508" t="n"/>
      <c r="B49" s="531" t="n"/>
      <c r="C49" s="531" t="n"/>
      <c r="D49" s="531" t="n"/>
      <c r="E49" s="531" t="n"/>
      <c r="F49" s="531" t="n"/>
      <c r="G49" s="531" t="n"/>
      <c r="H49" s="531" t="n"/>
      <c r="I49" s="531" t="n"/>
      <c r="J49" s="531" t="n"/>
      <c r="K49" s="531" t="n"/>
      <c r="L49" s="531" t="n"/>
      <c r="M49" s="531" t="n"/>
      <c r="N49" s="531" t="n"/>
      <c r="O49" s="532" t="n"/>
      <c r="P49" s="509" t="n"/>
      <c r="Q49" s="509" t="n"/>
      <c r="R49" s="509" t="n"/>
      <c r="S49" s="509" t="n"/>
      <c r="T49" s="509" t="n"/>
      <c r="U49" s="509" t="n"/>
      <c r="V49" s="509" t="n"/>
      <c r="W49" s="509" t="n"/>
      <c r="X49" s="509" t="n"/>
      <c r="Y49" s="510" t="n"/>
      <c r="Z49" s="509" t="n"/>
      <c r="AA49" s="509" t="n"/>
      <c r="AB49" s="509" t="n"/>
      <c r="AC49" s="509" t="n"/>
      <c r="AD49" s="509" t="n"/>
      <c r="AE49" s="509" t="n"/>
      <c r="AF49" s="509" t="n"/>
      <c r="AG49" s="511" t="n"/>
      <c r="AH49" s="512" t="n"/>
      <c r="AI49" s="512" t="n"/>
      <c r="AJ49" s="512" t="n"/>
      <c r="AK49" s="512" t="n"/>
      <c r="AL49" s="511" t="n"/>
    </row>
    <row r="50" ht="18.95" customFormat="1" customHeight="1" s="303">
      <c r="A50" s="501" t="n"/>
      <c r="B50" s="1360" t="n"/>
      <c r="C50" s="1359" t="n"/>
      <c r="D50" s="1359" t="n"/>
      <c r="E50" s="1359" t="n"/>
      <c r="F50" s="1359" t="n"/>
      <c r="G50" s="1359" t="n"/>
      <c r="H50" s="1359" t="n"/>
      <c r="I50" s="1359" t="n"/>
      <c r="J50" s="1359" t="n"/>
      <c r="K50" s="1359" t="n"/>
      <c r="L50" s="1359" t="n"/>
      <c r="M50" s="1359" t="n"/>
      <c r="N50" s="1359" t="n"/>
      <c r="O50" s="1361" t="n"/>
      <c r="P50" s="502" t="n"/>
      <c r="Q50" s="526" t="n"/>
      <c r="R50" s="526" t="n"/>
      <c r="S50" s="526" t="n"/>
      <c r="T50" s="526" t="n"/>
      <c r="U50" s="526" t="n"/>
      <c r="V50" s="526" t="n"/>
      <c r="W50" s="526" t="n"/>
      <c r="X50" s="502" t="n"/>
      <c r="Y50" s="504" t="n"/>
      <c r="Z50" s="1358" t="n"/>
      <c r="AA50" s="1359" t="n"/>
      <c r="AB50" s="1359" t="n"/>
      <c r="AC50" s="1359" t="n"/>
      <c r="AD50" s="1359" t="n"/>
      <c r="AE50" s="1359" t="n"/>
      <c r="AF50" s="1359" t="n"/>
      <c r="AG50" s="505" t="n"/>
      <c r="AH50" s="506" t="n"/>
      <c r="AI50" s="1351" t="n"/>
      <c r="AJ50" s="1352" t="n"/>
      <c r="AK50" s="1352" t="n"/>
      <c r="AL50" s="505" t="n"/>
    </row>
    <row r="51" ht="5.25" customFormat="1" customHeight="1" s="303">
      <c r="A51" s="507" t="n"/>
      <c r="B51" s="506" t="n"/>
      <c r="C51" s="506" t="n"/>
      <c r="D51" s="506" t="n"/>
      <c r="E51" s="506" t="n"/>
      <c r="F51" s="506" t="n"/>
      <c r="G51" s="506" t="n"/>
      <c r="H51" s="506" t="n"/>
      <c r="I51" s="506" t="n"/>
      <c r="J51" s="506" t="n"/>
      <c r="K51" s="506" t="n"/>
      <c r="L51" s="506" t="n"/>
      <c r="M51" s="506" t="n"/>
      <c r="N51" s="506" t="n"/>
      <c r="O51" s="505" t="n"/>
      <c r="P51" s="506" t="n"/>
      <c r="Q51" s="506" t="n"/>
      <c r="R51" s="506" t="n"/>
      <c r="S51" s="506" t="n"/>
      <c r="T51" s="506" t="n"/>
      <c r="U51" s="506" t="n"/>
      <c r="V51" s="506" t="n"/>
      <c r="W51" s="506" t="n"/>
      <c r="X51" s="506" t="n"/>
      <c r="Y51" s="507" t="n"/>
      <c r="Z51" s="513" t="n"/>
      <c r="AA51" s="513" t="n"/>
      <c r="AB51" s="513" t="n"/>
      <c r="AC51" s="513" t="n"/>
      <c r="AD51" s="513" t="n"/>
      <c r="AE51" s="513" t="n"/>
      <c r="AF51" s="513" t="n"/>
      <c r="AG51" s="505" t="n"/>
      <c r="AH51" s="506" t="n"/>
      <c r="AI51" s="506" t="n"/>
      <c r="AJ51" s="506" t="n"/>
      <c r="AK51" s="506" t="n"/>
      <c r="AL51" s="505" t="n"/>
    </row>
    <row r="52" ht="17.25" customFormat="1" customHeight="1" s="303">
      <c r="A52" s="514" t="inlineStr">
        <is>
          <t>Divers  (4)</t>
        </is>
      </c>
      <c r="B52" s="515" t="n"/>
      <c r="C52" s="515" t="n"/>
      <c r="D52" s="515" t="n"/>
      <c r="E52" s="515" t="n"/>
      <c r="F52" s="515" t="n"/>
      <c r="G52" s="515" t="n"/>
      <c r="H52" s="515" t="n"/>
      <c r="I52" s="515" t="n"/>
      <c r="J52" s="515" t="n"/>
      <c r="K52" s="515" t="n"/>
      <c r="L52" s="515" t="n"/>
      <c r="M52" s="515" t="n"/>
      <c r="N52" s="515" t="n"/>
      <c r="O52" s="516" t="n"/>
      <c r="P52" s="1374" t="n"/>
      <c r="Q52" s="1248" t="n"/>
      <c r="R52" s="1248" t="n"/>
      <c r="S52" s="1248" t="n"/>
      <c r="T52" s="1248" t="n"/>
      <c r="U52" s="1248" t="n"/>
      <c r="V52" s="1248" t="n"/>
      <c r="W52" s="1248" t="n"/>
      <c r="X52" s="1249" t="n"/>
      <c r="Y52" s="508" t="n"/>
      <c r="Z52" s="1376" t="n"/>
      <c r="AA52" s="1377" t="n"/>
      <c r="AB52" s="1377" t="n"/>
      <c r="AC52" s="1377" t="n"/>
      <c r="AD52" s="1377" t="n"/>
      <c r="AE52" s="1377" t="n"/>
      <c r="AF52" s="1377" t="n"/>
      <c r="AG52" s="511" t="n"/>
      <c r="AH52" s="512" t="n"/>
      <c r="AI52" s="1372" t="n"/>
      <c r="AJ52" s="1318" t="n"/>
      <c r="AK52" s="1318" t="n"/>
      <c r="AL52" s="511" t="n"/>
    </row>
    <row r="53" customFormat="1" s="1590">
      <c r="A53" s="517" t="n"/>
      <c r="B53" s="518" t="n"/>
      <c r="C53" s="519" t="n"/>
      <c r="D53" s="519" t="n"/>
      <c r="E53" s="519" t="n"/>
      <c r="F53" s="519" t="n"/>
      <c r="G53" s="519" t="n"/>
      <c r="H53" s="519" t="n"/>
      <c r="I53" s="519" t="n"/>
      <c r="J53" s="519" t="n"/>
      <c r="K53" s="519" t="n"/>
      <c r="L53" s="519" t="n"/>
      <c r="M53" s="519" t="n"/>
      <c r="N53" s="519" t="n"/>
      <c r="O53" s="520" t="n"/>
      <c r="P53" s="1243" t="n"/>
      <c r="Q53" s="1244" t="n"/>
      <c r="R53" s="1244" t="n"/>
      <c r="S53" s="1244" t="n"/>
      <c r="T53" s="1244" t="n"/>
      <c r="U53" s="1244" t="n"/>
      <c r="V53" s="1244" t="n"/>
      <c r="W53" s="1244" t="n"/>
      <c r="X53" s="1245" t="n"/>
      <c r="Y53" s="521" t="n"/>
      <c r="Z53" s="506" t="n"/>
      <c r="AA53" s="506" t="n"/>
      <c r="AB53" s="506" t="n"/>
      <c r="AC53" s="506" t="n"/>
      <c r="AD53" s="506" t="n"/>
      <c r="AE53" s="506" t="n"/>
      <c r="AF53" s="506" t="n"/>
      <c r="AG53" s="505" t="n"/>
      <c r="AH53" s="506" t="n"/>
      <c r="AI53" s="506" t="n"/>
      <c r="AJ53" s="506" t="n"/>
      <c r="AK53" s="506" t="n"/>
      <c r="AL53" s="522" t="n"/>
    </row>
    <row r="54" customFormat="1" s="1590">
      <c r="A54" s="521" t="n"/>
      <c r="B54" s="519" t="n"/>
      <c r="C54" s="523" t="n"/>
      <c r="D54" s="523" t="n"/>
      <c r="E54" s="523" t="n"/>
      <c r="F54" s="523" t="n"/>
      <c r="G54" s="523" t="n"/>
      <c r="H54" s="523" t="n"/>
      <c r="I54" s="523" t="n"/>
      <c r="J54" s="523" t="n"/>
      <c r="K54" s="523" t="n"/>
      <c r="L54" s="523" t="n"/>
      <c r="M54" s="523" t="n"/>
      <c r="N54" s="523" t="n"/>
      <c r="O54" s="524" t="n"/>
      <c r="P54" s="1371" t="inlineStr">
        <is>
          <t xml:space="preserve"> TOTAL  </t>
        </is>
      </c>
      <c r="Q54" s="1248" t="n"/>
      <c r="R54" s="1248" t="n"/>
      <c r="S54" s="1248" t="n"/>
      <c r="T54" s="1248" t="n"/>
      <c r="U54" s="1248" t="n"/>
      <c r="V54" s="1248" t="n"/>
      <c r="W54" s="1248" t="n"/>
      <c r="X54" s="1248" t="n"/>
      <c r="Y54" s="525" t="n"/>
      <c r="Z54" s="1387">
        <f>Z29+Z32+Z35+Z38+Z41+Z44+Z47+Z50+Z52</f>
        <v/>
      </c>
      <c r="AA54" s="1248" t="n"/>
      <c r="AB54" s="1248" t="n"/>
      <c r="AC54" s="1248" t="n"/>
      <c r="AD54" s="1248" t="n"/>
      <c r="AE54" s="1248" t="n"/>
      <c r="AF54" s="1248" t="n"/>
      <c r="AG54" s="511" t="n"/>
      <c r="AH54" s="512" t="n"/>
      <c r="AI54" s="1373" t="n"/>
      <c r="AJ54" s="1248" t="n"/>
      <c r="AK54" s="1248" t="n"/>
      <c r="AL54" s="520" t="n"/>
    </row>
    <row r="55" customFormat="1" s="1590">
      <c r="A55" s="521" t="n"/>
      <c r="B55" s="519" t="n"/>
      <c r="C55" s="518" t="n"/>
      <c r="D55" s="518" t="n"/>
      <c r="E55" s="518" t="n"/>
      <c r="F55" s="518" t="n"/>
      <c r="G55" s="518" t="n"/>
      <c r="H55" s="518" t="n"/>
      <c r="I55" s="518" t="n"/>
      <c r="J55" s="518" t="n"/>
      <c r="K55" s="518" t="n"/>
      <c r="L55" s="518" t="n"/>
      <c r="M55" s="518" t="n"/>
      <c r="N55" s="518" t="n"/>
      <c r="O55" s="522" t="n"/>
      <c r="P55" s="1244" t="n"/>
      <c r="Q55" s="1244" t="n"/>
      <c r="R55" s="1244" t="n"/>
      <c r="S55" s="1244" t="n"/>
      <c r="T55" s="1244" t="n"/>
      <c r="U55" s="1244" t="n"/>
      <c r="V55" s="1244" t="n"/>
      <c r="W55" s="1244" t="n"/>
      <c r="X55" s="1244" t="n"/>
      <c r="Y55" s="517" t="n"/>
      <c r="Z55" s="1244" t="n"/>
      <c r="AA55" s="1244" t="n"/>
      <c r="AB55" s="1244" t="n"/>
      <c r="AC55" s="1244" t="n"/>
      <c r="AD55" s="1244" t="n"/>
      <c r="AE55" s="1244" t="n"/>
      <c r="AF55" s="1244" t="n"/>
      <c r="AG55" s="527" t="n"/>
      <c r="AH55" s="528" t="n"/>
      <c r="AI55" s="1244" t="n"/>
      <c r="AJ55" s="1244" t="n"/>
      <c r="AK55" s="1244" t="n"/>
      <c r="AL55" s="522" t="n"/>
    </row>
    <row r="56">
      <c r="A56" s="220" t="n"/>
      <c r="B56" s="221" t="n"/>
      <c r="C56" s="221" t="n"/>
      <c r="D56" s="221" t="n"/>
      <c r="E56" s="221" t="n"/>
      <c r="F56" s="221" t="n"/>
      <c r="G56" s="221" t="n"/>
      <c r="H56" s="219" t="n"/>
      <c r="I56" s="219" t="n"/>
      <c r="J56" s="219" t="n"/>
      <c r="K56" s="219" t="n"/>
      <c r="L56" s="219" t="n"/>
      <c r="M56" s="219" t="n"/>
      <c r="N56" s="219" t="n"/>
      <c r="O56" s="219" t="n"/>
      <c r="P56" s="219" t="n"/>
      <c r="Q56" s="219" t="n"/>
      <c r="R56" s="219" t="n"/>
      <c r="S56" s="219" t="n"/>
      <c r="T56" s="219" t="n"/>
      <c r="U56" s="219" t="n"/>
      <c r="V56" s="219" t="n"/>
      <c r="W56" s="219" t="n"/>
      <c r="X56" s="219" t="n"/>
      <c r="Y56" s="219" t="n"/>
      <c r="Z56" s="219" t="n"/>
      <c r="AA56" s="219" t="n"/>
      <c r="AB56" s="219" t="n"/>
      <c r="AC56" s="219" t="n"/>
      <c r="AD56" s="219" t="n"/>
      <c r="AE56" s="219" t="n"/>
      <c r="AF56" s="219" t="n"/>
      <c r="AG56" s="280" t="n"/>
      <c r="AH56" s="280" t="n"/>
      <c r="AI56" s="280" t="n"/>
      <c r="AJ56" s="280" t="n"/>
      <c r="AK56" s="280" t="n"/>
      <c r="AL56" s="281" t="n"/>
    </row>
    <row r="57">
      <c r="A57" s="1367" t="inlineStr">
        <is>
          <t>(1) Note 36 Suite (Nomenclature)</t>
        </is>
      </c>
      <c r="AL57" s="1242" t="n"/>
    </row>
    <row r="58">
      <c r="A58" s="1367" t="inlineStr">
        <is>
          <t>(2) Lister de manière précise les activités dans l'ordre décroissant du C.A.HT ou de la valeur ajoutée (V.A).</t>
        </is>
      </c>
      <c r="AL58" s="1242" t="n"/>
    </row>
    <row r="59">
      <c r="A59" s="1367" t="inlineStr">
        <is>
          <t>(3) Rayer la mention inutile - Au Burkina Faso, pour les besoins de l'INSD, on préfèrera le chiffre d'affaires.</t>
        </is>
      </c>
      <c r="AL59" s="1242" t="n"/>
    </row>
    <row r="60">
      <c r="A60" s="1367" t="inlineStr">
        <is>
          <t>(4) Indiquer dans la note annexe n°21 "Chiffre d'affaires et autres produits", la liste détaillée des activités classées dans la rubrique "Divers"</t>
        </is>
      </c>
      <c r="AL60" s="1242" t="n"/>
    </row>
    <row r="61">
      <c r="A61" s="1243" t="n"/>
      <c r="B61" s="218" t="n"/>
      <c r="C61" s="218" t="n"/>
      <c r="D61" s="218" t="n"/>
      <c r="E61" s="218" t="n"/>
      <c r="F61" s="218" t="n"/>
      <c r="G61" s="218" t="n"/>
      <c r="H61" s="218" t="n"/>
      <c r="I61" s="218" t="n"/>
      <c r="J61" s="218" t="n"/>
      <c r="K61" s="218" t="n"/>
      <c r="L61" s="218" t="n"/>
      <c r="M61" s="218" t="n"/>
      <c r="N61" s="218" t="n"/>
      <c r="O61" s="218" t="n"/>
      <c r="P61" s="218" t="n"/>
      <c r="Q61" s="218" t="n"/>
      <c r="R61" s="229" t="n"/>
      <c r="S61" s="205" t="n"/>
      <c r="T61" s="222" t="n"/>
      <c r="U61" s="222" t="n"/>
      <c r="V61" s="223" t="n"/>
      <c r="W61" s="223" t="n"/>
      <c r="X61" s="222" t="n"/>
      <c r="Y61" s="222" t="n"/>
      <c r="Z61" s="224" t="n"/>
      <c r="AA61" s="222" t="n"/>
      <c r="AB61" s="222" t="n"/>
      <c r="AC61" s="222" t="n"/>
      <c r="AD61" s="222" t="n"/>
      <c r="AE61" s="222" t="n"/>
      <c r="AF61" s="222" t="n"/>
      <c r="AG61" s="225" t="n"/>
      <c r="AH61" s="225" t="n"/>
      <c r="AI61" s="225" t="n"/>
      <c r="AJ61" s="225" t="n"/>
      <c r="AK61" s="225" t="n"/>
      <c r="AL61" s="226" t="n"/>
    </row>
  </sheetData>
  <mergeCells count="60">
    <mergeCell ref="Z29:AF29"/>
    <mergeCell ref="B41:O41"/>
    <mergeCell ref="Z54:AF55"/>
    <mergeCell ref="B35:O35"/>
    <mergeCell ref="Z38:AF38"/>
    <mergeCell ref="P25:X27"/>
    <mergeCell ref="A15:B15"/>
    <mergeCell ref="AG2:AL2"/>
    <mergeCell ref="I6:P6"/>
    <mergeCell ref="Q5:V5"/>
    <mergeCell ref="Z35:AF35"/>
    <mergeCell ref="B47:O47"/>
    <mergeCell ref="A11:B11"/>
    <mergeCell ref="Z44:AF44"/>
    <mergeCell ref="A58:AL58"/>
    <mergeCell ref="AI50:AK50"/>
    <mergeCell ref="AI41:AK41"/>
    <mergeCell ref="AI35:AK35"/>
    <mergeCell ref="V13:W13"/>
    <mergeCell ref="A59:AL59"/>
    <mergeCell ref="A25:O27"/>
    <mergeCell ref="V8:AL8"/>
    <mergeCell ref="AI32:AK32"/>
    <mergeCell ref="A60:AL60"/>
    <mergeCell ref="AI5:AL5"/>
    <mergeCell ref="I3:AL3"/>
    <mergeCell ref="P54:X55"/>
    <mergeCell ref="E4:AA4"/>
    <mergeCell ref="A1:AL1"/>
    <mergeCell ref="AI47:AK47"/>
    <mergeCell ref="V9:W9"/>
    <mergeCell ref="Y25:AG27"/>
    <mergeCell ref="A7:AL7"/>
    <mergeCell ref="Z41:AF41"/>
    <mergeCell ref="B44:O44"/>
    <mergeCell ref="Z32:AF32"/>
    <mergeCell ref="B38:O38"/>
    <mergeCell ref="V11:W11"/>
    <mergeCell ref="B29:O29"/>
    <mergeCell ref="AI52:AK52"/>
    <mergeCell ref="AI54:AK55"/>
    <mergeCell ref="A17:B17"/>
    <mergeCell ref="Z50:AF50"/>
    <mergeCell ref="I5:P5"/>
    <mergeCell ref="P52:X53"/>
    <mergeCell ref="A57:AL57"/>
    <mergeCell ref="AG4:AL4"/>
    <mergeCell ref="AI38:AK38"/>
    <mergeCell ref="AI44:AK44"/>
    <mergeCell ref="A20:B20"/>
    <mergeCell ref="AI29:AK29"/>
    <mergeCell ref="Z47:AF47"/>
    <mergeCell ref="A23:AL23"/>
    <mergeCell ref="Z52:AF52"/>
    <mergeCell ref="W5:AB5"/>
    <mergeCell ref="A13:B13"/>
    <mergeCell ref="A9:B9"/>
    <mergeCell ref="AI25:AL27"/>
    <mergeCell ref="B32:O32"/>
    <mergeCell ref="B50:O50"/>
  </mergeCells>
  <printOptions horizontalCentered="1"/>
  <pageMargins left="0.3937007874015748" right="0.3149606299212598" top="0.3543307086614174" bottom="0.3543307086614174" header="0.3149606299212598" footer="0.3149606299212598"/>
  <pageSetup orientation="portrait" paperSize="9" scale="93"/>
</worksheet>
</file>

<file path=xl/worksheets/sheet9.xml><?xml version="1.0" encoding="utf-8"?>
<worksheet xmlns="http://schemas.openxmlformats.org/spreadsheetml/2006/main">
  <sheetPr codeName="Feuil8">
    <tabColor theme="4" tint="0.5999938962981048"/>
    <outlinePr summaryBelow="1" summaryRight="1"/>
    <pageSetUpPr/>
  </sheetPr>
  <dimension ref="A1:J36"/>
  <sheetViews>
    <sheetView showGridLines="0" workbookViewId="0">
      <selection activeCell="L6" sqref="L6"/>
    </sheetView>
  </sheetViews>
  <sheetFormatPr baseColWidth="10" defaultColWidth="11.42578125" defaultRowHeight="15"/>
  <cols>
    <col width="10.28515625" customWidth="1" style="1225" min="1" max="1"/>
    <col width="15.7109375" customWidth="1" style="1225" min="2" max="2"/>
    <col width="12.85546875" customWidth="1" style="1225" min="3" max="4"/>
    <col width="14.85546875" customWidth="1" style="1225" min="5" max="5"/>
    <col width="1.7109375" customWidth="1" style="1225" min="6" max="6"/>
    <col width="12.5703125" customWidth="1" style="1225" min="7" max="7"/>
    <col width="7.140625" customWidth="1" style="1225" min="8" max="8"/>
    <col width="5.140625" customWidth="1" style="1225" min="9" max="9"/>
    <col width="14.5703125" customWidth="1" style="1225" min="10" max="10"/>
  </cols>
  <sheetData>
    <row r="1" ht="15" customHeight="1" s="1225">
      <c r="A1" s="1391" t="inlineStr">
        <is>
          <t>- 3 -</t>
        </is>
      </c>
      <c r="B1" s="1392" t="n"/>
      <c r="C1" s="1392" t="n"/>
      <c r="D1" s="1392" t="n"/>
      <c r="E1" s="1392" t="n"/>
      <c r="F1" s="1392" t="n"/>
      <c r="G1" s="1392" t="n"/>
      <c r="H1" s="1392" t="n"/>
      <c r="I1" s="1392" t="n"/>
      <c r="J1" s="1393" t="n"/>
    </row>
    <row r="2" ht="20.1" customHeight="1" s="1225">
      <c r="A2" s="1899" t="n"/>
      <c r="B2" s="177" t="n"/>
      <c r="C2" s="177" t="n"/>
      <c r="D2" s="177" t="n"/>
      <c r="E2" s="1275" t="n"/>
      <c r="F2" s="317" t="n"/>
      <c r="G2" s="177" t="n"/>
      <c r="H2" s="177" t="n"/>
      <c r="I2" s="1413" t="inlineStr">
        <is>
          <t>FICHE R3</t>
        </is>
      </c>
      <c r="J2" s="1414" t="n"/>
    </row>
    <row r="3" ht="15" customFormat="1" customHeight="1" s="1382">
      <c r="A3" s="755" t="inlineStr">
        <is>
          <t>Dénomination sociale de l'entité :</t>
        </is>
      </c>
      <c r="B3" s="1458" t="n"/>
      <c r="C3" s="1405">
        <f>'FICHE R1'!E3</f>
        <v/>
      </c>
      <c r="D3" s="1352" t="n"/>
      <c r="E3" s="1352" t="n"/>
      <c r="F3" s="1352" t="n"/>
      <c r="G3" s="1352" t="n"/>
      <c r="H3" s="1352" t="n"/>
      <c r="I3" s="1352" t="n"/>
      <c r="J3" s="1406" t="n"/>
    </row>
    <row r="4" ht="15" customFormat="1" customHeight="1" s="1382">
      <c r="A4" s="755" t="inlineStr">
        <is>
          <t>Adresse :</t>
        </is>
      </c>
      <c r="B4" s="1397">
        <f>'FICHE R1'!D4</f>
        <v/>
      </c>
      <c r="C4" s="1352" t="n"/>
      <c r="D4" s="1352" t="n"/>
      <c r="E4" s="1352" t="n"/>
      <c r="F4" s="1352" t="n"/>
      <c r="G4" s="1352" t="n"/>
      <c r="H4" s="1409" t="inlineStr">
        <is>
          <t>Sigle usuel :</t>
        </is>
      </c>
      <c r="I4" s="1283" t="n"/>
      <c r="J4" s="1170">
        <f>'FICHE R1'!S4</f>
        <v/>
      </c>
    </row>
    <row r="5" ht="15" customFormat="1" customHeight="1" s="1382">
      <c r="A5" s="755" t="inlineStr">
        <is>
          <t>N° IFU du contribuable  :</t>
        </is>
      </c>
      <c r="B5" s="1458" t="n"/>
      <c r="C5" s="1397">
        <f>'FICHE R1'!E5</f>
        <v/>
      </c>
      <c r="D5" s="1352" t="n"/>
      <c r="E5" s="1425" t="inlineStr">
        <is>
          <t>Exercice clos le :</t>
        </is>
      </c>
      <c r="F5" s="1385">
        <f>'FICHE R1'!J5</f>
        <v/>
      </c>
      <c r="G5" s="1352" t="n"/>
      <c r="H5" s="1425" t="inlineStr">
        <is>
          <t>Durée (en mois) :</t>
        </is>
      </c>
      <c r="J5" s="756">
        <f>'FICHE R1'!U5</f>
        <v/>
      </c>
    </row>
    <row r="6" ht="15" customFormat="1" customHeight="1" s="1382">
      <c r="A6" s="755" t="inlineStr">
        <is>
          <t>N° de télédéclarant (NES) :</t>
        </is>
      </c>
      <c r="C6" s="1379">
        <f>'FICHE R1'!E6</f>
        <v/>
      </c>
      <c r="D6" s="1380" t="n"/>
      <c r="E6" s="258" t="n"/>
      <c r="F6" s="258" t="n"/>
      <c r="G6" s="258" t="n"/>
      <c r="H6" s="258" t="n"/>
      <c r="I6" s="258" t="n"/>
      <c r="J6" s="757" t="n"/>
    </row>
    <row r="7" ht="28.5" customHeight="1" s="1225">
      <c r="A7" s="1422" t="inlineStr">
        <is>
          <t>FICHE  R3 : FICHE D'IDENTIFICATION ET RENSEIGNEMENTS DIVERS 3</t>
        </is>
      </c>
      <c r="J7" s="1408" t="n"/>
    </row>
    <row r="8" ht="16.15" customHeight="1" s="1225">
      <c r="A8" s="1407" t="inlineStr">
        <is>
          <t>DIRIGEANTS (1)</t>
        </is>
      </c>
      <c r="J8" s="1408" t="n"/>
    </row>
    <row r="9" ht="12" customHeight="1" s="1225">
      <c r="A9" s="1899" t="n"/>
      <c r="J9" s="1408" t="n"/>
    </row>
    <row r="10" ht="39.75" customHeight="1" s="1225">
      <c r="A10" s="1424" t="inlineStr">
        <is>
          <t>Nom et Prénoms</t>
        </is>
      </c>
      <c r="B10" s="1411" t="n"/>
      <c r="C10" s="316" t="inlineStr">
        <is>
          <t>Nationalité</t>
        </is>
      </c>
      <c r="D10" s="1419" t="inlineStr">
        <is>
          <t>Autres
nationalités
(à préciser) (2)</t>
        </is>
      </c>
      <c r="E10" s="316" t="inlineStr">
        <is>
          <t>Qualité</t>
        </is>
      </c>
      <c r="F10" s="1419" t="inlineStr">
        <is>
          <t>N°
d'identification
fiscale</t>
        </is>
      </c>
      <c r="G10" s="1411" t="n"/>
      <c r="H10" s="1419" t="inlineStr">
        <is>
          <t>Adresse (BP, ville, pays, adresse géographique et adresse email)</t>
        </is>
      </c>
      <c r="I10" s="1420" t="n"/>
      <c r="J10" s="1411" t="n"/>
    </row>
    <row r="11" ht="26.1" customFormat="1" customHeight="1" s="277">
      <c r="A11" s="1417" t="n"/>
      <c r="B11" s="1396" t="n"/>
      <c r="C11" s="1636" t="n"/>
      <c r="D11" s="284" t="n"/>
      <c r="E11" s="1098" t="n"/>
      <c r="F11" s="1394" t="n"/>
      <c r="G11" s="1396" t="n"/>
      <c r="H11" s="1394" t="n"/>
      <c r="I11" s="1395" t="n"/>
      <c r="J11" s="1396" t="n"/>
    </row>
    <row r="12" ht="26.1" customFormat="1" customHeight="1" s="277">
      <c r="A12" s="1417" t="n"/>
      <c r="B12" s="1396" t="n"/>
      <c r="C12" s="284" t="n"/>
      <c r="D12" s="284" t="n"/>
      <c r="E12" s="1402" t="n"/>
      <c r="F12" s="1394" t="n"/>
      <c r="G12" s="1396" t="n"/>
      <c r="H12" s="1394" t="n"/>
      <c r="I12" s="1395" t="n"/>
      <c r="J12" s="1396" t="n"/>
    </row>
    <row r="13" ht="26.1" customFormat="1" customHeight="1" s="277">
      <c r="A13" s="1400" t="n"/>
      <c r="B13" s="1396" t="n"/>
      <c r="C13" s="284" t="n"/>
      <c r="D13" s="284" t="n"/>
      <c r="E13" s="1402" t="n"/>
      <c r="F13" s="1394" t="n"/>
      <c r="G13" s="1396" t="n"/>
      <c r="H13" s="1394" t="n"/>
      <c r="I13" s="1395" t="n"/>
      <c r="J13" s="1396" t="n"/>
    </row>
    <row r="14" ht="26.1" customFormat="1" customHeight="1" s="277">
      <c r="A14" s="1400" t="n"/>
      <c r="B14" s="1396" t="n"/>
      <c r="C14" s="284" t="n"/>
      <c r="D14" s="284" t="n"/>
      <c r="E14" s="1402" t="n"/>
      <c r="F14" s="1394" t="n"/>
      <c r="G14" s="1396" t="n"/>
      <c r="H14" s="1394" t="n"/>
      <c r="I14" s="1395" t="n"/>
      <c r="J14" s="1396" t="n"/>
    </row>
    <row r="15" ht="26.1" customFormat="1" customHeight="1" s="277">
      <c r="A15" s="1400" t="n"/>
      <c r="B15" s="1396" t="n"/>
      <c r="C15" s="284" t="n"/>
      <c r="D15" s="284" t="n"/>
      <c r="E15" s="1402" t="n"/>
      <c r="F15" s="1394" t="n"/>
      <c r="G15" s="1396" t="n"/>
      <c r="H15" s="1394" t="n"/>
      <c r="I15" s="1395" t="n"/>
      <c r="J15" s="1396" t="n"/>
    </row>
    <row r="16" ht="26.1" customFormat="1" customHeight="1" s="277">
      <c r="A16" s="1400" t="n"/>
      <c r="B16" s="1396" t="n"/>
      <c r="C16" s="284" t="n"/>
      <c r="D16" s="284" t="n"/>
      <c r="E16" s="1402" t="n"/>
      <c r="F16" s="1394" t="n"/>
      <c r="G16" s="1396" t="n"/>
      <c r="H16" s="1394" t="n"/>
      <c r="I16" s="1395" t="n"/>
      <c r="J16" s="1396" t="n"/>
    </row>
    <row r="17" ht="26.1" customFormat="1" customHeight="1" s="277">
      <c r="A17" s="1400" t="n"/>
      <c r="B17" s="1396" t="n"/>
      <c r="C17" s="284" t="n"/>
      <c r="D17" s="284" t="n"/>
      <c r="E17" s="1402" t="n"/>
      <c r="F17" s="1394" t="n"/>
      <c r="G17" s="1396" t="n"/>
      <c r="H17" s="1394" t="n"/>
      <c r="I17" s="1395" t="n"/>
      <c r="J17" s="1396" t="n"/>
    </row>
    <row r="18" ht="26.1" customFormat="1" customHeight="1" s="277">
      <c r="A18" s="1400" t="n"/>
      <c r="B18" s="1396" t="n"/>
      <c r="C18" s="284" t="n"/>
      <c r="D18" s="284" t="n"/>
      <c r="E18" s="1402" t="n"/>
      <c r="F18" s="1394" t="n"/>
      <c r="G18" s="1396" t="n"/>
      <c r="H18" s="1394" t="n"/>
      <c r="I18" s="1395" t="n"/>
      <c r="J18" s="1396" t="n"/>
    </row>
    <row r="19" ht="26.1" customFormat="1" customHeight="1" s="277">
      <c r="A19" s="1400" t="n"/>
      <c r="B19" s="1396" t="n"/>
      <c r="C19" s="284" t="n"/>
      <c r="D19" s="284" t="n"/>
      <c r="E19" s="1402" t="n"/>
      <c r="F19" s="1394" t="n"/>
      <c r="G19" s="1396" t="n"/>
      <c r="H19" s="1394" t="n"/>
      <c r="I19" s="1395" t="n"/>
      <c r="J19" s="1396" t="n"/>
    </row>
    <row r="20" ht="26.1" customFormat="1" customHeight="1" s="277">
      <c r="A20" s="1400" t="n"/>
      <c r="B20" s="1396" t="n"/>
      <c r="C20" s="284" t="n"/>
      <c r="D20" s="284" t="n"/>
      <c r="E20" s="1402" t="n"/>
      <c r="F20" s="1394" t="n"/>
      <c r="G20" s="1396" t="n"/>
      <c r="H20" s="1394" t="n"/>
      <c r="I20" s="1395" t="n"/>
      <c r="J20" s="1396" t="n"/>
    </row>
    <row r="21" ht="26.1" customFormat="1" customHeight="1" s="277">
      <c r="A21" s="1400" t="n"/>
      <c r="B21" s="1396" t="n"/>
      <c r="C21" s="284" t="n"/>
      <c r="D21" s="284" t="n"/>
      <c r="E21" s="1402" t="n"/>
      <c r="F21" s="1394" t="n"/>
      <c r="G21" s="1396" t="n"/>
      <c r="H21" s="1394" t="n"/>
      <c r="I21" s="1395" t="n"/>
      <c r="J21" s="1396" t="n"/>
    </row>
    <row r="22">
      <c r="A22" s="759" t="inlineStr">
        <is>
          <t>(1) Dirigeants = Président Directeur Général, Directeur Général, Administrateur Général, Gérant, Autres.</t>
        </is>
      </c>
      <c r="B22" s="256" t="n"/>
      <c r="C22" s="256" t="n"/>
      <c r="D22" s="256" t="n"/>
      <c r="E22" s="256" t="n"/>
      <c r="F22" s="256" t="n"/>
      <c r="G22" s="256" t="n"/>
      <c r="J22" s="1408" t="n"/>
    </row>
    <row r="23" ht="12" customFormat="1" customHeight="1" s="1680">
      <c r="A23" s="760" t="inlineStr">
        <is>
          <t>(2) En cas de double nationalité</t>
        </is>
      </c>
      <c r="J23" s="761" t="n"/>
    </row>
    <row r="24">
      <c r="A24" s="1407" t="inlineStr">
        <is>
          <t>MEMBRES DU CONSEIL D'ADMINISTRATION</t>
        </is>
      </c>
      <c r="J24" s="1408" t="n"/>
    </row>
    <row r="25" ht="12" customHeight="1" s="1225">
      <c r="A25" s="762" t="n"/>
      <c r="B25" s="256" t="n"/>
      <c r="C25" s="256" t="n"/>
      <c r="D25" s="256" t="n"/>
      <c r="E25" s="256" t="n"/>
      <c r="F25" s="256" t="n"/>
      <c r="G25" s="256" t="n"/>
      <c r="J25" s="1408" t="n"/>
    </row>
    <row r="26" ht="27.75" customHeight="1" s="1225">
      <c r="A26" s="1421" t="inlineStr">
        <is>
          <t>Nom et Prénoms</t>
        </is>
      </c>
      <c r="B26" s="1411" t="n"/>
      <c r="C26" s="1410" t="inlineStr">
        <is>
          <t>Structure représentée</t>
        </is>
      </c>
      <c r="D26" s="1411" t="n"/>
      <c r="E26" s="1423" t="inlineStr">
        <is>
          <t>Qualité</t>
        </is>
      </c>
      <c r="F26" s="1411" t="n"/>
      <c r="G26" s="1426" t="inlineStr">
        <is>
          <t>Adresse (BP, ville, pays, adresse
géographique et adresse email)</t>
        </is>
      </c>
      <c r="H26" s="1420" t="n"/>
      <c r="I26" s="1420" t="n"/>
      <c r="J26" s="1411" t="n"/>
    </row>
    <row r="27" ht="26.1" customFormat="1" customHeight="1" s="1590">
      <c r="A27" s="1401" t="n"/>
      <c r="B27" s="1396" t="n"/>
      <c r="C27" s="1404" t="n"/>
      <c r="D27" s="1396" t="n"/>
      <c r="E27" s="1404" t="n"/>
      <c r="F27" s="1396" t="n"/>
      <c r="G27" s="1398" t="n"/>
      <c r="H27" s="1395" t="n"/>
      <c r="I27" s="1395" t="n"/>
      <c r="J27" s="1399" t="n"/>
    </row>
    <row r="28" ht="26.1" customFormat="1" customHeight="1" s="1590">
      <c r="A28" s="1401" t="n"/>
      <c r="B28" s="1396" t="n"/>
      <c r="C28" s="1404" t="n"/>
      <c r="D28" s="1396" t="n"/>
      <c r="E28" s="1404" t="n"/>
      <c r="F28" s="1396" t="n"/>
      <c r="G28" s="1398" t="n"/>
      <c r="H28" s="1395" t="n"/>
      <c r="I28" s="1395" t="n"/>
      <c r="J28" s="1399" t="n"/>
    </row>
    <row r="29" ht="26.1" customFormat="1" customHeight="1" s="1590">
      <c r="A29" s="1401" t="n"/>
      <c r="B29" s="1396" t="n"/>
      <c r="C29" s="1404" t="n"/>
      <c r="D29" s="1396" t="n"/>
      <c r="E29" s="1222" t="n"/>
      <c r="F29" s="1223" t="n"/>
      <c r="G29" s="1398" t="n"/>
      <c r="H29" s="1395" t="n"/>
      <c r="I29" s="1395" t="n"/>
      <c r="J29" s="1399" t="n"/>
    </row>
    <row r="30" ht="26.1" customFormat="1" customHeight="1" s="1590">
      <c r="A30" s="1401" t="n"/>
      <c r="B30" s="1396" t="n"/>
      <c r="C30" s="1404" t="n"/>
      <c r="D30" s="1396" t="n"/>
      <c r="E30" s="1222" t="n"/>
      <c r="F30" s="1223" t="n"/>
      <c r="G30" s="1398" t="n"/>
      <c r="H30" s="1395" t="n"/>
      <c r="I30" s="1395" t="n"/>
      <c r="J30" s="1399" t="n"/>
    </row>
    <row r="31" ht="26.1" customFormat="1" customHeight="1" s="1590">
      <c r="A31" s="1401" t="n"/>
      <c r="B31" s="1396" t="n"/>
      <c r="C31" s="1404" t="n"/>
      <c r="D31" s="1396" t="n"/>
      <c r="E31" s="1222" t="n"/>
      <c r="F31" s="1223" t="n"/>
      <c r="G31" s="1398" t="n"/>
      <c r="H31" s="1395" t="n"/>
      <c r="I31" s="1395" t="n"/>
      <c r="J31" s="1399" t="n"/>
    </row>
    <row r="32" ht="26.1" customFormat="1" customHeight="1" s="1590">
      <c r="A32" s="1418" t="n"/>
      <c r="B32" s="1411" t="n"/>
      <c r="C32" s="1404" t="n"/>
      <c r="D32" s="1396" t="n"/>
      <c r="E32" s="1222" t="n"/>
      <c r="F32" s="1223" t="n"/>
      <c r="G32" s="1398" t="n"/>
      <c r="H32" s="1395" t="n"/>
      <c r="I32" s="1395" t="n"/>
      <c r="J32" s="1399" t="n"/>
    </row>
    <row r="33" ht="26.1" customFormat="1" customHeight="1" s="1590">
      <c r="A33" s="1400" t="n"/>
      <c r="B33" s="1396" t="n"/>
      <c r="C33" s="1402" t="n"/>
      <c r="D33" s="1396" t="n"/>
      <c r="E33" s="1403" t="n"/>
      <c r="F33" s="1396" t="n"/>
      <c r="G33" s="1412" t="n"/>
      <c r="H33" s="1395" t="n"/>
      <c r="I33" s="1395" t="n"/>
      <c r="J33" s="1399" t="n"/>
    </row>
    <row r="34" ht="26.1" customFormat="1" customHeight="1" s="1590">
      <c r="A34" s="1400" t="n"/>
      <c r="B34" s="1396" t="n"/>
      <c r="C34" s="1402" t="n"/>
      <c r="D34" s="1396" t="n"/>
      <c r="E34" s="1403" t="n"/>
      <c r="F34" s="1396" t="n"/>
      <c r="G34" s="1412" t="n"/>
      <c r="H34" s="1395" t="n"/>
      <c r="I34" s="1395" t="n"/>
      <c r="J34" s="1399" t="n"/>
    </row>
    <row r="35" ht="26.1" customFormat="1" customHeight="1" s="1590">
      <c r="A35" s="1400" t="n"/>
      <c r="B35" s="1396" t="n"/>
      <c r="C35" s="1402" t="n"/>
      <c r="D35" s="1396" t="n"/>
      <c r="E35" s="1403" t="n"/>
      <c r="F35" s="1396" t="n"/>
      <c r="G35" s="1412" t="n"/>
      <c r="H35" s="1395" t="n"/>
      <c r="I35" s="1395" t="n"/>
      <c r="J35" s="1399" t="n"/>
    </row>
    <row r="36" ht="26.1" customFormat="1" customHeight="1" s="1590" thickBot="1">
      <c r="A36" s="1415" t="n"/>
      <c r="B36" s="1416" t="n"/>
      <c r="C36" s="1427" t="n"/>
      <c r="D36" s="1416" t="n"/>
      <c r="E36" s="1428" t="n"/>
      <c r="F36" s="1416" t="n"/>
      <c r="G36" s="1388" t="n"/>
      <c r="H36" s="1389" t="n"/>
      <c r="I36" s="1389" t="n"/>
      <c r="J36" s="1390" t="n"/>
    </row>
  </sheetData>
  <mergeCells count="88">
    <mergeCell ref="C6:D6"/>
    <mergeCell ref="A15:B15"/>
    <mergeCell ref="F16:G16"/>
    <mergeCell ref="H17:J17"/>
    <mergeCell ref="H11:J11"/>
    <mergeCell ref="G32:J32"/>
    <mergeCell ref="F15:G15"/>
    <mergeCell ref="H19:J19"/>
    <mergeCell ref="A27:B27"/>
    <mergeCell ref="E34:F34"/>
    <mergeCell ref="A33:B33"/>
    <mergeCell ref="C27:D27"/>
    <mergeCell ref="E27:F27"/>
    <mergeCell ref="C36:D36"/>
    <mergeCell ref="E36:F36"/>
    <mergeCell ref="F13:G13"/>
    <mergeCell ref="A17:B17"/>
    <mergeCell ref="A35:B35"/>
    <mergeCell ref="A19:B19"/>
    <mergeCell ref="G34:J34"/>
    <mergeCell ref="A28:B28"/>
    <mergeCell ref="C28:D28"/>
    <mergeCell ref="H21:J21"/>
    <mergeCell ref="A30:B30"/>
    <mergeCell ref="C30:D30"/>
    <mergeCell ref="F10:G10"/>
    <mergeCell ref="A11:B11"/>
    <mergeCell ref="F19:G19"/>
    <mergeCell ref="C5:D5"/>
    <mergeCell ref="G29:J29"/>
    <mergeCell ref="H16:J16"/>
    <mergeCell ref="G31:J31"/>
    <mergeCell ref="F5:G5"/>
    <mergeCell ref="F20:G20"/>
    <mergeCell ref="F18:G18"/>
    <mergeCell ref="A24:J24"/>
    <mergeCell ref="F17:G17"/>
    <mergeCell ref="A26:B26"/>
    <mergeCell ref="A7:J7"/>
    <mergeCell ref="E26:F26"/>
    <mergeCell ref="H20:J20"/>
    <mergeCell ref="A10:B10"/>
    <mergeCell ref="H5:I5"/>
    <mergeCell ref="G33:J33"/>
    <mergeCell ref="A34:B34"/>
    <mergeCell ref="C34:D34"/>
    <mergeCell ref="G26:J26"/>
    <mergeCell ref="G35:J35"/>
    <mergeCell ref="I2:J2"/>
    <mergeCell ref="A36:B36"/>
    <mergeCell ref="F21:G21"/>
    <mergeCell ref="C29:D29"/>
    <mergeCell ref="H13:J13"/>
    <mergeCell ref="C31:D31"/>
    <mergeCell ref="A12:B12"/>
    <mergeCell ref="H15:J15"/>
    <mergeCell ref="A21:B21"/>
    <mergeCell ref="H18:J18"/>
    <mergeCell ref="A32:B32"/>
    <mergeCell ref="A14:B14"/>
    <mergeCell ref="H10:J10"/>
    <mergeCell ref="C32:D32"/>
    <mergeCell ref="F14:G14"/>
    <mergeCell ref="C3:J3"/>
    <mergeCell ref="F11:G11"/>
    <mergeCell ref="A8:J8"/>
    <mergeCell ref="C33:D33"/>
    <mergeCell ref="E33:F33"/>
    <mergeCell ref="H4:I4"/>
    <mergeCell ref="C26:D26"/>
    <mergeCell ref="C35:D35"/>
    <mergeCell ref="E35:F35"/>
    <mergeCell ref="F12:G12"/>
    <mergeCell ref="A16:B16"/>
    <mergeCell ref="E28:F28"/>
    <mergeCell ref="H12:J12"/>
    <mergeCell ref="A18:B18"/>
    <mergeCell ref="G27:J27"/>
    <mergeCell ref="G36:J36"/>
    <mergeCell ref="A1:J1"/>
    <mergeCell ref="H14:J14"/>
    <mergeCell ref="B4:G4"/>
    <mergeCell ref="G28:J28"/>
    <mergeCell ref="A20:B20"/>
    <mergeCell ref="A29:B29"/>
    <mergeCell ref="A13:B13"/>
    <mergeCell ref="G30:J30"/>
    <mergeCell ref="A31:B31"/>
  </mergeCells>
  <printOptions horizontalCentered="1"/>
  <pageMargins left="0.1968503937007874" right="0.1968503937007874" top="0.3543307086614174" bottom="0.3543307086614174" header="0.1181102362204725" footer="0.1181102362204725"/>
  <pageSetup orientation="portrait" paperSize="9" scale="90"/>
</worksheet>
</file>

<file path=xl/worksheets/sheet10.xml><?xml version="1.0" encoding="utf-8"?>
<worksheet xmlns="http://schemas.openxmlformats.org/spreadsheetml/2006/main">
  <sheetPr codeName="Feuil14">
    <tabColor theme="4" tint="0.5999938962981048"/>
    <outlinePr summaryBelow="1" summaryRight="1"/>
    <pageSetUpPr/>
  </sheetPr>
  <dimension ref="A1:J65"/>
  <sheetViews>
    <sheetView showGridLines="0" zoomScaleNormal="100" workbookViewId="0">
      <selection activeCell="N11" sqref="N11"/>
    </sheetView>
  </sheetViews>
  <sheetFormatPr baseColWidth="10" defaultRowHeight="15"/>
  <cols>
    <col width="19" customWidth="1" style="1225" min="2" max="2"/>
    <col width="10.140625" customWidth="1" style="1225" min="3" max="3"/>
    <col width="6.28515625" customWidth="1" style="1225" min="4" max="4"/>
    <col width="17" customWidth="1" style="1225" min="5" max="5"/>
    <col width="9.5703125" customWidth="1" style="1225" min="6" max="6"/>
    <col width="2.140625" customWidth="1" style="1225" min="7" max="7"/>
    <col width="17" customWidth="1" style="1225" min="8" max="8"/>
    <col width="6.85546875" customWidth="1" style="1225" min="9" max="9"/>
    <col width="8.42578125" customWidth="1" style="1225" min="10" max="10"/>
  </cols>
  <sheetData>
    <row r="1">
      <c r="A1" s="1429" t="n"/>
    </row>
    <row r="2" ht="22.5" customHeight="1" s="1225">
      <c r="A2" s="1448" t="n"/>
      <c r="B2" s="1448" t="n"/>
      <c r="C2" s="1448" t="n"/>
      <c r="D2" s="1458" t="n"/>
      <c r="E2" s="1458" t="n"/>
      <c r="F2" s="1458" t="n"/>
      <c r="G2" s="1425" t="n"/>
      <c r="H2" s="1425" t="n"/>
      <c r="I2" s="1438" t="inlineStr">
        <is>
          <t>FICHE R4</t>
        </is>
      </c>
      <c r="J2" s="1411" t="n"/>
    </row>
    <row r="3">
      <c r="A3" s="1458" t="inlineStr">
        <is>
          <t>Dénomination sociale de l'entité :</t>
        </is>
      </c>
      <c r="B3" s="1458" t="n"/>
      <c r="C3" s="1437">
        <f>GARDE!D22</f>
        <v/>
      </c>
      <c r="D3" s="1288" t="n"/>
      <c r="E3" s="1288" t="n"/>
      <c r="F3" s="1288" t="n"/>
      <c r="G3" s="1288" t="n"/>
      <c r="H3" s="1288" t="n"/>
      <c r="I3" s="1288" t="n"/>
      <c r="J3" s="1288" t="n"/>
    </row>
    <row r="4">
      <c r="A4" s="1458" t="inlineStr">
        <is>
          <t>Adresse :</t>
        </is>
      </c>
      <c r="B4" s="1432" t="n"/>
      <c r="C4" s="1277" t="n"/>
      <c r="D4" s="1277" t="n"/>
      <c r="E4" s="1277" t="n"/>
      <c r="F4" s="1277" t="n"/>
      <c r="G4" s="1277" t="n"/>
      <c r="H4" s="439" t="inlineStr">
        <is>
          <t>Sigle usuel :</t>
        </is>
      </c>
      <c r="I4" s="1440">
        <f>GARDE!C26</f>
        <v/>
      </c>
      <c r="J4" s="1441" t="n"/>
    </row>
    <row r="5">
      <c r="A5" s="1451" t="inlineStr">
        <is>
          <t>N° IFU du contribuable :</t>
        </is>
      </c>
      <c r="B5" s="1458" t="n"/>
      <c r="C5" s="1432" t="n"/>
      <c r="D5" s="1277" t="n"/>
      <c r="E5" s="1425" t="inlineStr">
        <is>
          <t>Exercice clos le :</t>
        </is>
      </c>
      <c r="F5" s="1439" t="n"/>
      <c r="G5" s="1277" t="n"/>
      <c r="H5" s="1425" t="inlineStr">
        <is>
          <t>Durée (en mois) :</t>
        </is>
      </c>
      <c r="I5" s="1433">
        <f>TFT!J5</f>
        <v/>
      </c>
      <c r="J5" s="1434" t="n"/>
    </row>
    <row r="6">
      <c r="A6" s="1451" t="inlineStr">
        <is>
          <t xml:space="preserve">N° de télédéclarant (NES): </t>
        </is>
      </c>
      <c r="B6" s="1458" t="n"/>
      <c r="C6" s="1437">
        <f>GARDE!D31</f>
        <v/>
      </c>
      <c r="D6" s="1288" t="n"/>
      <c r="E6" s="1288" t="n"/>
      <c r="F6" s="362" t="n"/>
      <c r="G6" s="362" t="n"/>
      <c r="H6" s="361" t="n"/>
      <c r="I6" s="363" t="n"/>
      <c r="J6" s="363" t="n"/>
    </row>
    <row r="7" ht="22.5" customHeight="1" s="1225">
      <c r="A7" s="1341" t="inlineStr">
        <is>
          <t>FICHE R4  : FICHE RECAPITULATIVE DES NOTES ANNEXES PRESENTEES (1)</t>
        </is>
      </c>
    </row>
    <row r="8" ht="18.75" customHeight="1" s="1225">
      <c r="A8" s="286" t="inlineStr">
        <is>
          <t>NOTES</t>
        </is>
      </c>
      <c r="B8" s="1423" t="inlineStr">
        <is>
          <t>INTITULES</t>
        </is>
      </c>
      <c r="C8" s="1420" t="n"/>
      <c r="D8" s="1420" t="n"/>
      <c r="E8" s="1420" t="n"/>
      <c r="F8" s="1420" t="n"/>
      <c r="G8" s="1420" t="n"/>
      <c r="H8" s="1411" t="n"/>
      <c r="I8" s="287" t="inlineStr">
        <is>
          <t>A</t>
        </is>
      </c>
      <c r="J8" s="1423" t="inlineStr">
        <is>
          <t>N/A</t>
        </is>
      </c>
    </row>
    <row r="9" ht="12.75" customFormat="1" customHeight="1" s="4">
      <c r="A9" s="318" t="inlineStr">
        <is>
          <t>NOTE 1</t>
        </is>
      </c>
      <c r="B9" s="1430" t="inlineStr">
        <is>
          <t>DETTES GARANTIES PAR DES SURETES REELLES ET LES ENGAGEMENTS FINANCIERS</t>
        </is>
      </c>
      <c r="C9" s="1420" t="n"/>
      <c r="D9" s="1420" t="n"/>
      <c r="E9" s="1420" t="n"/>
      <c r="F9" s="1420" t="n"/>
      <c r="G9" s="1420" t="n"/>
      <c r="H9" s="1411" t="n"/>
      <c r="I9" s="1206" t="n"/>
      <c r="J9" s="1206" t="n"/>
    </row>
    <row r="10" ht="12.75" customFormat="1" customHeight="1" s="4">
      <c r="A10" s="318" t="inlineStr">
        <is>
          <t>NOTE 2</t>
        </is>
      </c>
      <c r="B10" s="1430" t="inlineStr">
        <is>
          <t>INFORMATIONS OBLIGATOIRES</t>
        </is>
      </c>
      <c r="C10" s="1420" t="n"/>
      <c r="D10" s="1420" t="n"/>
      <c r="E10" s="1420" t="n"/>
      <c r="F10" s="1420" t="n"/>
      <c r="G10" s="1420" t="n"/>
      <c r="H10" s="1411" t="n"/>
      <c r="I10" s="1206" t="n"/>
      <c r="J10" s="1206" t="n"/>
    </row>
    <row r="11" ht="12.75" customFormat="1" customHeight="1" s="4">
      <c r="A11" s="318" t="inlineStr">
        <is>
          <t>NOTE 3A</t>
        </is>
      </c>
      <c r="B11" s="1430" t="inlineStr">
        <is>
          <t>IMMOBILISATIONS BRUTES</t>
        </is>
      </c>
      <c r="C11" s="1420" t="n"/>
      <c r="D11" s="1420" t="n"/>
      <c r="E11" s="1420" t="n"/>
      <c r="F11" s="1420" t="n"/>
      <c r="G11" s="1420" t="n"/>
      <c r="H11" s="1411" t="n"/>
      <c r="I11" s="1206" t="n"/>
      <c r="J11" s="1206" t="n"/>
    </row>
    <row r="12" ht="12.75" customFormat="1" customHeight="1" s="4">
      <c r="A12" s="318" t="inlineStr">
        <is>
          <t>NOTE 3B</t>
        </is>
      </c>
      <c r="B12" s="1430" t="inlineStr">
        <is>
          <t>BIENS PRIS EN LOCATION-ACQUISITION</t>
        </is>
      </c>
      <c r="C12" s="1420" t="n"/>
      <c r="D12" s="1420" t="n"/>
      <c r="E12" s="1420" t="n"/>
      <c r="F12" s="1420" t="n"/>
      <c r="G12" s="1420" t="n"/>
      <c r="H12" s="1411" t="n"/>
      <c r="I12" s="1206" t="n"/>
      <c r="J12" s="1206" t="n"/>
    </row>
    <row r="13" ht="12.75" customFormat="1" customHeight="1" s="4">
      <c r="A13" s="318" t="inlineStr">
        <is>
          <t>NOTE 3C</t>
        </is>
      </c>
      <c r="B13" s="1430" t="inlineStr">
        <is>
          <t>IMMOBILISATIONS : AMORTISSEMENTS</t>
        </is>
      </c>
      <c r="C13" s="1420" t="n"/>
      <c r="D13" s="1420" t="n"/>
      <c r="E13" s="1420" t="n"/>
      <c r="F13" s="1420" t="n"/>
      <c r="G13" s="1420" t="n"/>
      <c r="H13" s="1411" t="n"/>
      <c r="I13" s="1206" t="n"/>
      <c r="J13" s="1206" t="n"/>
    </row>
    <row r="14" ht="12.75" customFormat="1" customHeight="1" s="4">
      <c r="A14" s="318" t="inlineStr">
        <is>
          <t>NOTE 3C bis</t>
        </is>
      </c>
      <c r="B14" s="1430" t="inlineStr">
        <is>
          <t>IMMOBILISATIONS : DEPRECIATIONS</t>
        </is>
      </c>
      <c r="C14" s="1420" t="n"/>
      <c r="D14" s="1420" t="n"/>
      <c r="E14" s="1420" t="n"/>
      <c r="F14" s="1420" t="n"/>
      <c r="G14" s="1420" t="n"/>
      <c r="H14" s="1411" t="n"/>
      <c r="I14" s="1206" t="n"/>
      <c r="J14" s="1206" t="n"/>
    </row>
    <row r="15" ht="12.75" customFormat="1" customHeight="1" s="4">
      <c r="A15" s="318" t="inlineStr">
        <is>
          <t>NOTE 3D</t>
        </is>
      </c>
      <c r="B15" s="1430" t="inlineStr">
        <is>
          <t>IMMOBILISATIONS : PLUS-VALUES ET MOINS VALUE DE CESSION</t>
        </is>
      </c>
      <c r="C15" s="1420" t="n"/>
      <c r="D15" s="1420" t="n"/>
      <c r="E15" s="1420" t="n"/>
      <c r="F15" s="1420" t="n"/>
      <c r="G15" s="1420" t="n"/>
      <c r="H15" s="1411" t="n"/>
      <c r="I15" s="1206" t="n"/>
      <c r="J15" s="1206" t="n"/>
    </row>
    <row r="16" ht="12.75" customFormat="1" customHeight="1" s="4">
      <c r="A16" s="318" t="inlineStr">
        <is>
          <t>NOTE 3E</t>
        </is>
      </c>
      <c r="B16" s="1430" t="inlineStr">
        <is>
          <t>INFORMATIONS SUR LES REEVALUATIONS EFFECTUEES PAR L'ENTITE</t>
        </is>
      </c>
      <c r="C16" s="1420" t="n"/>
      <c r="D16" s="1420" t="n"/>
      <c r="E16" s="1420" t="n"/>
      <c r="F16" s="1420" t="n"/>
      <c r="G16" s="1420" t="n"/>
      <c r="H16" s="1411" t="n"/>
      <c r="I16" s="1206" t="n"/>
      <c r="J16" s="1206" t="n"/>
    </row>
    <row r="17" ht="12.75" customFormat="1" customHeight="1" s="4">
      <c r="A17" s="318" t="inlineStr">
        <is>
          <t>NOTE 4</t>
        </is>
      </c>
      <c r="B17" s="1430" t="inlineStr">
        <is>
          <t>IMMOBILISATIONS FINANCIERES</t>
        </is>
      </c>
      <c r="C17" s="1420" t="n"/>
      <c r="D17" s="1420" t="n"/>
      <c r="E17" s="1420" t="n"/>
      <c r="F17" s="1420" t="n"/>
      <c r="G17" s="1420" t="n"/>
      <c r="H17" s="1411" t="n"/>
      <c r="I17" s="1206" t="n"/>
      <c r="J17" s="1206" t="n"/>
    </row>
    <row r="18" ht="12.75" customFormat="1" customHeight="1" s="4">
      <c r="A18" s="318" t="inlineStr">
        <is>
          <t>NOTE 5</t>
        </is>
      </c>
      <c r="B18" s="1430" t="inlineStr">
        <is>
          <t>ACTIF CIRCULANT  ET DETTES CIRCULANTES HAO</t>
        </is>
      </c>
      <c r="C18" s="1420" t="n"/>
      <c r="D18" s="1420" t="n"/>
      <c r="E18" s="1420" t="n"/>
      <c r="F18" s="1420" t="n"/>
      <c r="G18" s="1420" t="n"/>
      <c r="H18" s="1411" t="n"/>
      <c r="I18" s="1206" t="n"/>
      <c r="J18" s="1206" t="n"/>
    </row>
    <row r="19" ht="12.75" customFormat="1" customHeight="1" s="4">
      <c r="A19" s="318" t="inlineStr">
        <is>
          <t>NOTE 6</t>
        </is>
      </c>
      <c r="B19" s="1430" t="inlineStr">
        <is>
          <t>STOCKS ET ENCOURS</t>
        </is>
      </c>
      <c r="C19" s="1420" t="n"/>
      <c r="D19" s="1420" t="n"/>
      <c r="E19" s="1420" t="n"/>
      <c r="F19" s="1420" t="n"/>
      <c r="G19" s="1420" t="n"/>
      <c r="H19" s="1411" t="n"/>
      <c r="I19" s="1206" t="n"/>
      <c r="J19" s="1206" t="n"/>
    </row>
    <row r="20" ht="12.75" customFormat="1" customHeight="1" s="4">
      <c r="A20" s="318" t="inlineStr">
        <is>
          <t>NOTE 7</t>
        </is>
      </c>
      <c r="B20" s="1430" t="inlineStr">
        <is>
          <t>CLIENTS</t>
        </is>
      </c>
      <c r="C20" s="1420" t="n"/>
      <c r="D20" s="1420" t="n"/>
      <c r="E20" s="1420" t="n"/>
      <c r="F20" s="1420" t="n"/>
      <c r="G20" s="1420" t="n"/>
      <c r="H20" s="1411" t="n"/>
      <c r="I20" s="1206" t="n"/>
      <c r="J20" s="1206" t="n"/>
    </row>
    <row r="21" ht="12.75" customFormat="1" customHeight="1" s="4">
      <c r="A21" s="318" t="inlineStr">
        <is>
          <t>NOTE 8</t>
        </is>
      </c>
      <c r="B21" s="1430" t="inlineStr">
        <is>
          <t>AUTRES CREANCES</t>
        </is>
      </c>
      <c r="C21" s="1420" t="n"/>
      <c r="D21" s="1420" t="n"/>
      <c r="E21" s="1420" t="n"/>
      <c r="F21" s="1420" t="n"/>
      <c r="G21" s="1420" t="n"/>
      <c r="H21" s="1411" t="n"/>
      <c r="I21" s="1206" t="n"/>
      <c r="J21" s="1206" t="n"/>
    </row>
    <row r="22" ht="12.75" customFormat="1" customHeight="1" s="4">
      <c r="A22" s="318" t="inlineStr">
        <is>
          <t>NOTE 8A</t>
        </is>
      </c>
      <c r="B22" s="1430" t="inlineStr">
        <is>
          <t>TABLEAU D’ETALEMENT DES CHARGES IMMOBILISEES</t>
        </is>
      </c>
      <c r="C22" s="1420" t="n"/>
      <c r="D22" s="1420" t="n"/>
      <c r="E22" s="1420" t="n"/>
      <c r="F22" s="1420" t="n"/>
      <c r="G22" s="1420" t="n"/>
      <c r="H22" s="1411" t="n"/>
      <c r="I22" s="1206" t="n"/>
      <c r="J22" s="1206" t="n"/>
    </row>
    <row r="23" ht="12.75" customFormat="1" customHeight="1" s="4">
      <c r="A23" s="318" t="inlineStr">
        <is>
          <t>NOTE 8B</t>
        </is>
      </c>
      <c r="B23" s="1430" t="inlineStr">
        <is>
          <t>TABLEAU D’ETALEMENT DES PROVISIONS POUR CHARGES A REPARTIR</t>
        </is>
      </c>
      <c r="C23" s="1420" t="n"/>
      <c r="D23" s="1420" t="n"/>
      <c r="E23" s="1420" t="n"/>
      <c r="F23" s="1420" t="n"/>
      <c r="G23" s="1420" t="n"/>
      <c r="H23" s="1411" t="n"/>
      <c r="I23" s="1206" t="n"/>
      <c r="J23" s="1206" t="n"/>
    </row>
    <row r="24" ht="12.75" customFormat="1" customHeight="1" s="4">
      <c r="A24" s="318" t="inlineStr">
        <is>
          <t>NOTE 8C</t>
        </is>
      </c>
      <c r="B24" s="319" t="inlineStr">
        <is>
          <t>TABLEAU D'ETALEMENT DES PROVISIONS POUR ENGAGEMENT DE RETRAITE</t>
        </is>
      </c>
      <c r="C24" s="320" t="n"/>
      <c r="D24" s="320" t="n"/>
      <c r="E24" s="320" t="n"/>
      <c r="F24" s="320" t="n"/>
      <c r="G24" s="320" t="n"/>
      <c r="H24" s="321" t="n"/>
      <c r="I24" s="1206" t="n"/>
      <c r="J24" s="1206" t="n"/>
    </row>
    <row r="25" ht="12.75" customFormat="1" customHeight="1" s="4">
      <c r="A25" s="318" t="inlineStr">
        <is>
          <t>NOTE 9</t>
        </is>
      </c>
      <c r="B25" s="1430" t="inlineStr">
        <is>
          <t>TITRES DE PLACEMENT</t>
        </is>
      </c>
      <c r="C25" s="1420" t="n"/>
      <c r="D25" s="1420" t="n"/>
      <c r="E25" s="1420" t="n"/>
      <c r="F25" s="1420" t="n"/>
      <c r="G25" s="1420" t="n"/>
      <c r="H25" s="1411" t="n"/>
      <c r="I25" s="1206" t="n"/>
      <c r="J25" s="1206" t="n"/>
    </row>
    <row r="26" ht="12.75" customFormat="1" customHeight="1" s="4">
      <c r="A26" s="318" t="inlineStr">
        <is>
          <t>NOTE 10</t>
        </is>
      </c>
      <c r="B26" s="1430" t="inlineStr">
        <is>
          <t>VALEURS A ENCAISSER</t>
        </is>
      </c>
      <c r="C26" s="1420" t="n"/>
      <c r="D26" s="1420" t="n"/>
      <c r="E26" s="1420" t="n"/>
      <c r="F26" s="1420" t="n"/>
      <c r="G26" s="1420" t="n"/>
      <c r="H26" s="1411" t="n"/>
      <c r="I26" s="1206" t="n"/>
      <c r="J26" s="1206" t="n"/>
    </row>
    <row r="27" ht="12.75" customFormat="1" customHeight="1" s="4">
      <c r="A27" s="318" t="inlineStr">
        <is>
          <t>NOTE 11</t>
        </is>
      </c>
      <c r="B27" s="1430" t="inlineStr">
        <is>
          <t>DISPONIBILITES</t>
        </is>
      </c>
      <c r="C27" s="1420" t="n"/>
      <c r="D27" s="1420" t="n"/>
      <c r="E27" s="1420" t="n"/>
      <c r="F27" s="1420" t="n"/>
      <c r="G27" s="1420" t="n"/>
      <c r="H27" s="1411" t="n"/>
      <c r="I27" s="1206" t="n"/>
      <c r="J27" s="1206" t="n"/>
    </row>
    <row r="28" ht="12.75" customFormat="1" customHeight="1" s="4">
      <c r="A28" s="318" t="inlineStr">
        <is>
          <t>NOTE 12</t>
        </is>
      </c>
      <c r="B28" s="1430" t="inlineStr">
        <is>
          <t>ECARTS DE CONVERSION ET TRANSFERT DE CHARGES</t>
        </is>
      </c>
      <c r="C28" s="1420" t="n"/>
      <c r="D28" s="1420" t="n"/>
      <c r="E28" s="1420" t="n"/>
      <c r="F28" s="1420" t="n"/>
      <c r="G28" s="1420" t="n"/>
      <c r="H28" s="1411" t="n"/>
      <c r="I28" s="1206" t="n"/>
      <c r="J28" s="1206" t="n"/>
    </row>
    <row r="29" ht="12.75" customFormat="1" customHeight="1" s="4">
      <c r="A29" s="318" t="inlineStr">
        <is>
          <t>NOTE 13</t>
        </is>
      </c>
      <c r="B29" s="1430" t="inlineStr">
        <is>
          <t>CAPITAL : VALEUR NOMINALE DES ACTIONS OU PARTS</t>
        </is>
      </c>
      <c r="C29" s="1420" t="n"/>
      <c r="D29" s="1420" t="n"/>
      <c r="E29" s="1420" t="n"/>
      <c r="F29" s="1420" t="n"/>
      <c r="G29" s="1420" t="n"/>
      <c r="H29" s="1411" t="n"/>
      <c r="I29" s="1206" t="n"/>
      <c r="J29" s="1206" t="n"/>
    </row>
    <row r="30" ht="12.75" customFormat="1" customHeight="1" s="4">
      <c r="A30" s="318" t="inlineStr">
        <is>
          <t>NOTE 14</t>
        </is>
      </c>
      <c r="B30" s="1430" t="inlineStr">
        <is>
          <t>PRIMES ET RESERVES</t>
        </is>
      </c>
      <c r="C30" s="1420" t="n"/>
      <c r="D30" s="1420" t="n"/>
      <c r="E30" s="1420" t="n"/>
      <c r="F30" s="1420" t="n"/>
      <c r="G30" s="1420" t="n"/>
      <c r="H30" s="1411" t="n"/>
      <c r="I30" s="1206" t="n"/>
      <c r="J30" s="1206" t="n"/>
    </row>
    <row r="31" ht="12.75" customFormat="1" customHeight="1" s="4">
      <c r="A31" s="318" t="inlineStr">
        <is>
          <t>NOTE 15A</t>
        </is>
      </c>
      <c r="B31" s="1430" t="inlineStr">
        <is>
          <t>SUBVENTIONS ET PROVISIONS REGLEMENTEES</t>
        </is>
      </c>
      <c r="C31" s="1420" t="n"/>
      <c r="D31" s="1420" t="n"/>
      <c r="E31" s="1420" t="n"/>
      <c r="F31" s="1420" t="n"/>
      <c r="G31" s="1420" t="n"/>
      <c r="H31" s="1411" t="n"/>
      <c r="I31" s="1206" t="n"/>
      <c r="J31" s="1206" t="n"/>
    </row>
    <row r="32" ht="12.75" customFormat="1" customHeight="1" s="4">
      <c r="A32" s="318" t="inlineStr">
        <is>
          <t>NOTE 15B</t>
        </is>
      </c>
      <c r="B32" s="1430" t="inlineStr">
        <is>
          <t>AUTRES FONDS PROPRES</t>
        </is>
      </c>
      <c r="C32" s="1420" t="n"/>
      <c r="D32" s="1420" t="n"/>
      <c r="E32" s="1420" t="n"/>
      <c r="F32" s="1420" t="n"/>
      <c r="G32" s="1420" t="n"/>
      <c r="H32" s="1411" t="n"/>
      <c r="I32" s="1206" t="n"/>
      <c r="J32" s="1206" t="n"/>
    </row>
    <row r="33" ht="12.75" customFormat="1" customHeight="1" s="4">
      <c r="A33" s="318" t="inlineStr">
        <is>
          <t>NOTE 16A</t>
        </is>
      </c>
      <c r="B33" s="1430" t="inlineStr">
        <is>
          <t>DETTES FINANCIERES ET RESSOURCES ASSIMILEES</t>
        </is>
      </c>
      <c r="C33" s="1420" t="n"/>
      <c r="D33" s="1420" t="n"/>
      <c r="E33" s="1420" t="n"/>
      <c r="F33" s="1420" t="n"/>
      <c r="G33" s="1420" t="n"/>
      <c r="H33" s="1411" t="n"/>
      <c r="I33" s="1206" t="n"/>
      <c r="J33" s="1206" t="n"/>
    </row>
    <row r="34" ht="12.75" customFormat="1" customHeight="1" s="4">
      <c r="A34" s="318" t="inlineStr">
        <is>
          <t>NOTE 16B</t>
        </is>
      </c>
      <c r="B34" s="1430" t="inlineStr">
        <is>
          <t>ENGAGEMENTS DE RETRAITE ET AVANTAGES ASSIMILES : (METHODE ACTUARIELLE)</t>
        </is>
      </c>
      <c r="C34" s="1420" t="n"/>
      <c r="D34" s="1420" t="n"/>
      <c r="E34" s="1420" t="n"/>
      <c r="F34" s="1420" t="n"/>
      <c r="G34" s="1420" t="n"/>
      <c r="H34" s="1411" t="n"/>
      <c r="I34" s="1206" t="n"/>
      <c r="J34" s="1206" t="n"/>
    </row>
    <row r="35" ht="12.75" customFormat="1" customHeight="1" s="4">
      <c r="A35" s="318" t="inlineStr">
        <is>
          <t>NOTE 16B bis</t>
        </is>
      </c>
      <c r="B35" s="1430" t="inlineStr">
        <is>
          <t>ENGAGEMENTS DE RETRAITE ET AVANTAGES ASSIMILES : (METHODE ACTUARIELLE SUITE)</t>
        </is>
      </c>
      <c r="C35" s="1420" t="n"/>
      <c r="D35" s="1420" t="n"/>
      <c r="E35" s="1420" t="n"/>
      <c r="F35" s="1420" t="n"/>
      <c r="G35" s="1420" t="n"/>
      <c r="H35" s="1411" t="n"/>
      <c r="I35" s="1206" t="n"/>
      <c r="J35" s="1206" t="n"/>
    </row>
    <row r="36" ht="12.75" customFormat="1" customHeight="1" s="4">
      <c r="A36" s="318" t="inlineStr">
        <is>
          <t>NOTE 16C</t>
        </is>
      </c>
      <c r="B36" s="1430" t="inlineStr">
        <is>
          <t>ACTIFS ET PASSIFS EVENTUELS</t>
        </is>
      </c>
      <c r="C36" s="1420" t="n"/>
      <c r="D36" s="1420" t="n"/>
      <c r="E36" s="1420" t="n"/>
      <c r="F36" s="1420" t="n"/>
      <c r="G36" s="1420" t="n"/>
      <c r="H36" s="1411" t="n"/>
      <c r="I36" s="1206" t="n"/>
      <c r="J36" s="1206" t="n"/>
    </row>
    <row r="37" ht="12.75" customFormat="1" customHeight="1" s="4">
      <c r="A37" s="318" t="inlineStr">
        <is>
          <t>NOTE 17</t>
        </is>
      </c>
      <c r="B37" s="1430" t="inlineStr">
        <is>
          <t>FOURNISSEURS D'EXPLOITATION</t>
        </is>
      </c>
      <c r="C37" s="1420" t="n"/>
      <c r="D37" s="1420" t="n"/>
      <c r="E37" s="1420" t="n"/>
      <c r="F37" s="1420" t="n"/>
      <c r="G37" s="1420" t="n"/>
      <c r="H37" s="1411" t="n"/>
      <c r="I37" s="1206" t="n"/>
      <c r="J37" s="1206" t="n"/>
    </row>
    <row r="38" ht="12.75" customFormat="1" customHeight="1" s="4">
      <c r="A38" s="318" t="inlineStr">
        <is>
          <t>NOTE 18</t>
        </is>
      </c>
      <c r="B38" s="1430" t="inlineStr">
        <is>
          <t>DETTES  FISCALES ET SOCIALES</t>
        </is>
      </c>
      <c r="C38" s="1420" t="n"/>
      <c r="D38" s="1420" t="n"/>
      <c r="E38" s="1420" t="n"/>
      <c r="F38" s="1420" t="n"/>
      <c r="G38" s="1420" t="n"/>
      <c r="H38" s="1411" t="n"/>
      <c r="I38" s="1206" t="n"/>
      <c r="J38" s="1206" t="n"/>
    </row>
    <row r="39" ht="12.75" customFormat="1" customHeight="1" s="4">
      <c r="A39" s="318" t="inlineStr">
        <is>
          <t>NOTE 19</t>
        </is>
      </c>
      <c r="B39" s="1430" t="inlineStr">
        <is>
          <t>AUTRES DETTES ET PROVISIONS POUR RISQUES A COURT TERME</t>
        </is>
      </c>
      <c r="C39" s="1420" t="n"/>
      <c r="D39" s="1420" t="n"/>
      <c r="E39" s="1420" t="n"/>
      <c r="F39" s="1420" t="n"/>
      <c r="G39" s="1420" t="n"/>
      <c r="H39" s="1411" t="n"/>
      <c r="I39" s="1206" t="n"/>
      <c r="J39" s="1206" t="n"/>
    </row>
    <row r="40" ht="12.75" customFormat="1" customHeight="1" s="4">
      <c r="A40" s="318" t="inlineStr">
        <is>
          <t>NOTE 20</t>
        </is>
      </c>
      <c r="B40" s="1430" t="inlineStr">
        <is>
          <t>BANQUES, CREDIT D'ESCOMPTE ET DE TRESORERIE</t>
        </is>
      </c>
      <c r="C40" s="1420" t="n"/>
      <c r="D40" s="1420" t="n"/>
      <c r="E40" s="1420" t="n"/>
      <c r="F40" s="1420" t="n"/>
      <c r="G40" s="1420" t="n"/>
      <c r="H40" s="1411" t="n"/>
      <c r="I40" s="1206" t="n"/>
      <c r="J40" s="1206" t="n"/>
    </row>
    <row r="41" ht="12.75" customFormat="1" customHeight="1" s="4">
      <c r="A41" s="318" t="inlineStr">
        <is>
          <t>NOTE 21</t>
        </is>
      </c>
      <c r="B41" s="1430" t="inlineStr">
        <is>
          <t>CHIFFRE D'AFFAIRES  ET AUTRES PRODUITS</t>
        </is>
      </c>
      <c r="C41" s="1420" t="n"/>
      <c r="D41" s="1420" t="n"/>
      <c r="E41" s="1420" t="n"/>
      <c r="F41" s="1420" t="n"/>
      <c r="G41" s="1420" t="n"/>
      <c r="H41" s="1411" t="n"/>
      <c r="I41" s="1206" t="n"/>
      <c r="J41" s="1206" t="n"/>
    </row>
    <row r="42" ht="12.75" customFormat="1" customHeight="1" s="4">
      <c r="A42" s="318" t="inlineStr">
        <is>
          <t>NOTE 22</t>
        </is>
      </c>
      <c r="B42" s="1430" t="inlineStr">
        <is>
          <t>ACHATS</t>
        </is>
      </c>
      <c r="C42" s="1420" t="n"/>
      <c r="D42" s="1420" t="n"/>
      <c r="E42" s="1420" t="n"/>
      <c r="F42" s="1420" t="n"/>
      <c r="G42" s="1420" t="n"/>
      <c r="H42" s="1411" t="n"/>
      <c r="I42" s="1206" t="n"/>
      <c r="J42" s="1206" t="n"/>
    </row>
    <row r="43" ht="12.75" customFormat="1" customHeight="1" s="4">
      <c r="A43" s="318" t="inlineStr">
        <is>
          <t>NOTE 23</t>
        </is>
      </c>
      <c r="B43" s="1430" t="inlineStr">
        <is>
          <t>TRANSPORTS</t>
        </is>
      </c>
      <c r="C43" s="1420" t="n"/>
      <c r="D43" s="1420" t="n"/>
      <c r="E43" s="1420" t="n"/>
      <c r="F43" s="1420" t="n"/>
      <c r="G43" s="1420" t="n"/>
      <c r="H43" s="1411" t="n"/>
      <c r="I43" s="1206" t="n"/>
      <c r="J43" s="1206" t="n"/>
    </row>
    <row r="44" ht="12.75" customFormat="1" customHeight="1" s="4">
      <c r="A44" s="318" t="inlineStr">
        <is>
          <t>NOTE 24</t>
        </is>
      </c>
      <c r="B44" s="1430" t="inlineStr">
        <is>
          <t>SERVICES EXTERIEURS</t>
        </is>
      </c>
      <c r="C44" s="1420" t="n"/>
      <c r="D44" s="1420" t="n"/>
      <c r="E44" s="1420" t="n"/>
      <c r="F44" s="1420" t="n"/>
      <c r="G44" s="1420" t="n"/>
      <c r="H44" s="1411" t="n"/>
      <c r="I44" s="1206" t="n"/>
      <c r="J44" s="1206" t="n"/>
    </row>
    <row r="45" ht="12.75" customFormat="1" customHeight="1" s="4">
      <c r="A45" s="318" t="inlineStr">
        <is>
          <t>NOTE 25</t>
        </is>
      </c>
      <c r="B45" s="1430" t="inlineStr">
        <is>
          <t>IMPOTS ET TAXES</t>
        </is>
      </c>
      <c r="C45" s="1420" t="n"/>
      <c r="D45" s="1420" t="n"/>
      <c r="E45" s="1420" t="n"/>
      <c r="F45" s="1420" t="n"/>
      <c r="G45" s="1420" t="n"/>
      <c r="H45" s="1411" t="n"/>
      <c r="I45" s="1206" t="n"/>
      <c r="J45" s="1206" t="n"/>
    </row>
    <row r="46" ht="12.75" customFormat="1" customHeight="1" s="4">
      <c r="A46" s="318" t="inlineStr">
        <is>
          <t>NOTE 26</t>
        </is>
      </c>
      <c r="B46" s="1430" t="inlineStr">
        <is>
          <t>AUTRES CHARGES</t>
        </is>
      </c>
      <c r="C46" s="1420" t="n"/>
      <c r="D46" s="1420" t="n"/>
      <c r="E46" s="1420" t="n"/>
      <c r="F46" s="1420" t="n"/>
      <c r="G46" s="1420" t="n"/>
      <c r="H46" s="1411" t="n"/>
      <c r="I46" s="1206" t="n"/>
      <c r="J46" s="1206" t="n"/>
    </row>
    <row r="47" ht="12.75" customFormat="1" customHeight="1" s="4">
      <c r="A47" s="318" t="inlineStr">
        <is>
          <t>NOTE 27A</t>
        </is>
      </c>
      <c r="B47" s="1430" t="inlineStr">
        <is>
          <t>CHARGES DE PERSONNEL</t>
        </is>
      </c>
      <c r="C47" s="1420" t="n"/>
      <c r="D47" s="1420" t="n"/>
      <c r="E47" s="1420" t="n"/>
      <c r="F47" s="1420" t="n"/>
      <c r="G47" s="1420" t="n"/>
      <c r="H47" s="1411" t="n"/>
      <c r="I47" s="1206" t="n"/>
      <c r="J47" s="1206" t="n"/>
    </row>
    <row r="48" ht="12.75" customFormat="1" customHeight="1" s="4">
      <c r="A48" s="318" t="inlineStr">
        <is>
          <t>NOTE 27B</t>
        </is>
      </c>
      <c r="B48" s="1430" t="inlineStr">
        <is>
          <t>EFFECTIFS, MASSE SALARIALE ET PERSONNEL EXTERIEUR</t>
        </is>
      </c>
      <c r="C48" s="1420" t="n"/>
      <c r="D48" s="1420" t="n"/>
      <c r="E48" s="1420" t="n"/>
      <c r="F48" s="1420" t="n"/>
      <c r="G48" s="1420" t="n"/>
      <c r="H48" s="1411" t="n"/>
      <c r="I48" s="1206" t="n"/>
      <c r="J48" s="1206" t="n"/>
    </row>
    <row r="49" ht="12.75" customFormat="1" customHeight="1" s="4">
      <c r="A49" s="318" t="inlineStr">
        <is>
          <t>NOTE 28</t>
        </is>
      </c>
      <c r="B49" s="1430" t="inlineStr">
        <is>
          <t>DOTATIONS ET CHARGES POUR PROVISIONS ET DEPRECIATIONS</t>
        </is>
      </c>
      <c r="C49" s="1420" t="n"/>
      <c r="D49" s="1420" t="n"/>
      <c r="E49" s="1420" t="n"/>
      <c r="F49" s="1420" t="n"/>
      <c r="G49" s="1420" t="n"/>
      <c r="H49" s="1411" t="n"/>
      <c r="I49" s="1206" t="n"/>
      <c r="J49" s="1206" t="n"/>
    </row>
    <row r="50" ht="12.75" customFormat="1" customHeight="1" s="4">
      <c r="A50" s="318" t="inlineStr">
        <is>
          <t>NOTE 29</t>
        </is>
      </c>
      <c r="B50" s="1430" t="inlineStr">
        <is>
          <t>CHARGES ET REVENUS FINANCIERS</t>
        </is>
      </c>
      <c r="C50" s="1420" t="n"/>
      <c r="D50" s="1420" t="n"/>
      <c r="E50" s="1420" t="n"/>
      <c r="F50" s="1420" t="n"/>
      <c r="G50" s="1420" t="n"/>
      <c r="H50" s="1411" t="n"/>
      <c r="I50" s="1206" t="n"/>
      <c r="J50" s="1206" t="n"/>
    </row>
    <row r="51" ht="12.75" customFormat="1" customHeight="1" s="4">
      <c r="A51" s="318" t="inlineStr">
        <is>
          <t>NOTE 30</t>
        </is>
      </c>
      <c r="B51" s="1430" t="inlineStr">
        <is>
          <t>AUTRES  CHARGES ET PRODUITS HAO</t>
        </is>
      </c>
      <c r="C51" s="1420" t="n"/>
      <c r="D51" s="1420" t="n"/>
      <c r="E51" s="1420" t="n"/>
      <c r="F51" s="1420" t="n"/>
      <c r="G51" s="1420" t="n"/>
      <c r="H51" s="1411" t="n"/>
      <c r="I51" s="1206" t="n"/>
      <c r="J51" s="1206" t="n"/>
    </row>
    <row r="52" ht="12.75" customFormat="1" customHeight="1" s="5">
      <c r="A52" s="322" t="inlineStr">
        <is>
          <t>NOTE 31</t>
        </is>
      </c>
      <c r="B52" s="1431" t="inlineStr">
        <is>
          <t>REPARTITION DU RESULTAT ET AUTRES ELEMENTS CARACTERISTIQUES DES CINQ DERNIERS EXERCICES</t>
        </is>
      </c>
      <c r="C52" s="1420" t="n"/>
      <c r="D52" s="1420" t="n"/>
      <c r="E52" s="1420" t="n"/>
      <c r="F52" s="1420" t="n"/>
      <c r="G52" s="1420" t="n"/>
      <c r="H52" s="1411" t="n"/>
      <c r="I52" s="1206" t="n"/>
      <c r="J52" s="1207" t="n"/>
    </row>
    <row r="53" ht="12.75" customFormat="1" customHeight="1" s="4">
      <c r="A53" s="318" t="inlineStr">
        <is>
          <t>NOTE 32</t>
        </is>
      </c>
      <c r="B53" s="1430" t="inlineStr">
        <is>
          <t>PRODUCTION DE L'EXERCICE</t>
        </is>
      </c>
      <c r="C53" s="1420" t="n"/>
      <c r="D53" s="1420" t="n"/>
      <c r="E53" s="1420" t="n"/>
      <c r="F53" s="1420" t="n"/>
      <c r="G53" s="1420" t="n"/>
      <c r="H53" s="1411" t="n"/>
      <c r="I53" s="1220" t="n"/>
      <c r="J53" s="1206" t="n"/>
    </row>
    <row r="54" ht="12.75" customFormat="1" customHeight="1" s="4">
      <c r="A54" s="318" t="inlineStr">
        <is>
          <t>NOTE 33</t>
        </is>
      </c>
      <c r="B54" s="1430" t="inlineStr">
        <is>
          <t>ACHATS DESTINES A LA PRODUCTION</t>
        </is>
      </c>
      <c r="C54" s="1420" t="n"/>
      <c r="D54" s="1420" t="n"/>
      <c r="E54" s="1420" t="n"/>
      <c r="F54" s="1420" t="n"/>
      <c r="G54" s="1420" t="n"/>
      <c r="H54" s="1411" t="n"/>
      <c r="I54" s="1206" t="n"/>
      <c r="J54" s="1206" t="n"/>
    </row>
    <row r="55" ht="12.75" customFormat="1" customHeight="1" s="4">
      <c r="A55" s="318" t="inlineStr">
        <is>
          <t>NOTE 34</t>
        </is>
      </c>
      <c r="B55" s="1430" t="inlineStr">
        <is>
          <t>FICHE DE SYNTHESE DES PRINCIPAUX INDICATEURS FINANCIERS</t>
        </is>
      </c>
      <c r="C55" s="1420" t="n"/>
      <c r="D55" s="1420" t="n"/>
      <c r="E55" s="1420" t="n"/>
      <c r="F55" s="1420" t="n"/>
      <c r="G55" s="1420" t="n"/>
      <c r="H55" s="1411" t="n"/>
      <c r="I55" s="1206" t="n"/>
      <c r="J55" s="1206" t="n"/>
    </row>
    <row r="56" ht="12.75" customFormat="1" customHeight="1" s="4">
      <c r="A56" s="318" t="inlineStr">
        <is>
          <t>NOTE 35</t>
        </is>
      </c>
      <c r="B56" s="1430" t="inlineStr">
        <is>
          <t>LISTE DES INFORMATIONS SOCIALES, ENVIRONNEMENTALES ET SOCIETALES A FOURNIR</t>
        </is>
      </c>
      <c r="C56" s="1420" t="n"/>
      <c r="D56" s="1420" t="n"/>
      <c r="E56" s="1420" t="n"/>
      <c r="F56" s="1420" t="n"/>
      <c r="G56" s="1420" t="n"/>
      <c r="H56" s="1411" t="n"/>
      <c r="I56" s="1206" t="n"/>
      <c r="J56" s="1206" t="n"/>
    </row>
    <row r="57" ht="12.75" customFormat="1" customHeight="1" s="4">
      <c r="A57" s="318" t="inlineStr">
        <is>
          <t>NOTE 36</t>
        </is>
      </c>
      <c r="B57" s="1430" t="inlineStr">
        <is>
          <t>TABLES DES CODES</t>
        </is>
      </c>
      <c r="C57" s="1420" t="n"/>
      <c r="D57" s="1420" t="n"/>
      <c r="E57" s="1420" t="n"/>
      <c r="F57" s="1420" t="n"/>
      <c r="G57" s="1420" t="n"/>
      <c r="H57" s="1411" t="n"/>
      <c r="I57" s="1206" t="n"/>
      <c r="J57" s="1206" t="n"/>
    </row>
    <row r="58" ht="12.75" customFormat="1" customHeight="1" s="4">
      <c r="A58" s="318" t="inlineStr">
        <is>
          <t>NOTE 37</t>
        </is>
      </c>
      <c r="B58" s="1430" t="inlineStr">
        <is>
          <t xml:space="preserve">EVENEMENTS POSTERIEURS A LA CLOTURE DE L'EXERCICE </t>
        </is>
      </c>
      <c r="C58" s="1420" t="n"/>
      <c r="D58" s="1420" t="n"/>
      <c r="E58" s="1420" t="n"/>
      <c r="F58" s="1420" t="n"/>
      <c r="G58" s="1420" t="n"/>
      <c r="H58" s="1411" t="n"/>
      <c r="I58" s="1206" t="n"/>
      <c r="J58" s="1206" t="n"/>
    </row>
    <row r="59" ht="12.75" customFormat="1" customHeight="1" s="4">
      <c r="A59" s="318" t="inlineStr">
        <is>
          <t>NOTE 38</t>
        </is>
      </c>
      <c r="B59" s="1430" t="inlineStr">
        <is>
          <t xml:space="preserve">CHANGEMENTS DE METHODES COMPTABLES, D’ESTIMATIONS ET CORRECTIONS D’ERREURS </t>
        </is>
      </c>
      <c r="C59" s="1420" t="n"/>
      <c r="D59" s="1420" t="n"/>
      <c r="E59" s="1420" t="n"/>
      <c r="F59" s="1420" t="n"/>
      <c r="G59" s="1420" t="n"/>
      <c r="H59" s="1411" t="n"/>
      <c r="I59" s="1206" t="n"/>
      <c r="J59" s="1206" t="n"/>
    </row>
    <row r="60" ht="12.75" customFormat="1" customHeight="1" s="4">
      <c r="A60" s="318" t="inlineStr">
        <is>
          <t>NOTE 39</t>
        </is>
      </c>
      <c r="B60" s="1430" t="inlineStr">
        <is>
          <t>TABLES DES COMMENTAIRES</t>
        </is>
      </c>
      <c r="C60" s="1420" t="n"/>
      <c r="D60" s="1420" t="n"/>
      <c r="E60" s="1420" t="n"/>
      <c r="F60" s="1420" t="n"/>
      <c r="G60" s="1420" t="n"/>
      <c r="H60" s="1411" t="n"/>
      <c r="I60" s="1206" t="n"/>
      <c r="J60" s="1206" t="n"/>
    </row>
    <row r="61" ht="12.75" customFormat="1" customHeight="1" s="4">
      <c r="A61" s="318" t="inlineStr">
        <is>
          <t>ETATS DGI</t>
        </is>
      </c>
      <c r="B61" s="1430" t="inlineStr">
        <is>
          <t>ETATS SUPPLEMENTAIRES  DGI</t>
        </is>
      </c>
      <c r="C61" s="1420" t="n"/>
      <c r="D61" s="1420" t="n"/>
      <c r="E61" s="1420" t="n"/>
      <c r="F61" s="1420" t="n"/>
      <c r="G61" s="1420" t="n"/>
      <c r="H61" s="1411" t="n"/>
      <c r="I61" s="1206" t="n"/>
      <c r="J61" s="1206" t="n"/>
    </row>
    <row r="62" ht="3.75" customHeight="1" s="1225">
      <c r="I62" s="649" t="n"/>
      <c r="J62" s="649" t="n"/>
    </row>
    <row r="63" ht="35.25" customFormat="1" customHeight="1" s="1436">
      <c r="A63" s="1435" t="inlineStr">
        <is>
          <t>(1) les Notes non documentées ne doivent pas être jointes aux états financiers. Leur contenu peut être amélioré par les entités Par ailleurs, dans une note, les lignes non chiffrées doivent être supprimées. Par exemple, dans la note 24 Services Extérieurs, lorsque la ligne sous-traitance générale n'est pas chiffrée, elle ne doit pas figurer dans les notes.</t>
        </is>
      </c>
    </row>
    <row r="64" ht="10.5" customFormat="1" customHeight="1" s="1436">
      <c r="A64" s="323" t="inlineStr">
        <is>
          <t>(2) A : Applicable    A/N : Non applicable.</t>
        </is>
      </c>
      <c r="B64" s="324" t="n"/>
      <c r="C64" s="324" t="n"/>
      <c r="D64" s="324" t="n"/>
      <c r="E64" s="324" t="n"/>
      <c r="F64" s="324" t="n"/>
      <c r="G64" s="324" t="n"/>
      <c r="H64" s="324" t="n"/>
      <c r="I64" s="324" t="n"/>
      <c r="J64" s="324" t="n"/>
    </row>
    <row r="65" ht="14.25" customFormat="1" customHeight="1" s="1436">
      <c r="A65" s="323" t="inlineStr">
        <is>
          <t>Par exemple pour une entité qui n'a pas de stocks et en-cours, elle doit cocher à l'intersection ('ligne NOTE 6' &amp; 'colonne N/A')</t>
        </is>
      </c>
      <c r="B65" s="324" t="n"/>
      <c r="C65" s="324" t="n"/>
      <c r="D65" s="324" t="n"/>
      <c r="E65" s="324" t="n"/>
      <c r="F65" s="324" t="n"/>
      <c r="G65" s="324" t="n"/>
      <c r="H65" s="324" t="n"/>
      <c r="I65" s="324" t="n"/>
      <c r="J65" s="324" t="n"/>
    </row>
  </sheetData>
  <mergeCells count="64">
    <mergeCell ref="C3:J3"/>
    <mergeCell ref="B40:H40"/>
    <mergeCell ref="B9:H9"/>
    <mergeCell ref="B49:H49"/>
    <mergeCell ref="I2:J2"/>
    <mergeCell ref="C5:D5"/>
    <mergeCell ref="B55:H55"/>
    <mergeCell ref="B30:H30"/>
    <mergeCell ref="B15:H15"/>
    <mergeCell ref="B33:H33"/>
    <mergeCell ref="B51:H51"/>
    <mergeCell ref="B20:H20"/>
    <mergeCell ref="B37:H37"/>
    <mergeCell ref="B45:H45"/>
    <mergeCell ref="A63:J63"/>
    <mergeCell ref="B36:H36"/>
    <mergeCell ref="B32:H32"/>
    <mergeCell ref="B50:H50"/>
    <mergeCell ref="B26:H26"/>
    <mergeCell ref="B41:H41"/>
    <mergeCell ref="B35:H35"/>
    <mergeCell ref="F5:G5"/>
    <mergeCell ref="B47:H47"/>
    <mergeCell ref="B16:H16"/>
    <mergeCell ref="B54:H54"/>
    <mergeCell ref="B25:H25"/>
    <mergeCell ref="B59:H59"/>
    <mergeCell ref="B31:H31"/>
    <mergeCell ref="B46:H46"/>
    <mergeCell ref="B22:H22"/>
    <mergeCell ref="A1:J1"/>
    <mergeCell ref="B58:H58"/>
    <mergeCell ref="B27:H27"/>
    <mergeCell ref="B18:H18"/>
    <mergeCell ref="B56:H56"/>
    <mergeCell ref="B21:H21"/>
    <mergeCell ref="B52:H52"/>
    <mergeCell ref="B43:H43"/>
    <mergeCell ref="B12:H12"/>
    <mergeCell ref="B39:H39"/>
    <mergeCell ref="B4:G4"/>
    <mergeCell ref="I5:J5"/>
    <mergeCell ref="A7:J7"/>
    <mergeCell ref="B48:H48"/>
    <mergeCell ref="B42:H42"/>
    <mergeCell ref="B11:H11"/>
    <mergeCell ref="B60:H60"/>
    <mergeCell ref="C6:E6"/>
    <mergeCell ref="B23:H23"/>
    <mergeCell ref="B61:H61"/>
    <mergeCell ref="B14:H14"/>
    <mergeCell ref="B8:H8"/>
    <mergeCell ref="I4:J4"/>
    <mergeCell ref="B17:H17"/>
    <mergeCell ref="B13:H13"/>
    <mergeCell ref="B57:H57"/>
    <mergeCell ref="B53:H53"/>
    <mergeCell ref="B44:H44"/>
    <mergeCell ref="B38:H38"/>
    <mergeCell ref="B29:H29"/>
    <mergeCell ref="B10:H10"/>
    <mergeCell ref="B19:H19"/>
    <mergeCell ref="B34:H34"/>
    <mergeCell ref="B28:H28"/>
  </mergeCells>
  <printOptions horizontalCentered="1"/>
  <pageMargins left="0.1968503937007874" right="0.3149606299212598" top="0.3543307086614174" bottom="0.3543307086614174" header="0.3149606299212598" footer="0.3149606299212598"/>
  <pageSetup orientation="portrait" paperSize="9" scale="85" fitToHeight="0" fitToWidth="0"/>
</worksheet>
</file>

<file path=xl/worksheets/sheet11.xml><?xml version="1.0" encoding="utf-8"?>
<worksheet xmlns="http://schemas.openxmlformats.org/spreadsheetml/2006/main">
  <sheetPr codeName="Feuil9">
    <tabColor theme="4" tint="0.5999938962981048"/>
    <outlinePr summaryBelow="1" summaryRight="1"/>
    <pageSetUpPr fitToPage="1"/>
  </sheetPr>
  <dimension ref="A1:O44"/>
  <sheetViews>
    <sheetView showGridLines="0" showZeros="0" tabSelected="1" zoomScale="90" zoomScaleNormal="90" workbookViewId="0">
      <selection activeCell="B14" sqref="B14:D14"/>
    </sheetView>
  </sheetViews>
  <sheetFormatPr baseColWidth="10" defaultColWidth="11.42578125" defaultRowHeight="12"/>
  <cols>
    <col width="4.5703125" customWidth="1" style="1448" min="1" max="1"/>
    <col width="24.5703125" customWidth="1" style="1448" min="2" max="2"/>
    <col width="10.7109375" customWidth="1" style="1448" min="3" max="3"/>
    <col width="7.140625" customWidth="1" style="1458" min="4" max="4"/>
    <col width="5.7109375" bestFit="1" customWidth="1" style="1458" min="5" max="5"/>
    <col width="15.7109375" customWidth="1" style="1458" min="6" max="6"/>
    <col width="16.28515625" customWidth="1" style="1458" min="7" max="7"/>
    <col width="15.7109375" customWidth="1" style="1458" min="8" max="9"/>
    <col width="4.5703125" customWidth="1" style="1458" min="10" max="10"/>
    <col width="30.28515625" customWidth="1" style="1458" min="11" max="11"/>
    <col width="5.7109375" bestFit="1" customWidth="1" style="1458" min="12" max="12"/>
    <col width="15.5703125" customWidth="1" style="1458" min="13" max="13"/>
    <col width="17.7109375" customWidth="1" style="1458" min="14" max="14"/>
    <col width="11.42578125" customWidth="1" style="1458" min="15" max="15"/>
    <col width="11.42578125" customWidth="1" style="1458" min="16" max="16384"/>
  </cols>
  <sheetData>
    <row r="1" ht="15" customHeight="1" s="1225">
      <c r="A1" s="1429" t="inlineStr">
        <is>
          <t>- 4 -</t>
        </is>
      </c>
    </row>
    <row r="2" ht="27" customHeight="1" s="1225">
      <c r="B2" s="26" t="n"/>
      <c r="C2" s="26" t="n"/>
      <c r="D2" s="27" t="n"/>
      <c r="E2" s="27" t="n"/>
      <c r="F2" s="27" t="n"/>
      <c r="G2" s="27" t="n"/>
      <c r="J2" s="27" t="n"/>
      <c r="K2" s="61" t="n"/>
      <c r="L2" s="1444" t="inlineStr">
        <is>
          <t>BILAN SYSTEME NORMAL
PAGE 1/1</t>
        </is>
      </c>
      <c r="M2" s="1445" t="n"/>
      <c r="N2" s="1446" t="n"/>
    </row>
    <row r="3" ht="15.75" customFormat="1" customHeight="1" s="1451">
      <c r="A3" s="1451" t="inlineStr">
        <is>
          <t>Dénomination sociale de l'entité :</t>
        </is>
      </c>
      <c r="C3" s="1442">
        <f>+GARDE!D22</f>
        <v/>
      </c>
      <c r="D3" s="1443" t="n"/>
      <c r="E3" s="1443" t="n"/>
      <c r="F3" s="1443" t="n"/>
      <c r="G3" s="1443" t="n"/>
      <c r="H3" s="1443" t="n"/>
      <c r="I3" s="1443" t="n"/>
      <c r="J3" s="1443" t="n"/>
      <c r="K3" s="1443" t="n"/>
      <c r="L3" s="1443" t="n"/>
      <c r="M3" s="1443" t="n"/>
      <c r="N3" s="1443" t="n"/>
    </row>
    <row r="4" ht="15.75" customFormat="1" customHeight="1" s="1451">
      <c r="A4" s="1450" t="inlineStr">
        <is>
          <t>Adresse :</t>
        </is>
      </c>
      <c r="C4" s="1442">
        <f>+GARDE!C28</f>
        <v/>
      </c>
      <c r="D4" s="1443" t="n"/>
      <c r="E4" s="1443" t="n"/>
      <c r="F4" s="1443" t="n"/>
      <c r="G4" s="1443" t="n"/>
      <c r="H4" s="1443" t="n"/>
      <c r="I4" s="1443" t="n"/>
      <c r="J4" s="1443" t="n"/>
      <c r="K4" s="1443" t="n"/>
      <c r="L4" s="1457" t="inlineStr">
        <is>
          <t>Sigle usuel :</t>
        </is>
      </c>
      <c r="N4" s="1138">
        <f>GARDE!C26</f>
        <v/>
      </c>
    </row>
    <row r="5" ht="15.75" customFormat="1" customHeight="1" s="1451">
      <c r="A5" s="1450" t="inlineStr">
        <is>
          <t>N° IFU du contribuable :</t>
        </is>
      </c>
      <c r="C5" s="1442">
        <f>GARDE!D30</f>
        <v/>
      </c>
      <c r="D5" s="1443" t="n"/>
      <c r="E5" s="1443" t="n"/>
      <c r="F5" s="1443" t="n"/>
      <c r="G5" s="1443" t="n"/>
      <c r="H5" s="1443" t="n"/>
      <c r="I5" s="1457" t="inlineStr">
        <is>
          <t>Exercice clos le :</t>
        </is>
      </c>
      <c r="K5" s="1480">
        <f>GARDE!E17</f>
        <v/>
      </c>
      <c r="L5" s="1457" t="inlineStr">
        <is>
          <t>Durée (en mois) :</t>
        </is>
      </c>
      <c r="N5" s="434" t="n">
        <v>12</v>
      </c>
    </row>
    <row r="6" ht="15.75" customFormat="1" customHeight="1" s="1451">
      <c r="A6" s="1458" t="inlineStr">
        <is>
          <t xml:space="preserve">N° de télédéclarant (NES): </t>
        </is>
      </c>
      <c r="B6" s="1450" t="n"/>
      <c r="C6" s="1442">
        <f>GARDE!D31</f>
        <v/>
      </c>
      <c r="D6" s="1443" t="n"/>
      <c r="E6" s="1443" t="n"/>
      <c r="F6" s="1443" t="n"/>
      <c r="G6" s="1443" t="n"/>
      <c r="H6" s="1443" t="n"/>
      <c r="I6" s="435" t="n"/>
      <c r="J6" s="435" t="n"/>
      <c r="K6" s="433" t="n"/>
      <c r="L6" s="435" t="n"/>
      <c r="M6" s="435" t="n"/>
      <c r="N6" s="433" t="n"/>
    </row>
    <row r="7" ht="28.5" customHeight="1" s="1225">
      <c r="A7" s="1459" t="inlineStr">
        <is>
          <t>BILAN</t>
        </is>
      </c>
      <c r="B7" s="1244" t="n"/>
      <c r="C7" s="1244" t="n"/>
      <c r="D7" s="1244" t="n"/>
      <c r="E7" s="1244" t="n"/>
      <c r="F7" s="1244" t="n"/>
      <c r="G7" s="1244" t="n"/>
      <c r="H7" s="1244" t="n"/>
      <c r="I7" s="1244" t="n"/>
      <c r="J7" s="1244" t="n"/>
      <c r="K7" s="1244" t="n"/>
      <c r="L7" s="1244" t="n"/>
      <c r="M7" s="1244" t="n"/>
      <c r="N7" s="1244" t="n"/>
    </row>
    <row r="8" ht="15" customHeight="1" s="1225">
      <c r="A8" s="1453" t="inlineStr">
        <is>
          <t>REF</t>
        </is>
      </c>
      <c r="B8" s="1460" t="inlineStr">
        <is>
          <t>ACTIF</t>
        </is>
      </c>
      <c r="C8" s="1248" t="n"/>
      <c r="D8" s="1249" t="n"/>
      <c r="E8" s="1453" t="inlineStr">
        <is>
          <t>NOTE</t>
        </is>
      </c>
      <c r="F8" s="1453" t="inlineStr">
        <is>
          <t>EXERCICE au 31/12/ N</t>
        </is>
      </c>
      <c r="G8" s="1248" t="n"/>
      <c r="H8" s="1249" t="n"/>
      <c r="I8" s="1453" t="inlineStr">
        <is>
          <t>EXERCICE AU 31/12/N-1</t>
        </is>
      </c>
      <c r="J8" s="1453" t="inlineStr">
        <is>
          <t>REF</t>
        </is>
      </c>
      <c r="K8" s="1453" t="inlineStr">
        <is>
          <t>PASSIF</t>
        </is>
      </c>
      <c r="L8" s="1453" t="inlineStr">
        <is>
          <t>NOTE</t>
        </is>
      </c>
      <c r="M8" s="1453" t="inlineStr">
        <is>
          <t>EXERCICE AU 31/12/N</t>
        </is>
      </c>
      <c r="N8" s="1453" t="inlineStr">
        <is>
          <t>EXERCICE AU  31/12/N-1</t>
        </is>
      </c>
    </row>
    <row r="9" ht="13.5" customHeight="1" s="1225">
      <c r="A9" s="1454" t="n"/>
      <c r="B9" s="1355" t="n"/>
      <c r="D9" s="1242" t="n"/>
      <c r="E9" s="1454" t="n"/>
      <c r="F9" s="1243" t="n"/>
      <c r="G9" s="1244" t="n"/>
      <c r="H9" s="1245" t="n"/>
      <c r="I9" s="1455" t="n"/>
      <c r="J9" s="1454" t="n"/>
      <c r="K9" s="1454" t="n"/>
      <c r="L9" s="1454" t="n"/>
      <c r="M9" s="1455" t="n"/>
      <c r="N9" s="1455" t="n"/>
    </row>
    <row r="10" ht="31.5" customHeight="1" s="1225">
      <c r="A10" s="1455" t="n"/>
      <c r="B10" s="1243" t="n"/>
      <c r="C10" s="1244" t="n"/>
      <c r="D10" s="1245" t="n"/>
      <c r="E10" s="1455" t="n"/>
      <c r="F10" s="1453" t="inlineStr">
        <is>
          <t>BRUT</t>
        </is>
      </c>
      <c r="G10" s="1453" t="inlineStr">
        <is>
          <t>AMORT et 
DEPREC.</t>
        </is>
      </c>
      <c r="H10" s="1453" t="inlineStr">
        <is>
          <t>NET</t>
        </is>
      </c>
      <c r="I10" s="1453" t="inlineStr">
        <is>
          <t>NET</t>
        </is>
      </c>
      <c r="J10" s="1455" t="n"/>
      <c r="K10" s="1455" t="n"/>
      <c r="L10" s="1455" t="n"/>
      <c r="M10" s="1453" t="inlineStr">
        <is>
          <t>NET</t>
        </is>
      </c>
      <c r="N10" s="1453" t="inlineStr">
        <is>
          <t>NET</t>
        </is>
      </c>
    </row>
    <row r="11" ht="18" customHeight="1" s="1225">
      <c r="A11" s="63" t="inlineStr">
        <is>
          <t>AD</t>
        </is>
      </c>
      <c r="B11" s="1449" t="inlineStr">
        <is>
          <t>IMMOBILISATIONS  INCORPORELLES</t>
        </is>
      </c>
      <c r="C11" s="1253" t="n"/>
      <c r="D11" s="1274" t="n"/>
      <c r="E11" s="333" t="inlineStr">
        <is>
          <t>3</t>
        </is>
      </c>
      <c r="F11" s="334">
        <f>CtaCptSolde("20*","21*")</f>
        <v/>
      </c>
      <c r="G11" s="334">
        <f>-CtaCptSolde("280*","281*")-CtaCptSolde("290*","291*")</f>
        <v/>
      </c>
      <c r="H11" s="334">
        <f>[A_AD.EtLoc]=CtaCptSolde("20*","21*")+CtaCptSolde("280*","281*")+CtaCptSolde("290*","291*")</f>
        <v/>
      </c>
      <c r="I11" s="334">
        <f>[A_AD_N1.EtLoc]=CtaCptSoldeNm1("20*","21*")+CtaCptSoldeNm1("280*","281*")+CtaCptSoldeNm1("290*","291*")</f>
        <v/>
      </c>
      <c r="J11" s="69" t="inlineStr">
        <is>
          <t>CA</t>
        </is>
      </c>
      <c r="K11" s="70" t="inlineStr">
        <is>
          <t>Capital</t>
        </is>
      </c>
      <c r="L11" s="84" t="n">
        <v>13</v>
      </c>
      <c r="M11" s="71">
        <f>[P_CA.EtLoc]=CtaCptSoldeCrédit("10*")</f>
        <v/>
      </c>
      <c r="N11" s="71">
        <f>[P_CA_N1.EtLoc]=CtaCptSoldeCréditNm1("10*")</f>
        <v/>
      </c>
    </row>
    <row r="12" ht="18" customHeight="1" s="1225">
      <c r="A12" s="64" t="inlineStr">
        <is>
          <t>AE</t>
        </is>
      </c>
      <c r="B12" s="1447" t="inlineStr">
        <is>
          <t>Frais de développement et de prospection</t>
        </is>
      </c>
      <c r="D12" s="1242" t="n"/>
      <c r="E12" s="72" t="n"/>
      <c r="F12" s="71">
        <f>CtaCptSolde("20*")</f>
        <v/>
      </c>
      <c r="G12" s="71">
        <f>-CtaCptSolde("280*")-CtaCptSolde("290*")</f>
        <v/>
      </c>
      <c r="H12" s="73">
        <f>CtaCptSolde("20*")+CtaCptSolde("280*")+CtaCptSolde("290*")</f>
        <v/>
      </c>
      <c r="I12" s="74">
        <f>CtaCptSoldeNm1("20*")+CtaCptSoldeNm1("280*")+CtaCptSoldeNm1("290*")</f>
        <v/>
      </c>
      <c r="J12" s="64" t="inlineStr">
        <is>
          <t>CB</t>
        </is>
      </c>
      <c r="K12" s="1447" t="inlineStr">
        <is>
          <t>Apporteurs capital non appelé (-)</t>
        </is>
      </c>
      <c r="L12" s="84" t="n">
        <v>13</v>
      </c>
      <c r="M12" s="71" t="n"/>
      <c r="N12" s="71" t="n"/>
    </row>
    <row r="13" ht="18" customHeight="1" s="1225">
      <c r="A13" s="64" t="inlineStr">
        <is>
          <t>AF</t>
        </is>
      </c>
      <c r="B13" s="1447" t="inlineStr">
        <is>
          <t>Brevets, licences, logiciels et droits similaires</t>
        </is>
      </c>
      <c r="D13" s="1242" t="n"/>
      <c r="E13" s="72" t="n"/>
      <c r="F13" s="71">
        <f>CtaCptSolde("21*")</f>
        <v/>
      </c>
      <c r="G13" s="71">
        <f>-CtaCptSolde("281*")-CtaCptSolde("291*")</f>
        <v/>
      </c>
      <c r="H13" s="73">
        <f>CtaCptSolde("21*")+CtaCptSolde("281*")+CtaCptSolde("291*")</f>
        <v/>
      </c>
      <c r="I13" s="74">
        <f>CtaCptSoldeNm1("21*")+CtaCptSoldeNm1("281*")+CtaCptSoldeNm1("291*")</f>
        <v/>
      </c>
      <c r="J13" s="64" t="inlineStr">
        <is>
          <t>CD</t>
        </is>
      </c>
      <c r="K13" s="1447" t="inlineStr">
        <is>
          <t>Primes liées au capital social</t>
        </is>
      </c>
      <c r="L13" s="84" t="n">
        <v>14</v>
      </c>
      <c r="M13" s="71" t="n"/>
      <c r="N13" s="71" t="n"/>
    </row>
    <row r="14" ht="18" customHeight="1" s="1225">
      <c r="A14" s="64" t="inlineStr">
        <is>
          <t>AG</t>
        </is>
      </c>
      <c r="B14" s="1447" t="inlineStr">
        <is>
          <t>Fonds commercial et droit au bail</t>
        </is>
      </c>
      <c r="D14" s="1242" t="n"/>
      <c r="E14" s="72" t="n"/>
      <c r="F14" s="71" t="n"/>
      <c r="G14" s="71" t="n"/>
      <c r="H14" s="73" t="n"/>
      <c r="I14" s="74" t="n"/>
      <c r="J14" s="64" t="inlineStr">
        <is>
          <t>CE</t>
        </is>
      </c>
      <c r="K14" s="1447" t="inlineStr">
        <is>
          <t>Ecarts de réévaluation</t>
        </is>
      </c>
      <c r="L14" s="84" t="inlineStr">
        <is>
          <t>3e</t>
        </is>
      </c>
      <c r="M14" s="71" t="n"/>
      <c r="N14" s="71" t="n"/>
    </row>
    <row r="15" ht="18" customHeight="1" s="1225">
      <c r="A15" s="64" t="inlineStr">
        <is>
          <t>AH</t>
        </is>
      </c>
      <c r="B15" s="1447" t="inlineStr">
        <is>
          <t>Autres  immobilisations incorporelles</t>
        </is>
      </c>
      <c r="D15" s="1242" t="n"/>
      <c r="E15" s="72" t="n"/>
      <c r="F15" s="71" t="n"/>
      <c r="G15" s="71" t="n"/>
      <c r="H15" s="73" t="n"/>
      <c r="I15" s="74" t="n"/>
      <c r="J15" s="64" t="inlineStr">
        <is>
          <t>CF</t>
        </is>
      </c>
      <c r="K15" s="1447" t="inlineStr">
        <is>
          <t>Réserves indisponibles</t>
        </is>
      </c>
      <c r="L15" s="84" t="n">
        <v>14</v>
      </c>
      <c r="M15" s="71" t="n"/>
      <c r="N15" s="71" t="n"/>
    </row>
    <row r="16" ht="18" customHeight="1" s="1225">
      <c r="A16" s="63" t="inlineStr">
        <is>
          <t>AI</t>
        </is>
      </c>
      <c r="B16" s="1449" t="inlineStr">
        <is>
          <t>IMMOBILISATIONS  CORPORELLES</t>
        </is>
      </c>
      <c r="C16" s="1253" t="n"/>
      <c r="D16" s="1274" t="n"/>
      <c r="E16" s="333" t="n">
        <v>3</v>
      </c>
      <c r="F16" s="334">
        <f>CtaCptSolde("22*","245*")</f>
        <v/>
      </c>
      <c r="G16" s="334">
        <f>-CtaCptSolde("282*","2849*")-CtaCptSolde("292*","2949*")</f>
        <v/>
      </c>
      <c r="H16" s="334">
        <f>[A_AI.EtLoc]=CtaCptSolde("22*","245*")+CtaCptSolde("282*","2849*")+CtaCptSolde("292*","2949*")</f>
        <v/>
      </c>
      <c r="I16" s="334">
        <f>[A_AI_N1.EtLoc]=CtaCptSoldeNm1("22*","245*")+CtaCptSoldeNm1("282*","2849*")+CtaCptSoldeNm1("292*","2949*")</f>
        <v/>
      </c>
      <c r="J16" s="64" t="inlineStr">
        <is>
          <t>CG</t>
        </is>
      </c>
      <c r="K16" s="1447" t="inlineStr">
        <is>
          <t>Réserves libres</t>
        </is>
      </c>
      <c r="L16" s="84" t="n">
        <v>14</v>
      </c>
      <c r="M16" s="71">
        <f>[P_CG.EtLoc]=CtaCptSoldeCrédit("11*")</f>
        <v/>
      </c>
      <c r="N16" s="71">
        <f>[P_CG_N1.EtLoc]=CtaCptSoldeCréditNm1("11*")</f>
        <v/>
      </c>
    </row>
    <row r="17" ht="25.5" customHeight="1" s="1225">
      <c r="A17" s="67" t="inlineStr">
        <is>
          <t>AJ</t>
        </is>
      </c>
      <c r="B17" s="68" t="inlineStr">
        <is>
          <t>Terrains (1)
dont Placement Net :</t>
        </is>
      </c>
      <c r="C17" s="230" t="n"/>
      <c r="D17" s="231" t="n"/>
      <c r="E17" s="72" t="n"/>
      <c r="F17" s="76">
        <f>CtaCptSolde("22*")</f>
        <v/>
      </c>
      <c r="G17" s="76">
        <f>-CtaCptSolde("282*")-CtaCptSolde("292*")</f>
        <v/>
      </c>
      <c r="H17" s="77">
        <f>CtaCptSolde("22*")+CtaCptSolde("282*")+CtaCptSolde("292*")</f>
        <v/>
      </c>
      <c r="I17" s="78">
        <f>CtaCptSoldeNm1("22*")+CtaCptSoldeNm1("282*")+CtaCptSoldeNm1("292*")</f>
        <v/>
      </c>
      <c r="J17" s="64" t="inlineStr">
        <is>
          <t>CH</t>
        </is>
      </c>
      <c r="K17" s="1447" t="inlineStr">
        <is>
          <t>Report à nouveau (+ ou -)</t>
        </is>
      </c>
      <c r="L17" s="84" t="n">
        <v>14</v>
      </c>
      <c r="M17" s="76">
        <f>[P_CH.EtLoc]=-CtaCptSolde("12*")</f>
        <v/>
      </c>
      <c r="N17" s="76">
        <f>[P_CH_N1.EtLoc]=-CtaCptSoldeNm1("12*")</f>
        <v/>
      </c>
    </row>
    <row r="18" ht="25.5" customHeight="1" s="1225">
      <c r="A18" s="67" t="inlineStr">
        <is>
          <t>AK</t>
        </is>
      </c>
      <c r="B18" s="68" t="inlineStr">
        <is>
          <t>Bâtiments(1)
dont Placement Net :</t>
        </is>
      </c>
      <c r="C18" s="230" t="n"/>
      <c r="D18" s="231" t="n"/>
      <c r="E18" s="1167" t="n"/>
      <c r="F18" s="1133">
        <f>CtaCptSolde("231*","233*")</f>
        <v/>
      </c>
      <c r="G18" s="1166">
        <f>-CtaCptSolde("2831*","2833*")-CtaCptSolde("2931*","2933*")</f>
        <v/>
      </c>
      <c r="H18" s="77">
        <f>CtaCptSolde("231*","233*")+CtaCptSolde("2831*","2833*")+CtaCptSolde("2931*","2933*")</f>
        <v/>
      </c>
      <c r="I18" s="78">
        <f>CtaCptSoldeNm1("231*","233*")+CtaCptSoldeNm1("2831*","2833*")+CtaCptSoldeNm1("2931*","2933*")</f>
        <v/>
      </c>
      <c r="J18" s="64" t="inlineStr">
        <is>
          <t>CJ</t>
        </is>
      </c>
      <c r="K18" s="1447" t="inlineStr">
        <is>
          <t>Résultat net de l'exercice (bénéfice + ou perte -)</t>
        </is>
      </c>
      <c r="L18" s="71" t="n"/>
      <c r="M18" s="76">
        <f>[P_CJ.EtLoc]=-CtaCptSolde("7*")-CtaCptSolde("6*")</f>
        <v/>
      </c>
      <c r="N18" s="76">
        <f>[P_CJ_N1.EtLoc]=-CtaCptSoldeNm1("7*")-CtaCptSoldeNm1("6*")</f>
        <v/>
      </c>
    </row>
    <row r="19" ht="18" customHeight="1" s="1225">
      <c r="A19" s="64" t="inlineStr">
        <is>
          <t>AL</t>
        </is>
      </c>
      <c r="B19" s="1447" t="inlineStr">
        <is>
          <t>Aménagements,  agencements  et installations</t>
        </is>
      </c>
      <c r="D19" s="1242" t="n"/>
      <c r="E19" s="1167" t="n"/>
      <c r="F19" s="1166">
        <f>CtaCptSolde("234*","239*")</f>
        <v/>
      </c>
      <c r="G19" s="1166">
        <f>-CtaCptSolde("2834*","2839*")-CtaCptSolde("2934*","2939*")</f>
        <v/>
      </c>
      <c r="H19" s="73">
        <f>CtaCptSolde("234*","239*")+CtaCptSolde("2834*","2839*")+CtaCptSolde("2934*","2939*")</f>
        <v/>
      </c>
      <c r="I19" s="74">
        <f>CtaCptSoldeNm1("234*","239*")+CtaCptSoldeNm1("2834*","2839*")+CtaCptSoldeNm1("2934*","2939*")</f>
        <v/>
      </c>
      <c r="J19" s="64" t="inlineStr">
        <is>
          <t>CL</t>
        </is>
      </c>
      <c r="K19" s="1447" t="inlineStr">
        <is>
          <t>Subventions  d'investissement</t>
        </is>
      </c>
      <c r="L19" s="84" t="n">
        <v>15</v>
      </c>
      <c r="M19" s="71">
        <f>[P_CL.EtLoc]=CtaCptSoldeCrédit("14*")</f>
        <v/>
      </c>
      <c r="N19" s="71">
        <f>[P_CL_N1.EtLoc]=CtaCptSoldeCréditNm1("14*")</f>
        <v/>
      </c>
    </row>
    <row r="20" ht="18" customHeight="1" s="1225">
      <c r="A20" s="64" t="inlineStr">
        <is>
          <t>AM</t>
        </is>
      </c>
      <c r="B20" s="1447" t="inlineStr">
        <is>
          <t>Matériel, mobilier et actifs biologiques</t>
        </is>
      </c>
      <c r="D20" s="1242" t="n"/>
      <c r="E20" s="1167" t="n"/>
      <c r="F20" s="1166">
        <f>CtaCptSolde("240*","244*")</f>
        <v/>
      </c>
      <c r="G20" s="1166">
        <f>-CtaCptSolde("2840*","2844*")-CtaCptSolde("2940*","2944*")</f>
        <v/>
      </c>
      <c r="H20" s="73">
        <f>CtaCptSolde("240*","244*")+CtaCptSolde("2840*","2844*")+CtaCptSolde("2940*","2944*")</f>
        <v/>
      </c>
      <c r="I20" s="74">
        <f>CtaCptSoldeNm1("240*","244*")+CtaCptSoldeNm1("2840*","2844*")+CtaCptSoldeNm1("2940*","2944*")</f>
        <v/>
      </c>
      <c r="J20" s="64" t="inlineStr">
        <is>
          <t>CM</t>
        </is>
      </c>
      <c r="K20" s="1447" t="inlineStr">
        <is>
          <t>Provisions  réglementées</t>
        </is>
      </c>
      <c r="L20" s="84" t="n">
        <v>15</v>
      </c>
      <c r="M20" s="71">
        <f>[P_CM.EtLoc]=CtaCptSoldeCrédit("15*")</f>
        <v/>
      </c>
      <c r="N20" s="71">
        <f>[P_CM_N1.EtLoc]=CtaCptSoldeCréditNm1("15*")</f>
        <v/>
      </c>
    </row>
    <row r="21" ht="30.75" customHeight="1" s="1225">
      <c r="A21" s="64" t="inlineStr">
        <is>
          <t>AN</t>
        </is>
      </c>
      <c r="B21" s="1447" t="inlineStr">
        <is>
          <t>Matériel de transport</t>
        </is>
      </c>
      <c r="D21" s="1242" t="n"/>
      <c r="E21" s="1167" t="n"/>
      <c r="F21" s="1166">
        <f>CtaCptSolde("245*")</f>
        <v/>
      </c>
      <c r="G21" s="1166">
        <f>-CtaCptSolde("2845*","2849*")-CtaCptSolde("2945*","2949*")</f>
        <v/>
      </c>
      <c r="H21" s="73">
        <f>CtaCptSolde("245*")+CtaCptSolde("2845*","2849*")+CtaCptSolde("2945*","2949*")</f>
        <v/>
      </c>
      <c r="I21" s="74">
        <f>CtaCptSoldeNm1("245*")+CtaCptSoldeNm1("2845*","2849*")+CtaCptSoldeNm1("2945*","2949*")</f>
        <v/>
      </c>
      <c r="J21" s="63" t="inlineStr">
        <is>
          <t>CP</t>
        </is>
      </c>
      <c r="K21" s="1456" t="inlineStr">
        <is>
          <t>TOTAL  CAPITAUX PROPRES ET  RESSOURCES ASSIMILEES</t>
        </is>
      </c>
      <c r="L21" s="338" t="n"/>
      <c r="M21" s="336">
        <f>[P_CP.EtLoc]=[P_CA.EtLoc]+[P_CG.EtLoc]+[P_CH.EtLoc]+[P_CJ.EtLoc]+[P_CL.EtLoc]+[P_CM.EtLoc]</f>
        <v/>
      </c>
      <c r="N21" s="336">
        <f>[P_CP_N1.EtLoc]=[P_CA_N1.EtLoc]+[P_CG_N1.EtLoc]+[P_CH_N1.EtLoc]+[P_CJ_N1.EtLoc]+[P_CL_N1.EtLoc]+[P_CM_N1.EtLoc]</f>
        <v/>
      </c>
    </row>
    <row r="22" ht="23.45" customHeight="1" s="1225">
      <c r="A22" s="107" t="inlineStr">
        <is>
          <t>AP</t>
        </is>
      </c>
      <c r="B22" s="1452" t="inlineStr">
        <is>
          <t>AVANCES ET ACOMPTES VERSES SUR IMMOBILISATIONS</t>
        </is>
      </c>
      <c r="D22" s="1242" t="n"/>
      <c r="E22" s="1167" t="n">
        <v>3</v>
      </c>
      <c r="F22" s="1168">
        <f>CtaCptSolde("25*")</f>
        <v/>
      </c>
      <c r="G22" s="1168">
        <f>-CtaCptSolde("2850*","2859*")-CtaCptSolde("2950*","2959*")</f>
        <v/>
      </c>
      <c r="H22" s="82">
        <f>[A_AP.EtLoc]=CtaCptSolde("25*")+CtaCptSolde("2850*","2859*")+CtaCptSolde("2950*","2959*")</f>
        <v/>
      </c>
      <c r="I22" s="83">
        <f>[A_AP_N1.EtLoc]=CtaCptSoldeNm1("25*")+CtaCptSoldeNm1("2850*","2859*")+CtaCptSoldeNm1("2950*","2959*")</f>
        <v/>
      </c>
      <c r="J22" s="64" t="inlineStr">
        <is>
          <t>DA</t>
        </is>
      </c>
      <c r="K22" s="1447" t="inlineStr">
        <is>
          <t>Emprunts et dettes financières diverses</t>
        </is>
      </c>
      <c r="L22" s="84" t="n">
        <v>16</v>
      </c>
      <c r="M22" s="71">
        <f>[P_DA.EtLoc]=CtaCptSoldeCrédit("16*","17*")</f>
        <v/>
      </c>
      <c r="N22" s="71">
        <f>[P_DA_N1.EtLoc]=CtaCptSoldeCréditNm1("16*","17*")</f>
        <v/>
      </c>
    </row>
    <row r="23" ht="18" customHeight="1" s="1225">
      <c r="A23" s="63" t="inlineStr">
        <is>
          <t>AQ</t>
        </is>
      </c>
      <c r="B23" s="1456" t="inlineStr">
        <is>
          <t>IMMOBILISATIONS  FINANCIERES</t>
        </is>
      </c>
      <c r="C23" s="1253" t="n"/>
      <c r="D23" s="1274" t="n"/>
      <c r="E23" s="1167" t="n">
        <v>4</v>
      </c>
      <c r="F23" s="1169">
        <f>CtaCptSolde("26*","27*")</f>
        <v/>
      </c>
      <c r="G23" s="1169">
        <f>-CtaCptSolde("2860*","2869*")-CtaCptSolde("2960*","2969*")</f>
        <v/>
      </c>
      <c r="H23" s="336">
        <f>[A_AQ.EtLoc]=CtaCptSolde("26*","27*")+CtaCptSolde("2860*","2869*")+CtaCptSolde("2960*","2969*")</f>
        <v/>
      </c>
      <c r="I23" s="336">
        <f>[A_AQ_N1.EtLoc]=CtaCptSoldeNm1("26*","27*")+CtaCptSoldeNm1("2860*","2869*")+CtaCptSoldeNm1("2960*","2969*")</f>
        <v/>
      </c>
      <c r="J23" s="64" t="inlineStr">
        <is>
          <t>DB</t>
        </is>
      </c>
      <c r="K23" s="1447" t="inlineStr">
        <is>
          <t>Dettes de location-acquisition</t>
        </is>
      </c>
      <c r="L23" s="84" t="n">
        <v>16</v>
      </c>
      <c r="M23" s="71" t="n"/>
      <c r="N23" s="71" t="n"/>
    </row>
    <row r="24" ht="18" customHeight="1" s="1225">
      <c r="A24" s="64" t="inlineStr">
        <is>
          <t>AR</t>
        </is>
      </c>
      <c r="B24" s="1447" t="inlineStr">
        <is>
          <t>Titres de participation</t>
        </is>
      </c>
      <c r="D24" s="1242" t="n"/>
      <c r="E24" s="1167" t="n"/>
      <c r="F24" s="1166">
        <f>CtaCptSolde("26*")</f>
        <v/>
      </c>
      <c r="G24" s="1166">
        <f>-CtaCptSolde("2860*","2865*")-CtaCptSolde("2960*","2965*")</f>
        <v/>
      </c>
      <c r="H24" s="73">
        <f>CtaCptSolde("26*")+CtaCptSolde("2860*","2865*")+CtaCptSolde("2960*","2965*")</f>
        <v/>
      </c>
      <c r="I24" s="74">
        <f>CtaCptSoldeNm1("26*")+CtaCptSoldeNm1("2860*","2865*")+CtaCptSoldeNm1("2960*","2965*")</f>
        <v/>
      </c>
      <c r="J24" s="64" t="inlineStr">
        <is>
          <t>DC</t>
        </is>
      </c>
      <c r="K24" s="1447" t="inlineStr">
        <is>
          <t>Provisions pour risques et charges</t>
        </is>
      </c>
      <c r="L24" s="84" t="n">
        <v>16</v>
      </c>
      <c r="M24" s="71">
        <f>[P_DC.EtLoc]=CtaCptSolde("19*")</f>
        <v/>
      </c>
      <c r="N24" s="71">
        <f>[P_DC_N1.EtLoc]=CtaCptSoldeNm1("19*")</f>
        <v/>
      </c>
    </row>
    <row r="25" ht="30.75" customHeight="1" s="1225">
      <c r="A25" s="64" t="inlineStr">
        <is>
          <t>AS</t>
        </is>
      </c>
      <c r="B25" s="1447" t="inlineStr">
        <is>
          <t>Autres  immobilisations financières</t>
        </is>
      </c>
      <c r="D25" s="1242" t="n"/>
      <c r="E25" s="1167" t="n"/>
      <c r="F25" s="1166">
        <f>CtaCptSolde("27*")</f>
        <v/>
      </c>
      <c r="G25" s="1166">
        <f>-CtaCptSolde("2866*","2869*")-CtaCptSolde("2966*","2969*")</f>
        <v/>
      </c>
      <c r="H25" s="73">
        <f>CtaCptSolde("27*")+CtaCptSolde("2866*","2869*")+CtaCptSolde("2966*","2969*")</f>
        <v/>
      </c>
      <c r="I25" s="74">
        <f>CtaCptSoldeNm1("27*")+CtaCptSoldeNm1("2866*","2869*")+CtaCptSoldeNm1("2966*","2969*")</f>
        <v/>
      </c>
      <c r="J25" s="79" t="inlineStr">
        <is>
          <t>DD</t>
        </is>
      </c>
      <c r="K25" s="339" t="inlineStr">
        <is>
          <t>TOTAL  DETTES FINANCIERES ET  RESSOURCES ASSIMILEES</t>
        </is>
      </c>
      <c r="L25" s="338" t="n"/>
      <c r="M25" s="336">
        <f>[P_DD.EtLoc]=[P_DA.EtLoc]+[P_DC.EtLoc]</f>
        <v/>
      </c>
      <c r="N25" s="336">
        <f>[P_DD_N1.EtLoc]=[P_DA_N1.EtLoc]+[P_DC_N1.EtLoc]</f>
        <v/>
      </c>
    </row>
    <row r="26" ht="18" customHeight="1" s="1225">
      <c r="A26" s="63" t="inlineStr">
        <is>
          <t>AZ</t>
        </is>
      </c>
      <c r="B26" s="1456" t="inlineStr">
        <is>
          <t>TOTAL  ACTIF IMMOBILISE</t>
        </is>
      </c>
      <c r="C26" s="1253" t="n"/>
      <c r="D26" s="1274" t="n"/>
      <c r="E26" s="1167" t="n"/>
      <c r="F26" s="1169">
        <f>CtaCptSolde("20*","27*")</f>
        <v/>
      </c>
      <c r="G26" s="1169">
        <f>-CtaCptSolde("280*","2869*")-CtaCptSolde("290*","2969*")</f>
        <v/>
      </c>
      <c r="H26" s="336">
        <f>[A_AZ.EtLoc]=[A_AD.EtLoc]+[A_AI.EtLoc]+[A_AP.EtLoc]+[A_AQ.EtLoc]</f>
        <v/>
      </c>
      <c r="I26" s="336">
        <f>[A_AZ_N1.EtLoc]=[A_AD_N1.EtLoc]+[A_AI_N1.EtLoc]+[A_AP_N1.EtLoc]+[A_AQ_N1.EtLoc]</f>
        <v/>
      </c>
      <c r="J26" s="80" t="inlineStr">
        <is>
          <t>DF</t>
        </is>
      </c>
      <c r="K26" s="1456" t="inlineStr">
        <is>
          <t>TOTAL  RESSOURCES STABLES</t>
        </is>
      </c>
      <c r="L26" s="338" t="n"/>
      <c r="M26" s="336">
        <f>[P_DF.EtLoc]=[P_CP.EtLoc]+[P_DD.EtLoc]</f>
        <v/>
      </c>
      <c r="N26" s="336">
        <f>[P_DF_N1.EtLoc]=[P_CP_N1.EtLoc]+[P_DD_N1.EtLoc]</f>
        <v/>
      </c>
    </row>
    <row r="27" ht="86.45" customHeight="1" s="1225">
      <c r="A27" s="64" t="inlineStr">
        <is>
          <t>BA</t>
        </is>
      </c>
      <c r="B27" s="1452" t="inlineStr">
        <is>
          <t>ACTIF  CIRCULANT HAO</t>
        </is>
      </c>
      <c r="D27" s="1242" t="n"/>
      <c r="E27" s="1167" t="inlineStr">
        <is>
          <t>5</t>
        </is>
      </c>
      <c r="F27" s="1168">
        <f>CtaCptSoldeDébit("47*","49*")</f>
        <v/>
      </c>
      <c r="G27" s="1168" t="n"/>
      <c r="H27" s="82">
        <f>[A_BA.EtLoc]=CtaCptSoldeDébit("47*","49*")</f>
        <v/>
      </c>
      <c r="I27" s="83">
        <f>[A_BA_N1.EtLoc]=CtaCptSoldeDébitNm1("47*","49*")</f>
        <v/>
      </c>
      <c r="J27" s="64" t="inlineStr">
        <is>
          <t>DH</t>
        </is>
      </c>
      <c r="K27" s="1447" t="inlineStr">
        <is>
          <t>Dettes circulantes HAO</t>
        </is>
      </c>
      <c r="L27" s="84" t="n">
        <v>5</v>
      </c>
      <c r="M27" s="71">
        <f>[P_DH.EtLoc]=CtaCptSoldeCrédit("47*","49*")</f>
        <v/>
      </c>
      <c r="N27" s="71">
        <f>[P_DH_N1.EtLoc]=CtaCptSoldeCréditNm1("47*","49*")</f>
        <v/>
      </c>
    </row>
    <row r="28" ht="18" customHeight="1" s="1225">
      <c r="A28" s="64" t="inlineStr">
        <is>
          <t>BB</t>
        </is>
      </c>
      <c r="B28" s="1452" t="inlineStr">
        <is>
          <t>STOCKS ET ENCOURS</t>
        </is>
      </c>
      <c r="D28" s="1242" t="n"/>
      <c r="E28" s="1167" t="inlineStr">
        <is>
          <t>6</t>
        </is>
      </c>
      <c r="F28" s="81">
        <f>CtaCptSoldeDébit("3*","39*")-CtaCptSoldeCrédit("3*","39*")</f>
        <v/>
      </c>
      <c r="G28" s="81" t="n"/>
      <c r="H28" s="82">
        <f>[A_BB.EtLoc]=CtaCptSoldeDébit("3*","39*")-CtaCptSoldeCrédit("3*","39*")</f>
        <v/>
      </c>
      <c r="I28" s="83">
        <f>[A_BB_N1.EtLoc]=CtaCptSoldeDébitNm1("3*","39*")-CtaCptSoldeCréditNm1("3*","39*")</f>
        <v/>
      </c>
      <c r="J28" s="64" t="inlineStr">
        <is>
          <t>DI</t>
        </is>
      </c>
      <c r="K28" s="1447" t="inlineStr">
        <is>
          <t>Clients, avances reçues</t>
        </is>
      </c>
      <c r="L28" s="84" t="n">
        <v>7</v>
      </c>
      <c r="M28" s="71">
        <f>[P_DI.EtLoc]=CtaCptSoldeCrédit("41*")</f>
        <v/>
      </c>
      <c r="N28" s="71">
        <f>[P_DI_N1.EtLoc]=CtaCptSoldeCréditNm1("41*")</f>
        <v/>
      </c>
      <c r="O28" s="1076" t="n"/>
    </row>
    <row r="29" ht="18" customHeight="1" s="1225">
      <c r="A29" s="64" t="inlineStr">
        <is>
          <t>BG</t>
        </is>
      </c>
      <c r="B29" s="1452" t="inlineStr">
        <is>
          <t>CREANCES ET  EMPLOIS ASSIMILES</t>
        </is>
      </c>
      <c r="D29" s="1242" t="n"/>
      <c r="E29" s="1167" t="n"/>
      <c r="F29" s="82">
        <f>CtaCptSoldeDébit("40*","46*")</f>
        <v/>
      </c>
      <c r="G29" s="82" t="n"/>
      <c r="H29" s="82">
        <f>[A_BH.EtLoc]+[A_BI.EtLoc]+[A_BJ.EtLoc]</f>
        <v/>
      </c>
      <c r="I29" s="82">
        <f>[A_BH_N1.EtLoc]+[A_BI_N1.EtLoc]+[A_BJ_N1.EtLoc]</f>
        <v/>
      </c>
      <c r="J29" s="64" t="inlineStr">
        <is>
          <t>DJ</t>
        </is>
      </c>
      <c r="K29" s="1447" t="inlineStr">
        <is>
          <t>Fournisseurs d'exploitation</t>
        </is>
      </c>
      <c r="L29" s="84" t="n">
        <v>17</v>
      </c>
      <c r="M29" s="71">
        <f>[P_DJ.EtLoc]=CtaCptSoldeCrédit("40*")</f>
        <v/>
      </c>
      <c r="N29" s="71">
        <f>[P_DJ_N1.EtLoc]=CtaCptSoldeCréditNm1("40*")</f>
        <v/>
      </c>
    </row>
    <row r="30" ht="27.6" customHeight="1" s="1225">
      <c r="A30" s="64" t="inlineStr">
        <is>
          <t>BH</t>
        </is>
      </c>
      <c r="B30" s="1447" t="inlineStr">
        <is>
          <t>Fournisseurs avances versées</t>
        </is>
      </c>
      <c r="D30" s="1242" t="n"/>
      <c r="E30" s="1167" t="inlineStr">
        <is>
          <t>17</t>
        </is>
      </c>
      <c r="F30" s="1166">
        <f>CtaCptSoldeDébit("40*")</f>
        <v/>
      </c>
      <c r="G30" s="71" t="n"/>
      <c r="H30" s="73">
        <f>[A_BH.EtLoc]=CtaCptSoldeDébit("40*")</f>
        <v/>
      </c>
      <c r="I30" s="74">
        <f>[A_BH_N1.EtLoc]=CtaCptSoldeDébitNm1("40*")</f>
        <v/>
      </c>
      <c r="J30" s="64" t="inlineStr">
        <is>
          <t>DK</t>
        </is>
      </c>
      <c r="K30" s="1447" t="inlineStr">
        <is>
          <t>Dettes fiscales et sociales</t>
        </is>
      </c>
      <c r="L30" s="84" t="n">
        <v>18</v>
      </c>
      <c r="M30" s="71">
        <f>[P_DK.EtLoc]=CtaCptSoldeCrédit("42*","45*")</f>
        <v/>
      </c>
      <c r="N30" s="71">
        <f>[P_DK_N1.EtLoc]=CtaCptSoldeCréditNm1("42*","45*")</f>
        <v/>
      </c>
    </row>
    <row r="31" ht="18" customHeight="1" s="1225">
      <c r="A31" s="64" t="inlineStr">
        <is>
          <t>BI</t>
        </is>
      </c>
      <c r="B31" s="1447" t="inlineStr">
        <is>
          <t>Clients</t>
        </is>
      </c>
      <c r="D31" s="1242" t="n"/>
      <c r="E31" s="1167" t="inlineStr">
        <is>
          <t>7</t>
        </is>
      </c>
      <c r="F31" s="71">
        <f>CtaCptSoldeDébit("41*")</f>
        <v/>
      </c>
      <c r="G31" s="71" t="n"/>
      <c r="H31" s="73">
        <f>[A_BI.EtLoc]=CtaCptSoldeDébit("41*")</f>
        <v/>
      </c>
      <c r="I31" s="74">
        <f>[A_BI_N1.EtLoc]=CtaCptSoldeDébitNm1("41*")</f>
        <v/>
      </c>
      <c r="J31" s="64" t="inlineStr">
        <is>
          <t>DM</t>
        </is>
      </c>
      <c r="K31" s="1447" t="inlineStr">
        <is>
          <t>Autres dettes</t>
        </is>
      </c>
      <c r="L31" s="84" t="n">
        <v>19</v>
      </c>
      <c r="M31" s="71">
        <f>[P_DM.EtLoc]=CtaCptSoldeCrédit("46*")</f>
        <v/>
      </c>
      <c r="N31" s="71">
        <f>[P_DM_N1.EtLoc]=CtaCptSoldeCréditNm1("46*")</f>
        <v/>
      </c>
    </row>
    <row r="32" ht="39.6" customHeight="1" s="1225">
      <c r="A32" s="64" t="inlineStr">
        <is>
          <t>BJ</t>
        </is>
      </c>
      <c r="B32" s="1447" t="inlineStr">
        <is>
          <t>Autres  créances</t>
        </is>
      </c>
      <c r="D32" s="1242" t="n"/>
      <c r="E32" s="1167" t="inlineStr">
        <is>
          <t>8</t>
        </is>
      </c>
      <c r="F32" s="71">
        <f>CtaCptSoldeDébit("42*","46*")</f>
        <v/>
      </c>
      <c r="G32" s="71" t="n"/>
      <c r="H32" s="82">
        <f>[A_BJ.EtLoc]=CtaCptSoldeDébit("42*","46*")</f>
        <v/>
      </c>
      <c r="I32" s="74">
        <f>[A_BJ_N1.EtLoc]=CtaCptSoldeDébitNm1("42*","46*")</f>
        <v/>
      </c>
      <c r="J32" s="64" t="inlineStr">
        <is>
          <t>DN</t>
        </is>
      </c>
      <c r="K32" s="1447" t="inlineStr">
        <is>
          <t>Provisions pour risques et charges à court terme</t>
        </is>
      </c>
      <c r="L32" s="84" t="n">
        <v>19</v>
      </c>
      <c r="M32" s="71" t="n"/>
      <c r="N32" s="71" t="n"/>
    </row>
    <row r="33" ht="18" customHeight="1" s="1225">
      <c r="A33" s="63" t="inlineStr">
        <is>
          <t>BK</t>
        </is>
      </c>
      <c r="B33" s="1456" t="inlineStr">
        <is>
          <t>TOTAL  ACTIF CIRCULANT</t>
        </is>
      </c>
      <c r="C33" s="1253" t="n"/>
      <c r="D33" s="1274" t="n"/>
      <c r="E33" s="335" t="n"/>
      <c r="F33" s="336">
        <f>CtaCptSoldeDébit("3*","46*")</f>
        <v/>
      </c>
      <c r="G33" s="336" t="n"/>
      <c r="H33" s="336">
        <f>[A_BK.EtLoc]=[A_BA.EtLoc]+[A_BB.EtLoc]+[A_BH.EtLoc]+[A_BI.EtLoc]+[A_BJ.EtLoc]</f>
        <v/>
      </c>
      <c r="I33" s="336">
        <f>[A_BK_N1.EtLoc]=[A_BA_N1.EtLoc]+[A_BB_N1.EtLoc]+[A_BH_N1.EtLoc]+[A_BI_N1.EtLoc]+[A_BJ_N1.EtLoc]</f>
        <v/>
      </c>
      <c r="J33" s="63" t="inlineStr">
        <is>
          <t>DP</t>
        </is>
      </c>
      <c r="K33" s="1456" t="inlineStr">
        <is>
          <t>TOTAL  PASSIF CIRCULANT</t>
        </is>
      </c>
      <c r="L33" s="338" t="n"/>
      <c r="M33" s="336">
        <f>[P_DP.EtLoc]=[P_DH.EtLoc]+[P_DI.EtLoc]+[P_DJ.EtLoc]+[P_DK.EtLoc]+[P_DM.EtLoc]</f>
        <v/>
      </c>
      <c r="N33" s="336">
        <f>[P_DP_N1.EtLoc]=[P_DH_N1.EtLoc]+[P_DI_N1.EtLoc]+[P_DJ_N1.EtLoc]+[P_DK_N1.EtLoc]+[P_DM_N1.EtLoc]</f>
        <v/>
      </c>
    </row>
    <row r="34" ht="18" customHeight="1" s="1225">
      <c r="A34" s="64" t="inlineStr">
        <is>
          <t>BQ</t>
        </is>
      </c>
      <c r="B34" s="1447" t="inlineStr">
        <is>
          <t>Titres de placement</t>
        </is>
      </c>
      <c r="D34" s="1242" t="n"/>
      <c r="E34" s="72" t="n">
        <v>9</v>
      </c>
      <c r="F34" s="71">
        <f>CtaCptSoldeDébit("50*")</f>
        <v/>
      </c>
      <c r="G34" s="71" t="n"/>
      <c r="H34" s="73">
        <f>[A_BQ.EtLoc]=CtaCptSoldeDébit("50*")</f>
        <v/>
      </c>
      <c r="I34" s="74">
        <f>[A_BQ_N1.EtLoc]=CtaCptSoldeDébitNm1("50*")</f>
        <v/>
      </c>
      <c r="J34" s="64" t="n"/>
      <c r="K34" s="1447" t="n"/>
      <c r="L34" s="325" t="n"/>
      <c r="M34" s="326" t="n"/>
      <c r="N34" s="326" t="n"/>
    </row>
    <row r="35" ht="18" customHeight="1" s="1225">
      <c r="A35" s="64" t="inlineStr">
        <is>
          <t>BR</t>
        </is>
      </c>
      <c r="B35" s="1447" t="inlineStr">
        <is>
          <t>Valeurs à encaisser</t>
        </is>
      </c>
      <c r="D35" s="1242" t="n"/>
      <c r="E35" s="72" t="n">
        <v>10</v>
      </c>
      <c r="F35" s="71">
        <f>CtaCptSoldeDébit("51*")</f>
        <v/>
      </c>
      <c r="G35" s="71" t="n"/>
      <c r="H35" s="73">
        <f>[A_BR.EtLoc]=CtaCptSoldeDébit("51*")</f>
        <v/>
      </c>
      <c r="I35" s="74">
        <f>[A_BR_N1.EtLoc]=CtaCptSoldeDébitNm1("51*")</f>
        <v/>
      </c>
      <c r="J35" s="64" t="inlineStr">
        <is>
          <t>DQ</t>
        </is>
      </c>
      <c r="K35" s="1447" t="inlineStr">
        <is>
          <t>Banques,  crédits d'escompte</t>
        </is>
      </c>
      <c r="L35" s="89" t="n">
        <v>20</v>
      </c>
      <c r="M35" s="90">
        <f>[P_DQ.EtLoc]=CtaCptSoldeCrédit("50*","56*")</f>
        <v/>
      </c>
      <c r="N35" s="90">
        <f>[P_DQ_N1.EtLoc]=CtaCptSoldeCréditNm1("50*","56*")</f>
        <v/>
      </c>
    </row>
    <row r="36" ht="30.75" customHeight="1" s="1225">
      <c r="A36" s="64" t="inlineStr">
        <is>
          <t>BS</t>
        </is>
      </c>
      <c r="B36" s="1447" t="inlineStr">
        <is>
          <t>Banques, chèques postaux, caisse et assimilés</t>
        </is>
      </c>
      <c r="D36" s="1242" t="n"/>
      <c r="E36" s="72" t="n">
        <v>11</v>
      </c>
      <c r="F36" s="1166">
        <f>CtaCptSoldeDébit("52*","59*")</f>
        <v/>
      </c>
      <c r="G36" s="71" t="n"/>
      <c r="H36" s="73">
        <f>[A_BS.EtLoc]=CtaCptSoldeDébit("52*","59*")</f>
        <v/>
      </c>
      <c r="I36" s="74">
        <f>[A_BS_N1.EtLoc]=CtaCptSoldeDébitNm1("52*","59*")</f>
        <v/>
      </c>
      <c r="J36" s="64" t="inlineStr">
        <is>
          <t>DR</t>
        </is>
      </c>
      <c r="K36" s="1447" t="inlineStr">
        <is>
          <t>Banques, établissements financiers
et crédits de trésorerie</t>
        </is>
      </c>
      <c r="L36" s="84" t="n">
        <v>20</v>
      </c>
      <c r="M36" s="71">
        <f>[P_DR.EtLoc]=CtaCptSoldeCrédit("57*","59*")</f>
        <v/>
      </c>
      <c r="N36" s="71">
        <f>[P_DR_N1.EtLoc]=CtaCptSoldeCréditNm1("57*","59*")</f>
        <v/>
      </c>
    </row>
    <row r="37" ht="18" customHeight="1" s="1225">
      <c r="A37" s="63" t="inlineStr">
        <is>
          <t>BT</t>
        </is>
      </c>
      <c r="B37" s="1456" t="inlineStr">
        <is>
          <t>TOTAL   TRESORERIE-ACTIF</t>
        </is>
      </c>
      <c r="C37" s="1253" t="n"/>
      <c r="D37" s="1274" t="n"/>
      <c r="E37" s="335" t="n"/>
      <c r="F37" s="336">
        <f>CtaCptSoldeDébit("50*","59*")</f>
        <v/>
      </c>
      <c r="G37" s="336" t="n"/>
      <c r="H37" s="336">
        <f>[A_BT.EtLoc]=[A_BQ.EtLoc]+[A_BR.EtLoc]+[A_BS.EtLoc]</f>
        <v/>
      </c>
      <c r="I37" s="336">
        <f>[A_BT_N1.EtLoc]=[A_BQ_N1.EtLoc]+[A_BR_N1.EtLoc]+[A_BS_N1.EtLoc]</f>
        <v/>
      </c>
      <c r="J37" s="63" t="inlineStr">
        <is>
          <t>DT</t>
        </is>
      </c>
      <c r="K37" s="1456" t="inlineStr">
        <is>
          <t>TOTAL   TRESORERIE-PASSIF</t>
        </is>
      </c>
      <c r="L37" s="338" t="n"/>
      <c r="M37" s="336">
        <f>[P_DT.EtLoc]=[P_DQ.EtLoc]+[P_DR.EtLoc]</f>
        <v/>
      </c>
      <c r="N37" s="336">
        <f>[P_DT_N1.EtLoc]=[P_DQ_N1.EtLoc]+[P_DR_N1.EtLoc]</f>
        <v/>
      </c>
    </row>
    <row r="38" ht="18" customHeight="1" s="1225">
      <c r="A38" s="64" t="inlineStr">
        <is>
          <t>BU</t>
        </is>
      </c>
      <c r="B38" s="1447" t="inlineStr">
        <is>
          <t>Ecart de conversion-Actif</t>
        </is>
      </c>
      <c r="D38" s="1242" t="n"/>
      <c r="E38" s="72" t="n">
        <v>12</v>
      </c>
      <c r="F38" s="71" t="n"/>
      <c r="G38" s="71" t="n"/>
      <c r="H38" s="73" t="n"/>
      <c r="I38" s="74" t="n"/>
      <c r="J38" s="64" t="inlineStr">
        <is>
          <t>DV</t>
        </is>
      </c>
      <c r="K38" s="1447" t="inlineStr">
        <is>
          <t>Ecart de conversion-Passif</t>
        </is>
      </c>
      <c r="L38" s="84" t="n">
        <v>12</v>
      </c>
      <c r="M38" s="71" t="n"/>
      <c r="N38" s="71" t="n"/>
    </row>
    <row r="39" ht="18" customHeight="1" s="1225">
      <c r="A39" s="63" t="inlineStr">
        <is>
          <t>BZ</t>
        </is>
      </c>
      <c r="B39" s="1456" t="inlineStr">
        <is>
          <t>TOTAL GENERAL</t>
        </is>
      </c>
      <c r="C39" s="1253" t="n"/>
      <c r="D39" s="1274" t="n"/>
      <c r="E39" s="335" t="n"/>
      <c r="F39" s="336">
        <f>CtaCptSoldeDébit("20*","59*")</f>
        <v/>
      </c>
      <c r="G39" s="336" t="n"/>
      <c r="H39" s="336">
        <f>[A_BZ.EtLoc]=[A_AZ.EtLoc]+[A_BK.EtLoc]+[A_BT.EtLoc]</f>
        <v/>
      </c>
      <c r="I39" s="336">
        <f>[A_BZ_N1.EtLoc]=[A_AZ_N1.EtLoc]+[A_BK_N1.EtLoc]+[A_BT_N1.EtLoc]</f>
        <v/>
      </c>
      <c r="J39" s="63" t="inlineStr">
        <is>
          <t>DZ</t>
        </is>
      </c>
      <c r="K39" s="1456" t="inlineStr">
        <is>
          <t>TOTAL GENERAL</t>
        </is>
      </c>
      <c r="L39" s="338" t="n"/>
      <c r="M39" s="1190">
        <f>[P_DZ.EtLoc]=[P_DF.EtLoc]+[P_DP.EtLoc]+[P_DT.EtLoc]</f>
        <v/>
      </c>
      <c r="N39" s="336">
        <f>[P_DZ_N1.EtLoc]=[P_DF_N1.EtLoc]+[P_DP_N1.EtLoc]+[P_DT_N1.EtLoc]</f>
        <v/>
      </c>
    </row>
    <row r="40">
      <c r="A40" s="1349" t="n"/>
      <c r="B40" s="1333" t="n"/>
      <c r="C40" s="1333" t="n"/>
      <c r="D40" s="1451" t="n"/>
      <c r="E40" s="1457" t="n"/>
      <c r="F40" s="1451" t="n"/>
      <c r="G40" s="1451" t="n"/>
      <c r="H40" s="1451" t="n"/>
      <c r="I40" s="1451" t="n"/>
      <c r="J40" s="1457" t="n"/>
      <c r="K40" s="1451" t="n"/>
      <c r="L40" s="1457" t="n"/>
      <c r="M40" s="1100" t="n"/>
      <c r="N40" s="1100" t="n"/>
    </row>
    <row r="41">
      <c r="I41" s="1076" t="n"/>
    </row>
    <row r="42">
      <c r="I42" s="1076" t="n"/>
      <c r="M42" s="1076" t="n"/>
    </row>
    <row r="43">
      <c r="L43" s="1076" t="n"/>
      <c r="M43" s="1076" t="n"/>
    </row>
    <row r="44">
      <c r="M44" s="1076" t="n"/>
    </row>
  </sheetData>
  <mergeCells count="49">
    <mergeCell ref="B8:D10"/>
    <mergeCell ref="B11:D11"/>
    <mergeCell ref="B14:D14"/>
    <mergeCell ref="A8:A10"/>
    <mergeCell ref="B23:D23"/>
    <mergeCell ref="B13:D13"/>
    <mergeCell ref="B39:D39"/>
    <mergeCell ref="B29:D29"/>
    <mergeCell ref="B38:D38"/>
    <mergeCell ref="B34:D34"/>
    <mergeCell ref="A1:N1"/>
    <mergeCell ref="B28:D28"/>
    <mergeCell ref="B19:D19"/>
    <mergeCell ref="B37:D37"/>
    <mergeCell ref="N8:N9"/>
    <mergeCell ref="A7:N7"/>
    <mergeCell ref="B30:D30"/>
    <mergeCell ref="L5:M5"/>
    <mergeCell ref="B15:D15"/>
    <mergeCell ref="B24:D24"/>
    <mergeCell ref="B20:D20"/>
    <mergeCell ref="J8:J10"/>
    <mergeCell ref="B33:D33"/>
    <mergeCell ref="B36:D36"/>
    <mergeCell ref="L4:M4"/>
    <mergeCell ref="E8:E10"/>
    <mergeCell ref="I8:I9"/>
    <mergeCell ref="B32:D32"/>
    <mergeCell ref="B35:D35"/>
    <mergeCell ref="M8:M9"/>
    <mergeCell ref="B26:D26"/>
    <mergeCell ref="A5:B5"/>
    <mergeCell ref="I5:J5"/>
    <mergeCell ref="F8:H9"/>
    <mergeCell ref="C3:N3"/>
    <mergeCell ref="L2:N2"/>
    <mergeCell ref="B25:D25"/>
    <mergeCell ref="B16:D16"/>
    <mergeCell ref="A4:B4"/>
    <mergeCell ref="C6:H6"/>
    <mergeCell ref="B31:D31"/>
    <mergeCell ref="B22:D22"/>
    <mergeCell ref="L8:L10"/>
    <mergeCell ref="C5:H5"/>
    <mergeCell ref="B27:D27"/>
    <mergeCell ref="B21:D21"/>
    <mergeCell ref="K8:K10"/>
    <mergeCell ref="B12:D12"/>
    <mergeCell ref="C4:K4"/>
  </mergeCells>
  <dataValidations count="2">
    <dataValidation sqref="F12:I15 F17:I22 F24:I25 F27:I28 F30:I32 F34:I36 F38:I38 M11:N20 M22:N24 M27:N32 M35:N36 M38:N38" showDropDown="0" showInputMessage="0" showErrorMessage="1" allowBlank="1" errorTitle="Attention !" error="Valeur numérique attendue" type="whole">
      <formula1>-9999999999999</formula1>
      <formula2>9999999999999</formula2>
    </dataValidation>
    <dataValidation sqref="L18" showDropDown="0" showInputMessage="1"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61"/>
</worksheet>
</file>

<file path=xl/worksheets/sheet12.xml><?xml version="1.0" encoding="utf-8"?>
<worksheet xmlns="http://schemas.openxmlformats.org/spreadsheetml/2006/main">
  <sheetPr codeName="Feuil12">
    <tabColor theme="4" tint="0.5999938962981048"/>
    <outlinePr summaryBelow="1" summaryRight="1"/>
    <pageSetUpPr fitToPage="1"/>
  </sheetPr>
  <dimension ref="A1:N54"/>
  <sheetViews>
    <sheetView showGridLines="0" showZeros="0" zoomScaleNormal="100" workbookViewId="0">
      <selection activeCell="N5" sqref="N5"/>
    </sheetView>
  </sheetViews>
  <sheetFormatPr baseColWidth="10" defaultRowHeight="15"/>
  <cols>
    <col width="4.7109375" customWidth="1" style="1225" min="1" max="1"/>
    <col width="25.28515625" customWidth="1" style="1225" min="2" max="2"/>
    <col width="5.28515625" customWidth="1" style="1225" min="3" max="3"/>
    <col width="11.140625" customWidth="1" style="1225" min="4" max="4"/>
    <col width="15.5703125" customWidth="1" style="1225" min="5" max="5"/>
    <col width="3.140625" customWidth="1" style="1467" min="6" max="6"/>
    <col width="4.42578125" customWidth="1" style="1225" min="7" max="7"/>
    <col width="7.85546875" customWidth="1" style="1225" min="8" max="8"/>
    <col width="15.7109375" customWidth="1" style="1225" min="9" max="9"/>
    <col width="18.7109375" customWidth="1" style="1225" min="10" max="10"/>
    <col width="13.85546875" bestFit="1" customWidth="1" style="1225" min="11" max="11"/>
    <col width="12.28515625" bestFit="1" customWidth="1" style="1225" min="12" max="12"/>
  </cols>
  <sheetData>
    <row r="1">
      <c r="A1" s="1468" t="inlineStr">
        <is>
          <t>- 5 -</t>
        </is>
      </c>
    </row>
    <row r="2" ht="27" customHeight="1" s="1225">
      <c r="A2" s="436" t="n"/>
      <c r="B2" s="436" t="n"/>
      <c r="C2" s="436" t="n"/>
      <c r="D2" s="436" t="n"/>
      <c r="E2" s="436" t="n"/>
      <c r="F2" s="436" t="n"/>
      <c r="G2" s="436" t="n"/>
      <c r="H2" s="1473" t="inlineStr">
        <is>
          <t>COMPTE DE RESULTAT SYSTEME NORMAL 
PAGE 1/1</t>
        </is>
      </c>
      <c r="I2" s="1445" t="n"/>
      <c r="J2" s="1446" t="n"/>
    </row>
    <row r="3" ht="15.75" customFormat="1" customHeight="1" s="1451">
      <c r="A3" s="1451" t="inlineStr">
        <is>
          <t>Dénomination sociale de l'entité :</t>
        </is>
      </c>
      <c r="C3" s="1442">
        <f>BILAN!C3</f>
        <v/>
      </c>
      <c r="D3" s="1443" t="n"/>
      <c r="E3" s="1443" t="n"/>
      <c r="F3" s="1443" t="n"/>
      <c r="G3" s="1443" t="n"/>
      <c r="H3" s="1443" t="n"/>
      <c r="I3" s="1443" t="n"/>
      <c r="J3" s="1443" t="n"/>
      <c r="K3" s="1450" t="n"/>
      <c r="L3" s="1450" t="n"/>
      <c r="M3" s="1450" t="n"/>
      <c r="N3" s="1450" t="n"/>
    </row>
    <row r="4" ht="15.75" customFormat="1" customHeight="1" s="1451">
      <c r="A4" s="1451" t="inlineStr">
        <is>
          <t>Adresse :</t>
        </is>
      </c>
      <c r="C4" s="1442">
        <f>BILAN!C4</f>
        <v/>
      </c>
      <c r="D4" s="1443" t="n"/>
      <c r="E4" s="1443" t="n"/>
      <c r="F4" s="1443" t="n"/>
      <c r="G4" s="1443" t="n"/>
      <c r="H4" s="1443" t="n"/>
      <c r="I4" s="1589" t="inlineStr">
        <is>
          <t>Sigle usuel :</t>
        </is>
      </c>
      <c r="J4" s="433">
        <f>BILAN!N4</f>
        <v/>
      </c>
      <c r="K4" s="1450" t="n"/>
      <c r="L4" s="1450" t="n"/>
      <c r="N4" s="1457" t="n"/>
    </row>
    <row r="5" ht="15.75" customFormat="1" customHeight="1" s="1451">
      <c r="A5" s="1451" t="inlineStr">
        <is>
          <t>N° IFU du contribuable :</t>
        </is>
      </c>
      <c r="C5" s="1484">
        <f>BILAN!C5</f>
        <v/>
      </c>
      <c r="D5" s="1485" t="n"/>
      <c r="E5" s="1457" t="inlineStr">
        <is>
          <t>Exercice clos le :</t>
        </is>
      </c>
      <c r="F5" s="1480">
        <f>BILAN!K5</f>
        <v/>
      </c>
      <c r="G5" s="1443" t="n"/>
      <c r="H5" s="1443" t="n"/>
      <c r="I5" s="1589" t="inlineStr">
        <is>
          <t>Durée (en mois) :</t>
        </is>
      </c>
      <c r="J5" s="433">
        <f>BILAN!N5</f>
        <v/>
      </c>
      <c r="K5" s="1457" t="n"/>
      <c r="M5" s="114" t="n"/>
      <c r="N5" s="1457" t="n"/>
    </row>
    <row r="6" ht="15.75" customFormat="1" customHeight="1" s="1451">
      <c r="A6" s="1451" t="inlineStr">
        <is>
          <t xml:space="preserve">N° de télédéclarant (NES): </t>
        </is>
      </c>
      <c r="C6" s="1442">
        <f>'FICHE R1'!E6</f>
        <v/>
      </c>
      <c r="D6" s="1443" t="n"/>
      <c r="E6" s="1443" t="n"/>
      <c r="F6" s="433" t="n"/>
      <c r="G6" s="433" t="n"/>
      <c r="H6" s="433" t="n"/>
      <c r="I6" s="437" t="n"/>
      <c r="J6" s="433" t="n"/>
      <c r="K6" s="1457" t="n"/>
      <c r="M6" s="114" t="n"/>
      <c r="N6" s="1457" t="n"/>
    </row>
    <row r="7" ht="28.5" customFormat="1" customHeight="1" s="1458" thickBot="1">
      <c r="A7" s="1341" t="inlineStr">
        <is>
          <t>COMPTE DE RESULTAT</t>
        </is>
      </c>
    </row>
    <row r="8">
      <c r="A8" s="1481" t="inlineStr">
        <is>
          <t>REF</t>
        </is>
      </c>
      <c r="B8" s="1474" t="inlineStr">
        <is>
          <t>LIBELLES</t>
        </is>
      </c>
      <c r="C8" s="1475" t="n"/>
      <c r="D8" s="1475" t="n"/>
      <c r="E8" s="1475" t="n"/>
      <c r="F8" s="1476" t="n"/>
      <c r="G8" s="1479" t="inlineStr">
        <is>
          <t>(1)</t>
        </is>
      </c>
      <c r="H8" s="1469" t="inlineStr">
        <is>
          <t>NOTE</t>
        </is>
      </c>
      <c r="I8" s="1469" t="inlineStr">
        <is>
          <t>EXERCICE AU
31/12/N</t>
        </is>
      </c>
      <c r="J8" s="1461" t="inlineStr">
        <is>
          <t>EXERCICE AU
31/12/N-1</t>
        </is>
      </c>
    </row>
    <row r="9">
      <c r="A9" s="1482" t="n"/>
      <c r="B9" s="1355" t="n"/>
      <c r="F9" s="1477" t="n"/>
      <c r="G9" s="1242" t="n"/>
      <c r="H9" s="1454" t="n"/>
      <c r="I9" s="1455" t="n"/>
      <c r="J9" s="1462" t="n"/>
    </row>
    <row r="10" ht="18" customHeight="1" s="1225">
      <c r="A10" s="1483" t="n"/>
      <c r="B10" s="1243" t="n"/>
      <c r="C10" s="1244" t="n"/>
      <c r="D10" s="1244" t="n"/>
      <c r="E10" s="1244" t="n"/>
      <c r="F10" s="1478" t="n"/>
      <c r="G10" s="1245" t="n"/>
      <c r="H10" s="1455" t="n"/>
      <c r="I10" s="1453" t="inlineStr">
        <is>
          <t>NET</t>
        </is>
      </c>
      <c r="J10" s="764" t="inlineStr">
        <is>
          <t>NET</t>
        </is>
      </c>
    </row>
    <row r="11" ht="17.1" customHeight="1" s="1225">
      <c r="A11" s="765" t="inlineStr">
        <is>
          <t>TA</t>
        </is>
      </c>
      <c r="B11" s="1463" t="inlineStr">
        <is>
          <t>Ventes de marchandises</t>
        </is>
      </c>
      <c r="F11" s="540" t="inlineStr">
        <is>
          <t>A</t>
        </is>
      </c>
      <c r="G11" s="537" t="inlineStr">
        <is>
          <t>+</t>
        </is>
      </c>
      <c r="H11" s="538" t="n">
        <v>21</v>
      </c>
      <c r="I11" s="71">
        <f>[011.EtLoc]=-CtaCptSolde("70*","701*")</f>
        <v/>
      </c>
      <c r="J11" s="766">
        <f>[011N1.EtLoc]=-CtaCptSoldeNm1("70*","701*")</f>
        <v/>
      </c>
    </row>
    <row r="12" ht="17.1" customHeight="1" s="1225">
      <c r="A12" s="767" t="inlineStr">
        <is>
          <t>RA</t>
        </is>
      </c>
      <c r="B12" s="1463" t="inlineStr">
        <is>
          <t>Achats de marchandises</t>
        </is>
      </c>
      <c r="F12" s="541" t="n"/>
      <c r="G12" s="537" t="inlineStr">
        <is>
          <t>-</t>
        </is>
      </c>
      <c r="H12" s="538" t="n">
        <v>22</v>
      </c>
      <c r="I12" s="71">
        <f>[021.EtLoc]=CtaCptSolde("601*")</f>
        <v/>
      </c>
      <c r="J12" s="766">
        <f>[021N1.EtLoc]=CtaCptSoldeNm1("601*")</f>
        <v/>
      </c>
    </row>
    <row r="13" ht="17.1" customHeight="1" s="1225">
      <c r="A13" s="767" t="inlineStr">
        <is>
          <t>RB</t>
        </is>
      </c>
      <c r="B13" s="1463" t="inlineStr">
        <is>
          <t>Variation de stocks de marchandises</t>
        </is>
      </c>
      <c r="F13" s="541" t="n"/>
      <c r="G13" s="537" t="inlineStr">
        <is>
          <t>-/+</t>
        </is>
      </c>
      <c r="H13" s="538" t="n">
        <v>6</v>
      </c>
      <c r="I13" s="71">
        <f>[022.EtLoc]=CtaCptSolde("6031*")</f>
        <v/>
      </c>
      <c r="J13" s="766">
        <f>[022N1.EtLoc]=CtaCptSoldeNm1("6031*")</f>
        <v/>
      </c>
    </row>
    <row r="14" ht="17.1" customHeight="1" s="1225">
      <c r="A14" s="768" t="inlineStr">
        <is>
          <t>XA</t>
        </is>
      </c>
      <c r="B14" s="1464" t="inlineStr">
        <is>
          <t>MARGE  COMMERCIALE  (Somme TA à RB)</t>
        </is>
      </c>
      <c r="C14" s="1253" t="n"/>
      <c r="D14" s="1253" t="n"/>
      <c r="E14" s="1465" t="n"/>
      <c r="F14" s="543" t="n"/>
      <c r="G14" s="544" t="n"/>
      <c r="H14" s="545" t="n"/>
      <c r="I14" s="336">
        <f>[031.EtLoc]=[011.EtLoc]-[021.EtLoc]-[022.EtLoc]</f>
        <v/>
      </c>
      <c r="J14" s="769">
        <f>[031N1.EtLoc]=[011N1.EtLoc]-[021N1.EtLoc]-[022N1.EtLoc]</f>
        <v/>
      </c>
    </row>
    <row r="15" ht="17.1" customHeight="1" s="1225">
      <c r="A15" s="767" t="inlineStr">
        <is>
          <t>TB</t>
        </is>
      </c>
      <c r="B15" s="1463" t="inlineStr">
        <is>
          <t>Ventes de produits fabriqués</t>
        </is>
      </c>
      <c r="F15" s="542" t="inlineStr">
        <is>
          <t>B</t>
        </is>
      </c>
      <c r="G15" s="537" t="inlineStr">
        <is>
          <t>+</t>
        </is>
      </c>
      <c r="H15" s="538" t="n">
        <v>21</v>
      </c>
      <c r="I15" s="71">
        <f>[041.EtLoc]=-CtaCptSolde("702*","704*")</f>
        <v/>
      </c>
      <c r="J15" s="766">
        <f>[041N1.EtLoc]=-CtaCptSoldeNm1("702*","704*")</f>
        <v/>
      </c>
    </row>
    <row r="16" ht="17.1" customHeight="1" s="1225">
      <c r="A16" s="767" t="inlineStr">
        <is>
          <t>TC</t>
        </is>
      </c>
      <c r="B16" s="1463" t="inlineStr">
        <is>
          <t>Travaux, services vendus</t>
        </is>
      </c>
      <c r="F16" s="542" t="inlineStr">
        <is>
          <t>C</t>
        </is>
      </c>
      <c r="G16" s="537" t="inlineStr">
        <is>
          <t>+</t>
        </is>
      </c>
      <c r="H16" s="538" t="n">
        <v>21</v>
      </c>
      <c r="I16" s="71">
        <f>[051.EtLoc]=-CtaCptSolde("705*","706*")</f>
        <v/>
      </c>
      <c r="J16" s="766">
        <f>[051N1.EtLoc]=-CtaCptSoldeNm1("705*","706*")</f>
        <v/>
      </c>
    </row>
    <row r="17" ht="17.1" customHeight="1" s="1225">
      <c r="A17" s="767" t="inlineStr">
        <is>
          <t>TD</t>
        </is>
      </c>
      <c r="B17" s="1463" t="inlineStr">
        <is>
          <t>Produits accessoires</t>
        </is>
      </c>
      <c r="F17" s="542" t="inlineStr">
        <is>
          <t>D</t>
        </is>
      </c>
      <c r="G17" s="537" t="inlineStr">
        <is>
          <t>+</t>
        </is>
      </c>
      <c r="H17" s="538" t="n">
        <v>21</v>
      </c>
      <c r="I17" s="71">
        <f>[061.EtLoc]=-CtaCptSolde("707*")</f>
        <v/>
      </c>
      <c r="J17" s="766">
        <f>[061N1.EtLoc]=-CtaCptSoldeNm1("707*")</f>
        <v/>
      </c>
    </row>
    <row r="18" ht="17.1" customHeight="1" s="1225">
      <c r="A18" s="768" t="inlineStr">
        <is>
          <t>XB</t>
        </is>
      </c>
      <c r="B18" s="1464" t="inlineStr">
        <is>
          <t>CHIFFRE D'AFFAIRES (A + B + C + D)</t>
        </is>
      </c>
      <c r="C18" s="1253" t="n"/>
      <c r="D18" s="1253" t="n"/>
      <c r="E18" s="1465" t="n"/>
      <c r="F18" s="543" t="n"/>
      <c r="G18" s="544" t="n"/>
      <c r="H18" s="545" t="n"/>
      <c r="I18" s="336">
        <f>[071.EtLoc]=[041.EtLoc]+[051.EtLoc]+[061.EtLoc]+[011.EtLoc]</f>
        <v/>
      </c>
      <c r="J18" s="769">
        <f>[071N1.EtLoc]=[041N1.EtLoc]+[051N1.EtLoc]+[061N1.EtLoc]+[011N1.EtLoc]</f>
        <v/>
      </c>
    </row>
    <row r="19" ht="17.1" customHeight="1" s="1225">
      <c r="A19" s="767" t="inlineStr">
        <is>
          <t>TE</t>
        </is>
      </c>
      <c r="B19" s="1463" t="inlineStr">
        <is>
          <t>Production stockée (ou déstockage)</t>
        </is>
      </c>
      <c r="F19" s="541" t="n"/>
      <c r="G19" s="537" t="inlineStr">
        <is>
          <t>-/+</t>
        </is>
      </c>
      <c r="H19" s="538" t="n">
        <v>6</v>
      </c>
      <c r="I19" s="71">
        <f>[062.EtLoc]=-CtaCptSolde("713*")</f>
        <v/>
      </c>
      <c r="J19" s="766">
        <f>[062N1.EtLoc]=-CtaCptSoldeNm1("713*")</f>
        <v/>
      </c>
    </row>
    <row r="20" ht="17.1" customHeight="1" s="1225">
      <c r="A20" s="767" t="inlineStr">
        <is>
          <t>TF</t>
        </is>
      </c>
      <c r="B20" s="1463" t="inlineStr">
        <is>
          <t>Production immobilisée</t>
        </is>
      </c>
      <c r="F20" s="541" t="n"/>
      <c r="G20" s="96" t="n"/>
      <c r="H20" s="538" t="n">
        <v>21</v>
      </c>
      <c r="I20" s="71">
        <f>[052.EtLoc]=-CtaCptSolde("72*","73*")</f>
        <v/>
      </c>
      <c r="J20" s="766">
        <f>[052N1.EtLoc]=-CtaCptSoldeNm1("72*","73*")</f>
        <v/>
      </c>
    </row>
    <row r="21" ht="17.1" customHeight="1" s="1225">
      <c r="A21" s="767" t="inlineStr">
        <is>
          <t>TG</t>
        </is>
      </c>
      <c r="B21" s="1463" t="inlineStr">
        <is>
          <t>Subventions d’exploitation</t>
        </is>
      </c>
      <c r="F21" s="541" t="n"/>
      <c r="G21" s="96" t="n"/>
      <c r="H21" s="538" t="n">
        <v>21</v>
      </c>
      <c r="I21" s="71">
        <f>[072.EtLoc]=-CtaCptSolde("71*")</f>
        <v/>
      </c>
      <c r="J21" s="766">
        <f>[072N1.EtLoc]=-CtaCptSoldeNm1("71*")</f>
        <v/>
      </c>
    </row>
    <row r="22" ht="17.1" customHeight="1" s="1225">
      <c r="A22" s="767" t="inlineStr">
        <is>
          <t>TH</t>
        </is>
      </c>
      <c r="B22" s="1463" t="inlineStr">
        <is>
          <t>Autres produits</t>
        </is>
      </c>
      <c r="F22" s="541" t="n"/>
      <c r="G22" s="537" t="inlineStr">
        <is>
          <t>+</t>
        </is>
      </c>
      <c r="H22" s="538" t="n">
        <v>21</v>
      </c>
      <c r="I22" s="71">
        <f>[082.EtLoc]=-CtaCptSolde("74*","76*")</f>
        <v/>
      </c>
      <c r="J22" s="766">
        <f>[082N1.EtLoc]=-CtaCptSoldeNm1("74*","76*")</f>
        <v/>
      </c>
    </row>
    <row r="23" ht="17.1" customHeight="1" s="1225">
      <c r="A23" s="767" t="inlineStr">
        <is>
          <t>TI</t>
        </is>
      </c>
      <c r="B23" s="1463" t="inlineStr">
        <is>
          <t>Transferts de charges d'exploitation</t>
        </is>
      </c>
      <c r="F23" s="541" t="n"/>
      <c r="G23" s="537" t="inlineStr">
        <is>
          <t>+</t>
        </is>
      </c>
      <c r="H23" s="538" t="n">
        <v>12</v>
      </c>
      <c r="I23" s="71">
        <f>[092.EtLoc]=-CtaCptSolde("781*")</f>
        <v/>
      </c>
      <c r="J23" s="766">
        <f>[092N1.EtLoc]=-CtaCptSoldeNm1("781*")</f>
        <v/>
      </c>
    </row>
    <row r="24" ht="17.1" customHeight="1" s="1225">
      <c r="A24" s="767" t="inlineStr">
        <is>
          <t>RC</t>
        </is>
      </c>
      <c r="B24" s="1463" t="inlineStr">
        <is>
          <t>Achats de matières premières et fournitures liées</t>
        </is>
      </c>
      <c r="F24" s="541" t="n"/>
      <c r="G24" s="537" t="inlineStr">
        <is>
          <t>-</t>
        </is>
      </c>
      <c r="H24" s="538" t="n">
        <v>22</v>
      </c>
      <c r="I24" s="71">
        <f>[101.EtLoc]=-CtaCptSolde("601*","602*")</f>
        <v/>
      </c>
      <c r="J24" s="766">
        <f>[101N1.EtLoc]=-CtaCptSoldeNm1("601*","602*")</f>
        <v/>
      </c>
    </row>
    <row r="25" ht="17.1" customHeight="1" s="1225">
      <c r="A25" s="767" t="inlineStr">
        <is>
          <t>RD</t>
        </is>
      </c>
      <c r="B25" s="1463" t="inlineStr">
        <is>
          <t>Variation de stocks de matières premières et fournitures liées</t>
        </is>
      </c>
      <c r="F25" s="541" t="n"/>
      <c r="G25" s="537" t="inlineStr">
        <is>
          <t>-/+</t>
        </is>
      </c>
      <c r="H25" s="538" t="n">
        <v>6</v>
      </c>
      <c r="I25" s="1166">
        <f>[102.EtLoc]=-CtaCptSolde("6032*")</f>
        <v/>
      </c>
      <c r="J25" s="766">
        <f>[102N1.EtLoc]=-CtaCptSoldeNm1("6032*")</f>
        <v/>
      </c>
    </row>
    <row r="26" ht="17.1" customHeight="1" s="1225">
      <c r="A26" s="767" t="inlineStr">
        <is>
          <t>RE</t>
        </is>
      </c>
      <c r="B26" s="1463" t="inlineStr">
        <is>
          <t>Autres achats</t>
        </is>
      </c>
      <c r="F26" s="541" t="n"/>
      <c r="G26" s="537" t="inlineStr">
        <is>
          <t>-</t>
        </is>
      </c>
      <c r="H26" s="538" t="n">
        <v>22</v>
      </c>
      <c r="I26" s="1166">
        <f>[201.EtLoc]=-CtaCptSolde("604*","609*")</f>
        <v/>
      </c>
      <c r="J26" s="766">
        <f>[201N1.EtLoc]=-CtaCptSoldeNm1("604*","609*")</f>
        <v/>
      </c>
    </row>
    <row r="27" ht="17.1" customHeight="1" s="1225">
      <c r="A27" s="767" t="inlineStr">
        <is>
          <t>RF</t>
        </is>
      </c>
      <c r="B27" s="1463" t="inlineStr">
        <is>
          <t>Variation de stocks d’autres approvisionnements</t>
        </is>
      </c>
      <c r="F27" s="541" t="n"/>
      <c r="G27" s="537" t="inlineStr">
        <is>
          <t>-/+</t>
        </is>
      </c>
      <c r="H27" s="538" t="n">
        <v>6</v>
      </c>
      <c r="I27" s="1166">
        <f>[202.EtLoc]=-CtaCptSolde("6033*","6038*")</f>
        <v/>
      </c>
      <c r="J27" s="766">
        <f>[202N1.EtLoc]=-CtaCptSoldeNm1("6033*","6038*")</f>
        <v/>
      </c>
    </row>
    <row r="28" ht="17.1" customHeight="1" s="1225">
      <c r="A28" s="767" t="inlineStr">
        <is>
          <t>RG</t>
        </is>
      </c>
      <c r="B28" s="1463" t="inlineStr">
        <is>
          <t>Transports</t>
        </is>
      </c>
      <c r="F28" s="541" t="n"/>
      <c r="G28" s="537" t="inlineStr">
        <is>
          <t>-</t>
        </is>
      </c>
      <c r="H28" s="538" t="n">
        <v>23</v>
      </c>
      <c r="I28" s="1132">
        <f>[301.EtLoc]=-CtaCptSolde("61*")</f>
        <v/>
      </c>
      <c r="J28" s="766">
        <f>[301N1.EtLoc]=-CtaCptSoldeNm1("61*")</f>
        <v/>
      </c>
    </row>
    <row r="29" ht="17.1" customHeight="1" s="1225">
      <c r="A29" s="767" t="inlineStr">
        <is>
          <t>RH</t>
        </is>
      </c>
      <c r="B29" s="1463" t="inlineStr">
        <is>
          <t>Services extérieurs</t>
        </is>
      </c>
      <c r="F29" s="541" t="n"/>
      <c r="G29" s="537" t="inlineStr">
        <is>
          <t>-</t>
        </is>
      </c>
      <c r="H29" s="538" t="n">
        <v>24</v>
      </c>
      <c r="I29" s="71">
        <f>[302.EtLoc]=-CtaCptSolde("62*","63*")</f>
        <v/>
      </c>
      <c r="J29" s="766">
        <f>[302N1.EtLoc]=-CtaCptSoldeNm1("62*","63*")</f>
        <v/>
      </c>
    </row>
    <row r="30" ht="17.1" customHeight="1" s="1225">
      <c r="A30" s="767" t="inlineStr">
        <is>
          <t>RI</t>
        </is>
      </c>
      <c r="B30" s="1463" t="inlineStr">
        <is>
          <t>Impôts et taxes</t>
        </is>
      </c>
      <c r="F30" s="541" t="n"/>
      <c r="G30" s="537" t="inlineStr">
        <is>
          <t>-</t>
        </is>
      </c>
      <c r="H30" s="538" t="n">
        <v>25</v>
      </c>
      <c r="I30" s="71">
        <f>[401.EtLoc]=-CtaCptSolde("64*")</f>
        <v/>
      </c>
      <c r="J30" s="766">
        <f>[401N1.EtLoc]=-CtaCptSoldeNm1("64*")</f>
        <v/>
      </c>
    </row>
    <row r="31" ht="17.1" customHeight="1" s="1225">
      <c r="A31" s="767" t="inlineStr">
        <is>
          <t>RJ</t>
        </is>
      </c>
      <c r="B31" s="1463" t="inlineStr">
        <is>
          <t>Autres charges</t>
        </is>
      </c>
      <c r="F31" s="541" t="n"/>
      <c r="G31" s="537" t="inlineStr">
        <is>
          <t>-</t>
        </is>
      </c>
      <c r="H31" s="538" t="n">
        <v>26</v>
      </c>
      <c r="I31" s="71">
        <f>[402.EtLoc]=-CtaCptSolde("65*")</f>
        <v/>
      </c>
      <c r="J31" s="766">
        <f>[402N1.EtLoc]=-CtaCptSoldeNm1("65*")</f>
        <v/>
      </c>
    </row>
    <row r="32" ht="17.1" customHeight="1" s="1225">
      <c r="A32" s="768" t="inlineStr">
        <is>
          <t>XC</t>
        </is>
      </c>
      <c r="B32" s="1464" t="inlineStr">
        <is>
          <t>VALEUR AJOUTEE (XB +RA+RB) + (somme TE à RJ)</t>
        </is>
      </c>
      <c r="C32" s="1253" t="n"/>
      <c r="D32" s="1253" t="n"/>
      <c r="E32" s="1465" t="n"/>
      <c r="F32" s="543" t="n"/>
      <c r="G32" s="544" t="n"/>
      <c r="H32" s="545" t="n"/>
      <c r="I32" s="336">
        <f>[091.EtLoc]=[071.EtLoc]+[062.EtLoc]+[052.EtLoc]+[072.EtLoc]+[082.EtLoc]+[092.EtLoc]+[101.EtLoc]+[102.EtLoc]+[201.EtLoc]+[202.EtLoc]+[301.EtLoc]+[302.EtLoc]+[401.EtLoc]+[402.EtLoc]</f>
        <v/>
      </c>
      <c r="J32" s="769">
        <f>[091N1.EtLoc]=[071N1.EtLoc]+[062N1.EtLoc]+[052N1.EtLoc]+[072N1.EtLoc]+[082N1.EtLoc]+[092N1.EtLoc]+[101N1.EtLoc]+[102N1.EtLoc]+[201N1.EtLoc]+[202N1.EtLoc]+[301N1.EtLoc]+[302N1.EtLoc]+[401N1.EtLoc]+[402N1.EtLoc]</f>
        <v/>
      </c>
    </row>
    <row r="33" ht="17.1" customHeight="1" s="1225">
      <c r="A33" s="767" t="inlineStr">
        <is>
          <t>RK</t>
        </is>
      </c>
      <c r="B33" s="1463" t="inlineStr">
        <is>
          <t>Charges de personnel</t>
        </is>
      </c>
      <c r="F33" s="541" t="n"/>
      <c r="G33" s="537" t="inlineStr">
        <is>
          <t>-</t>
        </is>
      </c>
      <c r="H33" s="538" t="n">
        <v>27</v>
      </c>
      <c r="I33" s="71">
        <f>[121.EtLoc]=CtaCptSolde("66*")</f>
        <v/>
      </c>
      <c r="J33" s="766">
        <f>[121N1.EtLoc]=CtaCptSoldeNm1("66*")</f>
        <v/>
      </c>
    </row>
    <row r="34" ht="17.1" customHeight="1" s="1225">
      <c r="A34" s="768" t="inlineStr">
        <is>
          <t>XD</t>
        </is>
      </c>
      <c r="B34" s="1464" t="inlineStr">
        <is>
          <t>EXCEDENT BRUT D'EXPLOITATION (XC+RK)</t>
        </is>
      </c>
      <c r="C34" s="1253" t="n"/>
      <c r="D34" s="1253" t="n"/>
      <c r="E34" s="1465" t="n"/>
      <c r="F34" s="543" t="n"/>
      <c r="G34" s="544" t="n"/>
      <c r="H34" s="545" t="n"/>
      <c r="I34" s="336">
        <f>[131.EtLoc]=[091.EtLoc]-([121.EtLoc])</f>
        <v/>
      </c>
      <c r="J34" s="769">
        <f>[131N1.EtLoc]=[091N1.EtLoc]-([121N1.EtLoc])</f>
        <v/>
      </c>
    </row>
    <row r="35" ht="17.1" customHeight="1" s="1225">
      <c r="A35" s="767" t="inlineStr">
        <is>
          <t>TJ</t>
        </is>
      </c>
      <c r="B35" s="1463" t="inlineStr">
        <is>
          <t>Reprises d’amortissements, provisions et dépréciations</t>
        </is>
      </c>
      <c r="F35" s="541" t="n"/>
      <c r="G35" s="537" t="inlineStr">
        <is>
          <t>+</t>
        </is>
      </c>
      <c r="H35" s="538" t="n">
        <v>28</v>
      </c>
      <c r="I35" s="71">
        <f>[141.EtLoc]=-CtaCptSolde("78*")</f>
        <v/>
      </c>
      <c r="J35" s="766">
        <f>[141N1.EtLoc]=-CtaCptSoldeNm1("78*")</f>
        <v/>
      </c>
    </row>
    <row r="36" ht="17.1" customHeight="1" s="1225">
      <c r="A36" s="767" t="inlineStr">
        <is>
          <t>RL</t>
        </is>
      </c>
      <c r="B36" s="1463" t="inlineStr">
        <is>
          <t>Dotations aux amortissements, aux provisions et dépréciations</t>
        </is>
      </c>
      <c r="F36" s="541" t="n"/>
      <c r="G36" s="537" t="inlineStr">
        <is>
          <t>-</t>
        </is>
      </c>
      <c r="H36" s="538" t="inlineStr">
        <is>
          <t>3C&amp;28</t>
        </is>
      </c>
      <c r="I36" s="71">
        <f>[171.EtLoc]=CtaCptSolde("68*")</f>
        <v/>
      </c>
      <c r="J36" s="766">
        <f>[171N1.EtLoc]=CtaCptSoldeNm1("68*")</f>
        <v/>
      </c>
    </row>
    <row r="37" ht="17.1" customHeight="1" s="1225">
      <c r="A37" s="768" t="inlineStr">
        <is>
          <t>XE</t>
        </is>
      </c>
      <c r="B37" s="1464" t="inlineStr">
        <is>
          <t>RESULTAT D'EXPLOITATION (XD+TJ+ RL)</t>
        </is>
      </c>
      <c r="C37" s="1253" t="n"/>
      <c r="D37" s="1253" t="n"/>
      <c r="E37" s="1465" t="n"/>
      <c r="F37" s="543" t="n"/>
      <c r="G37" s="544" t="n"/>
      <c r="H37" s="545" t="n"/>
      <c r="I37" s="336">
        <f>[191.EtLoc]=[131.EtLoc]+[141.EtLoc]-[171.EtLoc]</f>
        <v/>
      </c>
      <c r="J37" s="769">
        <f>[191N1.EtLoc]=[131N1.EtLoc]+[141N1.EtLoc]-[171N1.EtLoc]</f>
        <v/>
      </c>
    </row>
    <row r="38" ht="17.1" customHeight="1" s="1225">
      <c r="A38" s="767" t="inlineStr">
        <is>
          <t>TK</t>
        </is>
      </c>
      <c r="B38" s="1463" t="inlineStr">
        <is>
          <t>Revenus financiers et assimilés</t>
        </is>
      </c>
      <c r="F38" s="541" t="n"/>
      <c r="G38" s="537" t="inlineStr">
        <is>
          <t>+</t>
        </is>
      </c>
      <c r="H38" s="538" t="n">
        <v>29</v>
      </c>
      <c r="I38" s="71">
        <f>[211.EtLoc]=-CtaCptSolde("77*")</f>
        <v/>
      </c>
      <c r="J38" s="766">
        <f>[211N1.EtLoc]=-CtaCptSoldeNm1("77*")</f>
        <v/>
      </c>
    </row>
    <row r="39" ht="17.1" customHeight="1" s="1225">
      <c r="A39" s="767" t="inlineStr">
        <is>
          <t>TL</t>
        </is>
      </c>
      <c r="B39" s="1463" t="inlineStr">
        <is>
          <t>Reprises de provisions  et dépréciations financières</t>
        </is>
      </c>
      <c r="F39" s="541" t="n"/>
      <c r="G39" s="537" t="inlineStr">
        <is>
          <t>+</t>
        </is>
      </c>
      <c r="H39" s="538" t="n">
        <v>28</v>
      </c>
      <c r="I39" s="71">
        <f>[212.EtLoc]=-CtaCptSolde("797*")</f>
        <v/>
      </c>
      <c r="J39" s="766">
        <f>[212N1.EtLoc]=-CtaCptSoldeNm1("797*")</f>
        <v/>
      </c>
    </row>
    <row r="40" ht="17.1" customHeight="1" s="1225">
      <c r="A40" s="767" t="inlineStr">
        <is>
          <t>TM</t>
        </is>
      </c>
      <c r="B40" s="1463" t="inlineStr">
        <is>
          <t>Transferts de charges financières</t>
        </is>
      </c>
      <c r="F40" s="541" t="n"/>
      <c r="G40" s="537" t="inlineStr">
        <is>
          <t>+</t>
        </is>
      </c>
      <c r="H40" s="538" t="n">
        <v>12</v>
      </c>
      <c r="I40" s="71">
        <f>[221.EtLoc]=-CtaCptSolde("787*")</f>
        <v/>
      </c>
      <c r="J40" s="766">
        <f>[221N1.EtLoc]=-CtaCptSoldeNm1("787*")</f>
        <v/>
      </c>
    </row>
    <row r="41" ht="17.1" customHeight="1" s="1225">
      <c r="A41" s="767" t="inlineStr">
        <is>
          <t>RM</t>
        </is>
      </c>
      <c r="B41" s="1463" t="inlineStr">
        <is>
          <t>Frais financiers et charges assimilées</t>
        </is>
      </c>
      <c r="F41" s="541" t="n"/>
      <c r="G41" s="537" t="inlineStr">
        <is>
          <t>-</t>
        </is>
      </c>
      <c r="H41" s="538" t="n">
        <v>29</v>
      </c>
      <c r="I41" s="71">
        <f>[231.EtLoc]=CtaCptSolde("67*")</f>
        <v/>
      </c>
      <c r="J41" s="766">
        <f>[231N1.EtLoc]=CtaCptSoldeNm1("67*")</f>
        <v/>
      </c>
    </row>
    <row r="42" ht="17.1" customHeight="1" s="1225">
      <c r="A42" s="767" t="inlineStr">
        <is>
          <t>RN</t>
        </is>
      </c>
      <c r="B42" s="1463" t="inlineStr">
        <is>
          <t>Dotations aux provisions et aux dépréciations financières</t>
        </is>
      </c>
      <c r="F42" s="541" t="n"/>
      <c r="G42" s="537" t="inlineStr">
        <is>
          <t>-</t>
        </is>
      </c>
      <c r="H42" s="538" t="inlineStr">
        <is>
          <t>3C&amp;28</t>
        </is>
      </c>
      <c r="I42" s="71">
        <f>[232.EtLoc]=CtaCptSolde("687*")</f>
        <v/>
      </c>
      <c r="J42" s="766">
        <f>[232N1.EtLoc]=CtaCptSoldeNm1("687*")</f>
        <v/>
      </c>
    </row>
    <row r="43" ht="17.1" customHeight="1" s="1225">
      <c r="A43" s="768" t="inlineStr">
        <is>
          <t>XF</t>
        </is>
      </c>
      <c r="B43" s="1464" t="inlineStr">
        <is>
          <t>RESULTAT  FINANCIER  (somme TK à RN)</t>
        </is>
      </c>
      <c r="C43" s="1253" t="n"/>
      <c r="D43" s="1253" t="n"/>
      <c r="E43" s="1465" t="n"/>
      <c r="F43" s="543" t="n"/>
      <c r="G43" s="544" t="n"/>
      <c r="H43" s="545" t="n"/>
      <c r="I43" s="336">
        <f>[241.EtLoc]=[211.EtLoc]+[212.EtLoc]+[221.EtLoc]-[231.EtLoc]-[232.EtLoc]</f>
        <v/>
      </c>
      <c r="J43" s="769">
        <f>[241N1.EtLoc]=[211N1.EtLoc]+[212N1.EtLoc]+[221N1.EtLoc]-[231N1.EtLoc]-[232N1.EtLoc]</f>
        <v/>
      </c>
    </row>
    <row r="44" ht="17.1" customHeight="1" s="1225">
      <c r="A44" s="768" t="inlineStr">
        <is>
          <t>XG</t>
        </is>
      </c>
      <c r="B44" s="1464" t="inlineStr">
        <is>
          <t>RESULTAT  DES ACTIVITES ORDINAIRES (XE+XF)</t>
        </is>
      </c>
      <c r="C44" s="1253" t="n"/>
      <c r="D44" s="1253" t="n"/>
      <c r="E44" s="1465" t="n"/>
      <c r="F44" s="543" t="n"/>
      <c r="G44" s="544" t="n"/>
      <c r="H44" s="545" t="n"/>
      <c r="I44" s="336">
        <f>[242.EtLoc]=[191.EtLoc]+[241.EtLoc]</f>
        <v/>
      </c>
      <c r="J44" s="769">
        <f>[242N1.EtLoc]=[191N1.EtLoc]+[241N1.EtLoc]</f>
        <v/>
      </c>
    </row>
    <row r="45" ht="17.1" customHeight="1" s="1225">
      <c r="A45" s="767" t="inlineStr">
        <is>
          <t>TN</t>
        </is>
      </c>
      <c r="B45" s="1463" t="inlineStr">
        <is>
          <t>Produits des cessions d'immobilisations</t>
        </is>
      </c>
      <c r="F45" s="541" t="n"/>
      <c r="G45" s="537" t="inlineStr">
        <is>
          <t>+</t>
        </is>
      </c>
      <c r="H45" s="538" t="inlineStr">
        <is>
          <t>3D</t>
        </is>
      </c>
      <c r="I45" s="71">
        <f>[271.EtLoc]=-CtaCptSolde("84*")</f>
        <v/>
      </c>
      <c r="J45" s="766">
        <f>[271N1.EtLoc]=-CtaCptSoldeNm1("84*")</f>
        <v/>
      </c>
    </row>
    <row r="46" ht="17.1" customHeight="1" s="1225">
      <c r="A46" s="767" t="inlineStr">
        <is>
          <t>TO</t>
        </is>
      </c>
      <c r="B46" s="1463" t="inlineStr">
        <is>
          <t>Autres Produits HAO</t>
        </is>
      </c>
      <c r="F46" s="541" t="n"/>
      <c r="G46" s="537" t="inlineStr">
        <is>
          <t>+</t>
        </is>
      </c>
      <c r="H46" s="538" t="n">
        <v>30</v>
      </c>
      <c r="I46" s="71">
        <f>[251.EtLoc]=-CtaCptSolde("82*")</f>
        <v/>
      </c>
      <c r="J46" s="766">
        <f>[251N1.EtLoc]=-CtaCptSoldeNm1("82*")</f>
        <v/>
      </c>
    </row>
    <row r="47" ht="17.1" customHeight="1" s="1225">
      <c r="A47" s="767" t="inlineStr">
        <is>
          <t>RO</t>
        </is>
      </c>
      <c r="B47" s="1463" t="inlineStr">
        <is>
          <t>Valeurs comptables des cessions d'immobilisations</t>
        </is>
      </c>
      <c r="F47" s="541" t="n"/>
      <c r="G47" s="537" t="inlineStr">
        <is>
          <t>-</t>
        </is>
      </c>
      <c r="H47" s="538" t="inlineStr">
        <is>
          <t>3D</t>
        </is>
      </c>
      <c r="I47" s="71">
        <f>[261.EtLoc]=CtaCptSolde("81*")+CtaCptSolde("83*")</f>
        <v/>
      </c>
      <c r="J47" s="766">
        <f>[261N1.EtLoc]=CtaCptSoldeNm1("81*")+CtaCptSoldeNm1("83*")</f>
        <v/>
      </c>
    </row>
    <row r="48" ht="17.1" customHeight="1" s="1225">
      <c r="A48" s="767" t="inlineStr">
        <is>
          <t>RP</t>
        </is>
      </c>
      <c r="B48" s="1463" t="inlineStr">
        <is>
          <t>Autres Charges HAO</t>
        </is>
      </c>
      <c r="F48" s="541" t="n"/>
      <c r="G48" s="537" t="inlineStr">
        <is>
          <t>-</t>
        </is>
      </c>
      <c r="H48" s="538" t="n">
        <v>30</v>
      </c>
      <c r="I48" s="71">
        <f>[262.EtLoc]=CtaCptSolde("85*")</f>
        <v/>
      </c>
      <c r="J48" s="766">
        <f>[262N1.EtLoc]=CtaCptSoldeNm1("85*")</f>
        <v/>
      </c>
    </row>
    <row r="49" ht="17.1" customHeight="1" s="1225">
      <c r="A49" s="768" t="inlineStr">
        <is>
          <t>XH</t>
        </is>
      </c>
      <c r="B49" s="1464" t="inlineStr">
        <is>
          <t>RESULTAT HORS ACTIVITES ORDINAIRES (somme TN à RP)</t>
        </is>
      </c>
      <c r="C49" s="1253" t="n"/>
      <c r="D49" s="1253" t="n"/>
      <c r="E49" s="1465" t="n"/>
      <c r="F49" s="543" t="n"/>
      <c r="G49" s="544" t="n"/>
      <c r="H49" s="545" t="n"/>
      <c r="I49" s="336">
        <f>[272.EtLoc]=[271.EtLoc]+[251.EtLoc]-[261.EtLoc]-[262.EtLoc]</f>
        <v/>
      </c>
      <c r="J49" s="769">
        <f>[272N1.EtLoc]=[271N1.EtLoc]+[251N1.EtLoc]-[261N1.EtLoc]-[262N1.EtLoc]</f>
        <v/>
      </c>
    </row>
    <row r="50" ht="17.1" customHeight="1" s="1225">
      <c r="A50" s="767" t="inlineStr">
        <is>
          <t>RQ</t>
        </is>
      </c>
      <c r="B50" s="1463" t="inlineStr">
        <is>
          <t>Participation des travailleurs</t>
        </is>
      </c>
      <c r="F50" s="541" t="n"/>
      <c r="G50" s="537" t="inlineStr">
        <is>
          <t>-</t>
        </is>
      </c>
      <c r="H50" s="538" t="n">
        <v>30</v>
      </c>
      <c r="I50" s="71">
        <f>[281.EtLoc]=CtaCptSolde("87*")</f>
        <v/>
      </c>
      <c r="J50" s="766">
        <f>[281N1.EtLoc]=CtaCptSoldeNm1("87*")</f>
        <v/>
      </c>
    </row>
    <row r="51" ht="17.1" customHeight="1" s="1225">
      <c r="A51" s="767" t="inlineStr">
        <is>
          <t>RS</t>
        </is>
      </c>
      <c r="B51" s="1463" t="inlineStr">
        <is>
          <t>Impôts sur le résultat</t>
        </is>
      </c>
      <c r="F51" s="541" t="n"/>
      <c r="G51" s="537" t="inlineStr">
        <is>
          <t>-</t>
        </is>
      </c>
      <c r="H51" s="539" t="n">
        <v>37</v>
      </c>
      <c r="I51" s="1992">
        <f>[291.EtLoc]=CtaCptSolde("89*")</f>
        <v/>
      </c>
      <c r="J51" s="766">
        <f>[291N1.EtLoc]=CtaCptSoldeNm1("89*")</f>
        <v/>
      </c>
    </row>
    <row r="52" ht="17.1" customHeight="1" s="1225" thickBot="1">
      <c r="A52" s="770" t="inlineStr">
        <is>
          <t>XI</t>
        </is>
      </c>
      <c r="B52" s="1470" t="inlineStr">
        <is>
          <t>RESULTAT NET (XG+XH+RQ+RS)</t>
        </is>
      </c>
      <c r="C52" s="1471" t="n"/>
      <c r="D52" s="1471" t="n"/>
      <c r="E52" s="1472" t="n"/>
      <c r="F52" s="771" t="n"/>
      <c r="G52" s="772" t="n"/>
      <c r="H52" s="773" t="n"/>
      <c r="I52" s="774">
        <f>[332.EtLoc]=[191.EtLoc]+[241.EtLoc]+[272.EtLoc]-[281.EtLoc]-[291.EtLoc]</f>
        <v/>
      </c>
      <c r="J52" s="775">
        <f>[332N1.EtLoc]=[191N1.EtLoc]+[241N1.EtLoc]+[272N1.EtLoc]-[281N1.EtLoc]-[291N1.EtLoc]</f>
        <v/>
      </c>
    </row>
    <row r="53" ht="16.5" customHeight="1" s="1225">
      <c r="A53" s="1466" t="inlineStr">
        <is>
          <t>(1) (+/-) : Solde débiteur "(-)", solde créditeur "(+)"</t>
        </is>
      </c>
      <c r="I53" s="1505" t="n"/>
    </row>
    <row r="54">
      <c r="I54" s="1992" t="n"/>
    </row>
  </sheetData>
  <mergeCells count="57">
    <mergeCell ref="C3:J3"/>
    <mergeCell ref="B40:E40"/>
    <mergeCell ref="F5:H5"/>
    <mergeCell ref="B49:E49"/>
    <mergeCell ref="A8:A10"/>
    <mergeCell ref="B30:E30"/>
    <mergeCell ref="C5:D5"/>
    <mergeCell ref="B15:E15"/>
    <mergeCell ref="B33:E33"/>
    <mergeCell ref="B24:E24"/>
    <mergeCell ref="B51:E51"/>
    <mergeCell ref="H2:J2"/>
    <mergeCell ref="B20:E20"/>
    <mergeCell ref="B36:E36"/>
    <mergeCell ref="B32:E32"/>
    <mergeCell ref="B45:E45"/>
    <mergeCell ref="B26:E26"/>
    <mergeCell ref="B41:E41"/>
    <mergeCell ref="B35:E35"/>
    <mergeCell ref="B50:E50"/>
    <mergeCell ref="B8:F10"/>
    <mergeCell ref="B16:E16"/>
    <mergeCell ref="B25:E25"/>
    <mergeCell ref="B47:E47"/>
    <mergeCell ref="G8:G10"/>
    <mergeCell ref="B46:E46"/>
    <mergeCell ref="H8:H10"/>
    <mergeCell ref="B22:E22"/>
    <mergeCell ref="A53:F53"/>
    <mergeCell ref="B31:E31"/>
    <mergeCell ref="A1:J1"/>
    <mergeCell ref="B27:E27"/>
    <mergeCell ref="B18:E18"/>
    <mergeCell ref="I8:I9"/>
    <mergeCell ref="B43:E43"/>
    <mergeCell ref="B12:E12"/>
    <mergeCell ref="B52:E52"/>
    <mergeCell ref="B21:E21"/>
    <mergeCell ref="B48:E48"/>
    <mergeCell ref="B39:E39"/>
    <mergeCell ref="B11:E11"/>
    <mergeCell ref="A7:J7"/>
    <mergeCell ref="B42:E42"/>
    <mergeCell ref="B14:E14"/>
    <mergeCell ref="C6:E6"/>
    <mergeCell ref="B17:E17"/>
    <mergeCell ref="B23:E23"/>
    <mergeCell ref="B13:E13"/>
    <mergeCell ref="J8:J9"/>
    <mergeCell ref="B38:E38"/>
    <mergeCell ref="B44:E44"/>
    <mergeCell ref="B29:E29"/>
    <mergeCell ref="C4:H4"/>
    <mergeCell ref="B19:E19"/>
    <mergeCell ref="B37:E37"/>
    <mergeCell ref="B28:E28"/>
    <mergeCell ref="B34:E34"/>
  </mergeCells>
  <dataValidations count="1">
    <dataValidation sqref="I11:J13 I15:J17 I19:J27 I29:I31 I33:J33 I35:J36 I38:J42 I45:J48 I50 J28:J31 J50:J51" showDropDown="0" showInputMessage="1" showErrorMessage="1" allowBlank="1" errorTitle="Attention !" error="Valeur numérique attendue" type="whole">
      <formula1>-9999999999999</formula1>
      <formula2>9999999999999</formula2>
    </dataValidation>
  </dataValidations>
  <printOptions horizontalCentered="1"/>
  <pageMargins left="0.3937007874015748" right="0.3149606299212598" top="0.2755905511811024" bottom="0.2755905511811024" header="0.1181102362204725" footer="0.1181102362204725"/>
  <pageSetup orientation="portrait" paperSize="9" scale="86"/>
</worksheet>
</file>

<file path=xl/worksheets/sheet13.xml><?xml version="1.0" encoding="utf-8"?>
<worksheet xmlns="http://schemas.openxmlformats.org/spreadsheetml/2006/main">
  <sheetPr codeName="Feuil13">
    <tabColor theme="4" tint="0.5999938962981048"/>
    <outlinePr summaryBelow="1" summaryRight="1"/>
    <pageSetUpPr fitToPage="1"/>
  </sheetPr>
  <dimension ref="A1:N71"/>
  <sheetViews>
    <sheetView showGridLines="0" showZeros="0" topLeftCell="A4" zoomScaleNormal="100" workbookViewId="0">
      <selection activeCell="B14" sqref="B14:F14"/>
    </sheetView>
  </sheetViews>
  <sheetFormatPr baseColWidth="10" defaultRowHeight="15"/>
  <cols>
    <col width="4.5703125" customWidth="1" style="1225" min="1" max="1"/>
    <col width="25.140625" customWidth="1" style="1225" min="2" max="2"/>
    <col width="8.42578125" customWidth="1" style="1225" min="3" max="3"/>
    <col width="10.140625" customWidth="1" style="1225" min="4" max="4"/>
    <col width="14.42578125" customWidth="1" style="1225" min="5" max="5"/>
    <col width="12.28515625" customWidth="1" style="1225" min="6" max="6"/>
    <col width="3.140625" customWidth="1" style="1467" min="7" max="7"/>
    <col width="6.42578125" customWidth="1" style="1225" min="8" max="8"/>
    <col width="15.7109375" customWidth="1" style="1225" min="9" max="9"/>
    <col width="18.5703125" customWidth="1" style="1225" min="10" max="10"/>
    <col width="13" bestFit="1" customWidth="1" style="1225" min="11" max="11"/>
    <col width="12.28515625" bestFit="1" customWidth="1" style="1225" min="12" max="12"/>
  </cols>
  <sheetData>
    <row r="1">
      <c r="A1" s="1429" t="inlineStr">
        <is>
          <t>- 6 -</t>
        </is>
      </c>
    </row>
    <row r="2" ht="27" customHeight="1" s="1225">
      <c r="A2" s="1429" t="n"/>
      <c r="B2" s="1429" t="n"/>
      <c r="C2" s="1429" t="n"/>
      <c r="D2" s="1429" t="n"/>
      <c r="E2" s="1429" t="n"/>
      <c r="F2" s="1429" t="n"/>
      <c r="G2" s="1429" t="n"/>
      <c r="H2" s="1438" t="inlineStr">
        <is>
          <t>FLUX DE TRESORERIE SYSTEME NORMAL 
PAGE 1/1</t>
        </is>
      </c>
      <c r="I2" s="1420" t="n"/>
      <c r="J2" s="1411" t="n"/>
    </row>
    <row r="3" ht="15.75" customFormat="1" customHeight="1" s="1451">
      <c r="A3" s="1451" t="inlineStr">
        <is>
          <t>Dénomination sociale de l'entité :</t>
        </is>
      </c>
      <c r="C3" s="1488">
        <f>BILAN!C3</f>
        <v/>
      </c>
      <c r="D3" s="1288" t="n"/>
      <c r="E3" s="1288" t="n"/>
      <c r="F3" s="1288" t="n"/>
      <c r="G3" s="1288" t="n"/>
      <c r="H3" s="1288" t="n"/>
      <c r="I3" s="1288" t="n"/>
      <c r="J3" s="1288" t="n"/>
      <c r="K3" s="1450" t="n"/>
      <c r="L3" s="1450" t="n"/>
    </row>
    <row r="4" ht="15.75" customFormat="1" customHeight="1" s="1451">
      <c r="A4" s="1451" t="inlineStr">
        <is>
          <t>Adresse :</t>
        </is>
      </c>
      <c r="C4" s="1488">
        <f>BILAN!C4</f>
        <v/>
      </c>
      <c r="D4" s="1288" t="n"/>
      <c r="E4" s="1288" t="n"/>
      <c r="F4" s="1288" t="n"/>
      <c r="G4" s="1288" t="n"/>
      <c r="H4" s="1288" t="n"/>
      <c r="I4" s="1589" t="inlineStr">
        <is>
          <t>Sigle usuel :</t>
        </is>
      </c>
      <c r="J4" s="1970">
        <f>BILAN!N4</f>
        <v/>
      </c>
      <c r="K4" s="1450" t="n"/>
      <c r="L4" s="1457" t="n"/>
    </row>
    <row r="5" ht="15.75" customFormat="1" customHeight="1" s="1451">
      <c r="A5" s="1451" t="inlineStr">
        <is>
          <t>N° IFU du contribuable  :</t>
        </is>
      </c>
      <c r="C5" s="1503">
        <f>BILAN!C5</f>
        <v/>
      </c>
      <c r="D5" s="1346" t="n"/>
      <c r="E5" s="438" t="inlineStr">
        <is>
          <t>Exercice clos le :</t>
        </is>
      </c>
      <c r="F5" s="1502">
        <f>BILAN!K5</f>
        <v/>
      </c>
      <c r="G5" s="1346" t="n"/>
      <c r="H5" s="1346" t="n"/>
      <c r="I5" s="1589" t="inlineStr">
        <is>
          <t>Durée (en mois) :</t>
        </is>
      </c>
      <c r="J5" s="1970">
        <f>BILAN!N5</f>
        <v/>
      </c>
      <c r="K5" s="1457" t="n"/>
      <c r="L5" s="1457" t="n"/>
    </row>
    <row r="6" ht="15.75" customFormat="1" customHeight="1" s="1451">
      <c r="A6" s="1451" t="inlineStr">
        <is>
          <t xml:space="preserve">N° de télédéclarant (NES): </t>
        </is>
      </c>
      <c r="C6" s="1488">
        <f>GARDE!D31</f>
        <v/>
      </c>
      <c r="D6" s="1288" t="n"/>
      <c r="E6" s="1288" t="n"/>
      <c r="F6" s="1970" t="n"/>
      <c r="G6" s="1970" t="n"/>
      <c r="H6" s="1970" t="n"/>
      <c r="I6" s="254" t="n"/>
      <c r="J6" s="1970" t="n"/>
      <c r="K6" s="1457" t="n"/>
      <c r="L6" s="1457" t="n"/>
    </row>
    <row r="7" ht="28.5" customHeight="1" s="1225" thickBot="1">
      <c r="A7" s="1341" t="inlineStr">
        <is>
          <t>TABLEAU DES FLUX DE TRESORERIE</t>
        </is>
      </c>
      <c r="N7" s="1451" t="n"/>
    </row>
    <row r="8" ht="19.5" customHeight="1" s="1225">
      <c r="A8" s="1481" t="inlineStr">
        <is>
          <t>REF</t>
        </is>
      </c>
      <c r="B8" s="1469" t="inlineStr">
        <is>
          <t>LIBELLES</t>
        </is>
      </c>
      <c r="C8" s="1475" t="n"/>
      <c r="D8" s="1475" t="n"/>
      <c r="E8" s="1475" t="n"/>
      <c r="F8" s="1475" t="n"/>
      <c r="G8" s="1498" t="n"/>
      <c r="H8" s="1469" t="inlineStr">
        <is>
          <t>NOTE</t>
        </is>
      </c>
      <c r="I8" s="776" t="inlineStr">
        <is>
          <t>EXERCICE</t>
        </is>
      </c>
      <c r="J8" s="777" t="inlineStr">
        <is>
          <t>EXERCICE</t>
        </is>
      </c>
      <c r="N8" s="1451" t="n"/>
    </row>
    <row r="9" ht="14.25" customFormat="1" customHeight="1" s="1590">
      <c r="A9" s="1483" t="n"/>
      <c r="B9" s="1243" t="n"/>
      <c r="C9" s="1244" t="n"/>
      <c r="D9" s="1244" t="n"/>
      <c r="E9" s="1244" t="n"/>
      <c r="F9" s="1244" t="n"/>
      <c r="G9" s="1245" t="n"/>
      <c r="H9" s="1455" t="n"/>
      <c r="I9" s="412" t="inlineStr">
        <is>
          <t>N</t>
        </is>
      </c>
      <c r="J9" s="778" t="inlineStr">
        <is>
          <t>N-1</t>
        </is>
      </c>
      <c r="N9" s="1451" t="n"/>
    </row>
    <row r="10" ht="30.95" customHeight="1" s="1225">
      <c r="A10" s="779" t="inlineStr">
        <is>
          <t>ZA</t>
        </is>
      </c>
      <c r="B10" s="1492" t="inlineStr">
        <is>
          <t>Trésorerie nette au 1er janvier
(Trésorerie actif N-1 - Trésorerie passif N-1)</t>
        </is>
      </c>
      <c r="C10" s="1253" t="n"/>
      <c r="D10" s="1253" t="n"/>
      <c r="E10" s="1253" t="n"/>
      <c r="F10" s="1274" t="n"/>
      <c r="G10" s="91" t="inlineStr">
        <is>
          <t>A</t>
        </is>
      </c>
      <c r="H10" s="85" t="n"/>
      <c r="I10" s="103">
        <f>[ZZA.EtLoc]=CtaCptSoldeNm1("50*","58*")</f>
        <v/>
      </c>
      <c r="J10" s="780" t="n">
        <v>2945092497</v>
      </c>
      <c r="N10" s="1451" t="n"/>
    </row>
    <row r="11" ht="17.25" customHeight="1" s="1225">
      <c r="A11" s="781" t="n"/>
      <c r="B11" s="1494" t="inlineStr">
        <is>
          <t>Flux de trésorerie provenant des activités opérationnelles</t>
        </is>
      </c>
      <c r="C11" s="1253" t="n"/>
      <c r="D11" s="1253" t="n"/>
      <c r="E11" s="1253" t="n"/>
      <c r="F11" s="1274" t="n"/>
      <c r="G11" s="93" t="n"/>
      <c r="H11" s="94" t="n"/>
      <c r="I11" s="95" t="n"/>
      <c r="J11" s="782" t="n"/>
      <c r="N11" s="1451" t="n"/>
    </row>
    <row r="12" ht="18.95" customHeight="1" s="1225">
      <c r="A12" s="781" t="inlineStr">
        <is>
          <t>FA</t>
        </is>
      </c>
      <c r="B12" s="1496" t="inlineStr">
        <is>
          <t>Capacité d'Autofinancement Globale (CAFG)</t>
        </is>
      </c>
      <c r="G12" s="96" t="n"/>
      <c r="H12" s="86" t="n"/>
      <c r="I12" s="76">
        <f>[ZFA.EtLoc]=[T_CAFG.EtLoc]</f>
        <v/>
      </c>
      <c r="J12" s="783" t="n"/>
    </row>
    <row r="13" ht="18.95" customHeight="1" s="1225">
      <c r="A13" s="781" t="inlineStr">
        <is>
          <t>FB</t>
        </is>
      </c>
      <c r="B13" s="1493" t="inlineStr">
        <is>
          <t>- Variation d'actif circulant HAO (1)</t>
        </is>
      </c>
      <c r="G13" s="96" t="n"/>
      <c r="H13" s="86" t="n"/>
      <c r="I13" s="1133">
        <f>[ZFB.EtLoc]=-CtaCptSoldeDébit("46*","49*")+CtaCptSoldeDébitNm1("46*","49*")</f>
        <v/>
      </c>
      <c r="J13" s="783" t="n"/>
    </row>
    <row r="14" ht="18.95" customHeight="1" s="1225">
      <c r="A14" s="781" t="inlineStr">
        <is>
          <t>FC</t>
        </is>
      </c>
      <c r="B14" s="1489" t="inlineStr">
        <is>
          <t>- Variation des stocks</t>
        </is>
      </c>
      <c r="G14" s="96" t="n"/>
      <c r="H14" s="86" t="n"/>
      <c r="I14" s="1133">
        <f>[ZFC.EtLoc]=-CtaCptSoldeDébit("3*")+CtaCptSoldeDébitNm1("3*")</f>
        <v/>
      </c>
      <c r="J14" s="783" t="n"/>
    </row>
    <row r="15" ht="18.95" customHeight="1" s="1225">
      <c r="A15" s="781" t="inlineStr">
        <is>
          <t>FD</t>
        </is>
      </c>
      <c r="B15" s="1489" t="inlineStr">
        <is>
          <t>-  Variation des créances</t>
        </is>
      </c>
      <c r="G15" s="96" t="n"/>
      <c r="H15" s="86" t="n"/>
      <c r="I15" s="1133">
        <f>[ZFD.EtLoc]=-CtaCptSoldeDébit("4*","45*")+CtaCptSoldeDébitNm1("4*","45*")</f>
        <v/>
      </c>
      <c r="J15" s="783" t="n"/>
    </row>
    <row r="16" ht="18.95" customHeight="1" s="1225">
      <c r="A16" s="781" t="inlineStr">
        <is>
          <t>FE</t>
        </is>
      </c>
      <c r="B16" s="1489" t="inlineStr">
        <is>
          <t>+ Variation du passif circulant (1)</t>
        </is>
      </c>
      <c r="G16" s="69" t="n"/>
      <c r="H16" s="87" t="n"/>
      <c r="I16" s="1134">
        <f>[ZFE.EtLoc]=CtaCptSoldeCrédit("40*")+CtaCptSoldeCrédit("41*")+CtaCptSoldeCrédit("42*")+CtaCptSoldeCrédit("43*")+CtaCptSoldeCrédit("44*")+CtaCptSoldeCrédit("45*","49*")-CtaCptSoldeCréditNm1("40*")-CtaCptSoldeCréditNm1("41*")-CtaCptSoldeCréditNm1("42*")-CtaCptSoldeCréditNm1("43*")-CtaCptSoldeCréditNm1("44*")-CtaCptSoldeCréditNm1("45*","49*")</f>
        <v/>
      </c>
      <c r="J16" s="784" t="n"/>
    </row>
    <row r="17" ht="18.95" customHeight="1" s="1225">
      <c r="A17" s="781" t="n"/>
      <c r="B17" s="1496" t="inlineStr">
        <is>
          <t>Variation du BF lié aux activités opérationnelles</t>
        </is>
      </c>
      <c r="G17" s="69" t="n"/>
      <c r="H17" s="97" t="n"/>
      <c r="I17" s="98" t="n"/>
      <c r="J17" s="785" t="n"/>
    </row>
    <row r="18" ht="18.95" customHeight="1" s="1225">
      <c r="A18" s="781" t="n"/>
      <c r="B18" s="1496" t="inlineStr">
        <is>
          <t>FB+FC+FD+FE :</t>
        </is>
      </c>
      <c r="C18" s="1490">
        <f>I13+I14+I15+I16</f>
        <v/>
      </c>
      <c r="D18" s="1491" t="n"/>
      <c r="E18" s="584">
        <f>IFERROR(J13+J14+J15+J16,"")</f>
        <v/>
      </c>
      <c r="F18" s="1496" t="n"/>
      <c r="G18" s="67" t="n"/>
      <c r="H18" s="99" t="n"/>
      <c r="I18" s="100" t="n"/>
      <c r="J18" s="786" t="n"/>
    </row>
    <row r="19" ht="18.95" customHeight="1" s="1225">
      <c r="A19" s="779" t="inlineStr">
        <is>
          <t>ZB</t>
        </is>
      </c>
      <c r="B19" s="1492" t="inlineStr">
        <is>
          <t>Flux de trésorerie provenant des activités opérationnelles  (Somme FA à FE)</t>
        </is>
      </c>
      <c r="C19" s="1253" t="n"/>
      <c r="D19" s="1253" t="n"/>
      <c r="E19" s="1253" t="n"/>
      <c r="F19" s="1274" t="n"/>
      <c r="G19" s="101" t="inlineStr">
        <is>
          <t>B</t>
        </is>
      </c>
      <c r="H19" s="88" t="n"/>
      <c r="I19" s="102">
        <f>[ZZB.EtLoc]=[ZFA.EtLoc]+[ZFB.EtLoc]+[ZFC.EtLoc]+[ZFD.EtLoc]+[ZFE.EtLoc]</f>
        <v/>
      </c>
      <c r="J19" s="787" t="n"/>
    </row>
    <row r="20" ht="17.25" customHeight="1" s="1225">
      <c r="A20" s="781" t="n"/>
      <c r="B20" s="1494" t="inlineStr">
        <is>
          <t>Flux de trésorerie provenant des activités d’investissements</t>
        </is>
      </c>
      <c r="C20" s="1253" t="n"/>
      <c r="D20" s="1253" t="n"/>
      <c r="E20" s="1253" t="n"/>
      <c r="F20" s="1274" t="n"/>
      <c r="G20" s="93" t="n"/>
      <c r="H20" s="94" t="n"/>
      <c r="I20" s="95" t="n"/>
      <c r="J20" s="782" t="n"/>
    </row>
    <row r="21" ht="18.95" customHeight="1" s="1225">
      <c r="A21" s="781" t="inlineStr">
        <is>
          <t>FF</t>
        </is>
      </c>
      <c r="B21" s="1489" t="inlineStr">
        <is>
          <t>- Décaissements liés aux acquisitions d'immobilisations incorporelles</t>
        </is>
      </c>
      <c r="G21" s="96" t="n"/>
      <c r="H21" s="86" t="n"/>
      <c r="I21" s="76">
        <f>[ZFF.EtLoc]=-CtaCptSolde("21*")+CtaCptSoldeNm1("21*")</f>
        <v/>
      </c>
      <c r="J21" s="783" t="n"/>
    </row>
    <row r="22" ht="18.95" customHeight="1" s="1225">
      <c r="A22" s="781" t="inlineStr">
        <is>
          <t>FG</t>
        </is>
      </c>
      <c r="B22" s="1489" t="inlineStr">
        <is>
          <t>- Décaissements liés aux acquisitions d'immobilisations corporelles</t>
        </is>
      </c>
      <c r="G22" s="96" t="n"/>
      <c r="H22" s="86" t="n"/>
      <c r="I22" s="1133">
        <f>[ZFG.EtLoc]=-CtaCptSolde("22*","25*")+CtaCptSoldeNm1("22*","25*")</f>
        <v/>
      </c>
      <c r="J22" s="783" t="n"/>
    </row>
    <row r="23" ht="18.95" customHeight="1" s="1225">
      <c r="A23" s="781" t="inlineStr">
        <is>
          <t>FH</t>
        </is>
      </c>
      <c r="B23" s="1489" t="inlineStr">
        <is>
          <t>- Décaissements liés aux acquisitions d'immobilisations financières</t>
        </is>
      </c>
      <c r="G23" s="96" t="n"/>
      <c r="H23" s="86" t="n"/>
      <c r="I23" s="76">
        <f>[ZFH.EtLoc]=-CtaCptSolde("26*","27*")+CtaCptSoldeNm1("26*","27*")</f>
        <v/>
      </c>
      <c r="J23" s="783" t="n"/>
    </row>
    <row r="24" ht="18.95" customHeight="1" s="1225">
      <c r="A24" s="781" t="inlineStr">
        <is>
          <t>FI</t>
        </is>
      </c>
      <c r="B24" s="1489" t="inlineStr">
        <is>
          <t>+ Encaissements liés aux cessions d’immobilisations incorporelles et corporelles</t>
        </is>
      </c>
      <c r="G24" s="96" t="n"/>
      <c r="H24" s="86" t="n"/>
      <c r="I24" s="76" t="n"/>
      <c r="J24" s="783" t="n"/>
    </row>
    <row r="25" ht="18.95" customHeight="1" s="1225">
      <c r="A25" s="781" t="inlineStr">
        <is>
          <t>FJ</t>
        </is>
      </c>
      <c r="B25" s="1489" t="inlineStr">
        <is>
          <t>+ Encaissements liés aux cessions d’immobilisations financières</t>
        </is>
      </c>
      <c r="G25" s="96" t="n"/>
      <c r="H25" s="86" t="n"/>
      <c r="I25" s="76" t="n"/>
      <c r="J25" s="783" t="n"/>
    </row>
    <row r="26" ht="18.95" customHeight="1" s="1225">
      <c r="A26" s="779" t="inlineStr">
        <is>
          <t>ZC</t>
        </is>
      </c>
      <c r="B26" s="1492" t="inlineStr">
        <is>
          <t>Flux de trésorerie provenant des activités d’investissement (somme FF à FJ)</t>
        </is>
      </c>
      <c r="C26" s="1253" t="n"/>
      <c r="D26" s="1253" t="n"/>
      <c r="E26" s="1253" t="n"/>
      <c r="F26" s="1274" t="n"/>
      <c r="G26" s="91" t="inlineStr">
        <is>
          <t>C</t>
        </is>
      </c>
      <c r="H26" s="85" t="n"/>
      <c r="I26" s="92">
        <f>[ZZC.EtLoc]=[ZFF.EtLoc]+[ZFG.EtLoc]+[ZFH.EtLoc]</f>
        <v/>
      </c>
      <c r="J26" s="788" t="n"/>
    </row>
    <row r="27" ht="17.25" customHeight="1" s="1225">
      <c r="A27" s="781" t="n"/>
      <c r="B27" s="1494" t="inlineStr">
        <is>
          <t>Flux de trésorerie provenant du financement par les capitaux propres</t>
        </is>
      </c>
      <c r="C27" s="1253" t="n"/>
      <c r="D27" s="1253" t="n"/>
      <c r="E27" s="1253" t="n"/>
      <c r="F27" s="1274" t="n"/>
      <c r="G27" s="93" t="n"/>
      <c r="H27" s="94" t="n"/>
      <c r="I27" s="95" t="n"/>
      <c r="J27" s="782" t="n"/>
    </row>
    <row r="28" ht="18.95" customHeight="1" s="1225">
      <c r="A28" s="781" t="inlineStr">
        <is>
          <t>FK</t>
        </is>
      </c>
      <c r="B28" s="1489" t="inlineStr">
        <is>
          <t>+ Augmentations de capital par apports nouveaux</t>
        </is>
      </c>
      <c r="G28" s="96" t="n"/>
      <c r="H28" s="86" t="n"/>
      <c r="I28" s="76">
        <f>[ZFK.EtLoc]=-CtaCptSolde("10*")+CtaCptSoldeNm1("10*")</f>
        <v/>
      </c>
      <c r="J28" s="783" t="n"/>
    </row>
    <row r="29" ht="18.95" customHeight="1" s="1225">
      <c r="A29" s="781" t="inlineStr">
        <is>
          <t>FL</t>
        </is>
      </c>
      <c r="B29" s="1489" t="inlineStr">
        <is>
          <t>+ Subventions d'investissement reçues</t>
        </is>
      </c>
      <c r="G29" s="96" t="n"/>
      <c r="H29" s="86" t="n"/>
      <c r="I29" s="76">
        <f>[ZFL.EtLoc]=-CtaCptSolde("14*")+CtaCptSoldeNm1("14*")</f>
        <v/>
      </c>
      <c r="J29" s="783" t="n"/>
    </row>
    <row r="30" ht="18.95" customHeight="1" s="1225">
      <c r="A30" s="781" t="inlineStr">
        <is>
          <t>FM</t>
        </is>
      </c>
      <c r="B30" s="1489" t="inlineStr">
        <is>
          <t>- Prélèvements sur le capital</t>
        </is>
      </c>
      <c r="G30" s="96" t="n"/>
      <c r="H30" s="86" t="n"/>
      <c r="I30" s="76" t="n"/>
      <c r="J30" s="783" t="n"/>
    </row>
    <row r="31" ht="18.95" customHeight="1" s="1225">
      <c r="A31" s="781" t="inlineStr">
        <is>
          <t>FN</t>
        </is>
      </c>
      <c r="B31" s="1489" t="inlineStr">
        <is>
          <t>- Dividendes versés</t>
        </is>
      </c>
      <c r="G31" s="96" t="n"/>
      <c r="H31" s="86" t="n"/>
      <c r="I31" s="76" t="n"/>
      <c r="J31" s="783" t="n"/>
    </row>
    <row r="32" ht="18.95" customHeight="1" s="1225">
      <c r="A32" s="779" t="inlineStr">
        <is>
          <t>ZD</t>
        </is>
      </c>
      <c r="B32" s="1492" t="inlineStr">
        <is>
          <t>Flux de trésorerie provenant des capitaux propres (somme FK à FN)</t>
        </is>
      </c>
      <c r="C32" s="1253" t="n"/>
      <c r="D32" s="1253" t="n"/>
      <c r="E32" s="1253" t="n"/>
      <c r="F32" s="1274" t="n"/>
      <c r="G32" s="91" t="inlineStr">
        <is>
          <t>D</t>
        </is>
      </c>
      <c r="H32" s="85" t="n"/>
      <c r="I32" s="92">
        <f>[ZZD.EtLoc]=[ZFK.EtLoc]+[ZFL.EtLoc]</f>
        <v/>
      </c>
      <c r="J32" s="788" t="n"/>
    </row>
    <row r="33" ht="17.25" customHeight="1" s="1225">
      <c r="A33" s="781" t="n"/>
      <c r="B33" s="1494" t="inlineStr">
        <is>
          <t>Trésorerie provenant du financement par les capitaux étrangers</t>
        </is>
      </c>
      <c r="C33" s="1253" t="n"/>
      <c r="D33" s="1253" t="n"/>
      <c r="E33" s="1253" t="n"/>
      <c r="F33" s="1274" t="n"/>
      <c r="G33" s="93" t="n"/>
      <c r="H33" s="94" t="n"/>
      <c r="I33" s="95" t="n"/>
      <c r="J33" s="782" t="n"/>
    </row>
    <row r="34" ht="18.95" customHeight="1" s="1225">
      <c r="A34" s="781" t="inlineStr">
        <is>
          <t>FO</t>
        </is>
      </c>
      <c r="B34" s="1493" t="inlineStr">
        <is>
          <t>+ Emprunts</t>
        </is>
      </c>
      <c r="G34" s="96" t="n"/>
      <c r="H34" s="86" t="n"/>
      <c r="I34" s="76">
        <f>[ZFO.EtLoc]=-CtaCptSolde("16*")+CtaCptSoldeNm1("16*")</f>
        <v/>
      </c>
      <c r="J34" s="783" t="n"/>
    </row>
    <row r="35" ht="18.95" customHeight="1" s="1225">
      <c r="A35" s="781" t="inlineStr">
        <is>
          <t>FP</t>
        </is>
      </c>
      <c r="B35" s="1493" t="inlineStr">
        <is>
          <t>+ Autres dettes financières diverses</t>
        </is>
      </c>
      <c r="G35" s="96" t="n"/>
      <c r="H35" s="86" t="n"/>
      <c r="I35" s="76" t="n"/>
      <c r="J35" s="783" t="n"/>
    </row>
    <row r="36" ht="18.95" customHeight="1" s="1225">
      <c r="A36" s="781" t="inlineStr">
        <is>
          <t>FQ</t>
        </is>
      </c>
      <c r="B36" s="1489" t="inlineStr">
        <is>
          <t>- Remboursements des emprunts et autres dettes financières</t>
        </is>
      </c>
      <c r="G36" s="96" t="n"/>
      <c r="H36" s="86" t="n"/>
      <c r="I36" s="76" t="n"/>
      <c r="J36" s="783" t="n"/>
    </row>
    <row r="37" ht="18.95" customHeight="1" s="1225">
      <c r="A37" s="779" t="inlineStr">
        <is>
          <t>ZE</t>
        </is>
      </c>
      <c r="B37" s="1492" t="inlineStr">
        <is>
          <t>Flux de trésorerie provenant des capitaux étrangers (somme FO à FQ)</t>
        </is>
      </c>
      <c r="C37" s="1253" t="n"/>
      <c r="D37" s="1253" t="n"/>
      <c r="E37" s="1253" t="n"/>
      <c r="F37" s="1274" t="n"/>
      <c r="G37" s="91" t="inlineStr">
        <is>
          <t>E</t>
        </is>
      </c>
      <c r="H37" s="85" t="n"/>
      <c r="I37" s="92">
        <f>[ZZE.EtLoc]=[ZFO.EtLoc]</f>
        <v/>
      </c>
      <c r="J37" s="788" t="n"/>
    </row>
    <row r="38" ht="18.95" customHeight="1" s="1225">
      <c r="A38" s="779" t="inlineStr">
        <is>
          <t>ZF</t>
        </is>
      </c>
      <c r="B38" s="1492" t="inlineStr">
        <is>
          <t>Flux de trésorerie provenant des activités de financement (D+E)</t>
        </is>
      </c>
      <c r="C38" s="1253" t="n"/>
      <c r="D38" s="1253" t="n"/>
      <c r="E38" s="1253" t="n"/>
      <c r="F38" s="1274" t="n"/>
      <c r="G38" s="91" t="inlineStr">
        <is>
          <t>F</t>
        </is>
      </c>
      <c r="H38" s="85" t="n"/>
      <c r="I38" s="788">
        <f>[ZZF.EtLoc]=[ZZD.EtLoc]+[ZZE.EtLoc]</f>
        <v/>
      </c>
      <c r="J38" s="788" t="n"/>
    </row>
    <row r="39" ht="18.95" customHeight="1" s="1225">
      <c r="A39" s="779" t="inlineStr">
        <is>
          <t>ZG</t>
        </is>
      </c>
      <c r="B39" s="1497" t="inlineStr">
        <is>
          <t>VARIATION DE LA TRÉSORERIE NETTE DE LA PÉRIODE (B+C+F)</t>
        </is>
      </c>
      <c r="G39" s="582" t="inlineStr">
        <is>
          <t>G</t>
        </is>
      </c>
      <c r="H39" s="583" t="n"/>
      <c r="I39" s="1135">
        <f>[ZZG.EtLoc]=[ZZB.EtLoc]+[ZZC.EtLoc]+[ZZF.EtLoc]</f>
        <v/>
      </c>
      <c r="J39" s="1136" t="n"/>
    </row>
    <row r="40" ht="24.75" customHeight="1" s="1225">
      <c r="A40" s="789" t="inlineStr">
        <is>
          <t>ZH</t>
        </is>
      </c>
      <c r="B40" s="1501" t="inlineStr">
        <is>
          <t>Trésorerie nette au 31 Décembre (G+A)</t>
        </is>
      </c>
      <c r="C40" s="1248" t="n"/>
      <c r="D40" s="1248" t="n"/>
      <c r="E40" s="1248" t="n"/>
      <c r="F40" s="346" t="n"/>
      <c r="G40" s="104" t="inlineStr">
        <is>
          <t>H</t>
        </is>
      </c>
      <c r="H40" s="105" t="n"/>
      <c r="I40" s="106">
        <f>[ZZH.EtLoc]=[ZZG.EtLoc]+[ZZA.EtLoc]</f>
        <v/>
      </c>
      <c r="J40" s="106" t="n"/>
    </row>
    <row r="41" ht="14.25" customHeight="1" s="1225" thickBot="1">
      <c r="A41" s="790" t="n"/>
      <c r="B41" s="1499" t="inlineStr">
        <is>
          <t>Contrôle : Trésorerie actif N - Trésorerie passif N</t>
        </is>
      </c>
      <c r="C41" s="1500" t="n"/>
      <c r="D41" s="1500" t="n"/>
      <c r="E41" s="1486" t="n"/>
      <c r="F41" s="1487" t="n"/>
      <c r="G41" s="791" t="n"/>
      <c r="H41" s="792" t="n"/>
      <c r="I41" s="793">
        <f>CtaCptSolde("50*","58*")</f>
        <v/>
      </c>
      <c r="J41" s="794" t="n"/>
    </row>
    <row r="42" ht="39" customHeight="1" s="1225">
      <c r="A42" s="1495"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row>
    <row r="43">
      <c r="I43" s="1992" t="n"/>
    </row>
    <row r="44">
      <c r="I44" s="1992" t="n"/>
    </row>
    <row r="60">
      <c r="A60" t="inlineStr">
        <is>
          <t>T_EBE</t>
        </is>
      </c>
      <c r="B60">
        <f>[T_EBE.EtLoc]=-CtaCptSolde("701*")+CtaCptSolde("601*")-CtaCptSolde("702*","704*")-CtaCptSolde("705*","706*")-CtaCptSolde("707")-CtaCptSolde("713*")-CtaCptSolde("72*","73*")-CtaCptSolde("71*")-CtaCptSolde("74*","76*")-CtaCptSolde("781*")-CtaCptSolde("601*","602*")-CtaCptSolde("6032*")-CtaCptSolde("604*","609*")-CtaCptSolde("6033*","6038*")-CtaCptSolde("61*")-CtaCptSolde("62*","63*")-CtaCptSolde("64*")-CtaCptSolde("65*")-CtaCptSolde("66*")</f>
        <v/>
      </c>
    </row>
    <row r="61">
      <c r="A61" t="inlineStr">
        <is>
          <t>T_VCEC</t>
        </is>
      </c>
      <c r="B61">
        <f>[T_VCEC.EtLoc]=-CtaCptSolde("654*")</f>
        <v/>
      </c>
    </row>
    <row r="62">
      <c r="A62" t="inlineStr">
        <is>
          <t>T_PCEC</t>
        </is>
      </c>
      <c r="B62">
        <f>[T_PCEC.EtLoc]=CtaCptSolde("754*")</f>
        <v/>
      </c>
    </row>
    <row r="63">
      <c r="A63" t="inlineStr">
        <is>
          <t>T_TCE</t>
        </is>
      </c>
      <c r="B63">
        <f>[T_TCE.EtLoc]=CtaCptSolde("781*")</f>
        <v/>
      </c>
    </row>
    <row r="64">
      <c r="A64" t="inlineStr">
        <is>
          <t>T_CAFE</t>
        </is>
      </c>
      <c r="B64">
        <f>[T_CAFE.EtLoc]=[T_EBE.EtLoc]+[T_VCEC.EtLoc]+[T_PCEC.EtLoc]+[T_TCE.EtLoc]</f>
        <v/>
      </c>
    </row>
    <row r="65">
      <c r="A65" t="inlineStr">
        <is>
          <t>T_REVFIN</t>
        </is>
      </c>
      <c r="B65">
        <f>[T_REVFIN.EtLoc]=-CtaCptSolde("77*")</f>
        <v/>
      </c>
    </row>
    <row r="66">
      <c r="A66" t="inlineStr">
        <is>
          <t>T_TCF</t>
        </is>
      </c>
      <c r="B66">
        <f>[T_TCF.EtLoc]=CtaCptSolde("787*")</f>
        <v/>
      </c>
    </row>
    <row r="67">
      <c r="A67" t="inlineStr">
        <is>
          <t>T_PHAO</t>
        </is>
      </c>
      <c r="B67">
        <f>[T_PHAO.EtLoc]=CtaCptSolde("84*")</f>
        <v/>
      </c>
    </row>
    <row r="68">
      <c r="A68" t="inlineStr">
        <is>
          <t>T_FRAISFIN</t>
        </is>
      </c>
      <c r="B68">
        <f>[T_FRAISFIN.EtLoc]=-CtaCptSolde("67*")</f>
        <v/>
      </c>
    </row>
    <row r="69">
      <c r="A69" t="inlineStr">
        <is>
          <t>T_PART</t>
        </is>
      </c>
      <c r="B69">
        <f>[T_PART.EtLoc]=-CtaCptSolde("87*")</f>
        <v/>
      </c>
    </row>
    <row r="70">
      <c r="A70" t="inlineStr">
        <is>
          <t>T_IMPOTS</t>
        </is>
      </c>
      <c r="B70">
        <f>[T_IMPOTS.EtLoc]=-CtaCptSolde("89*")</f>
        <v/>
      </c>
    </row>
    <row r="71">
      <c r="A71" t="inlineStr">
        <is>
          <t>T_CAFG</t>
        </is>
      </c>
      <c r="B71">
        <f>[T_CAFG.EtLoc]=[T_CAFE.EtLoc]+[T_REVFIN.EtLoc]+[T_TCF.EtLoc]+[T_PHAO.EtLoc]+[T_FRAISFIN.EtLoc]+[T_PART.EtLoc]+[T_IMPOTS.EtLoc]</f>
        <v/>
      </c>
    </row>
  </sheetData>
  <mergeCells count="45">
    <mergeCell ref="C3:J3"/>
    <mergeCell ref="B40:E40"/>
    <mergeCell ref="F5:H5"/>
    <mergeCell ref="B16:F16"/>
    <mergeCell ref="B25:F25"/>
    <mergeCell ref="C5:D5"/>
    <mergeCell ref="A42:J42"/>
    <mergeCell ref="B31:F31"/>
    <mergeCell ref="B22:F22"/>
    <mergeCell ref="H2:J2"/>
    <mergeCell ref="B27:F27"/>
    <mergeCell ref="B21:F21"/>
    <mergeCell ref="B12:F12"/>
    <mergeCell ref="B39:F39"/>
    <mergeCell ref="B11:F11"/>
    <mergeCell ref="B23:F23"/>
    <mergeCell ref="B14:F14"/>
    <mergeCell ref="B17:F17"/>
    <mergeCell ref="B13:F13"/>
    <mergeCell ref="B8:G9"/>
    <mergeCell ref="A1:J1"/>
    <mergeCell ref="B29:F29"/>
    <mergeCell ref="A8:A9"/>
    <mergeCell ref="B38:F38"/>
    <mergeCell ref="B34:F34"/>
    <mergeCell ref="B41:D41"/>
    <mergeCell ref="B10:F10"/>
    <mergeCell ref="B28:F28"/>
    <mergeCell ref="B19:F19"/>
    <mergeCell ref="B37:F37"/>
    <mergeCell ref="A7:J7"/>
    <mergeCell ref="C6:E6"/>
    <mergeCell ref="B30:F30"/>
    <mergeCell ref="B24:F24"/>
    <mergeCell ref="H8:H9"/>
    <mergeCell ref="B20:F20"/>
    <mergeCell ref="B15:F15"/>
    <mergeCell ref="B33:F33"/>
    <mergeCell ref="E41:F41"/>
    <mergeCell ref="C4:H4"/>
    <mergeCell ref="B36:F36"/>
    <mergeCell ref="C18:D18"/>
    <mergeCell ref="B32:F32"/>
    <mergeCell ref="B26:F26"/>
    <mergeCell ref="B35:F35"/>
  </mergeCells>
  <dataValidations count="1">
    <dataValidation sqref="C18:E18 I12:J16 I21:J25 I28:J31 I34:J36 I39:J39" showDropDown="0" showInputMessage="1"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81"/>
</worksheet>
</file>

<file path=xl/worksheets/sheet14.xml><?xml version="1.0" encoding="utf-8"?>
<worksheet xmlns="http://schemas.openxmlformats.org/spreadsheetml/2006/main">
  <sheetPr>
    <tabColor theme="9" tint="0.3999755851924192"/>
    <outlinePr summaryBelow="1" summaryRight="1"/>
    <pageSetUpPr/>
  </sheetPr>
  <dimension ref="A1:E136"/>
  <sheetViews>
    <sheetView topLeftCell="A109" zoomScaleNormal="100" workbookViewId="0">
      <selection activeCell="G26" sqref="G26"/>
    </sheetView>
  </sheetViews>
  <sheetFormatPr baseColWidth="10" defaultRowHeight="15"/>
  <cols>
    <col width="96.42578125" customWidth="1" style="1225" min="1" max="1"/>
    <col width="5.140625" customWidth="1" style="1236" min="2" max="2"/>
    <col width="18.7109375" customWidth="1" style="1505" min="3" max="4"/>
    <col width="12.28515625" bestFit="1" customWidth="1" style="1225" min="6" max="6"/>
  </cols>
  <sheetData>
    <row r="1" ht="18.75" customHeight="1" s="1225">
      <c r="A1" s="1504" t="inlineStr">
        <is>
          <t>TABLEAU DE BORD DE CONTRÔLE DES FLUX DE TRESORERIE</t>
        </is>
      </c>
    </row>
    <row r="3">
      <c r="C3" s="1506" t="inlineStr">
        <is>
          <t>MONTANT</t>
        </is>
      </c>
      <c r="D3" s="1507" t="n"/>
    </row>
    <row r="4">
      <c r="C4" s="1506" t="inlineStr">
        <is>
          <t>EXERCICE N</t>
        </is>
      </c>
      <c r="D4" s="1506" t="inlineStr">
        <is>
          <t>EXERCICE N-1</t>
        </is>
      </c>
    </row>
    <row r="5">
      <c r="A5" s="667" t="inlineStr">
        <is>
          <t>Trésorerie actif de N-1</t>
        </is>
      </c>
      <c r="B5" s="1105" t="inlineStr">
        <is>
          <t>+</t>
        </is>
      </c>
      <c r="C5" s="1087">
        <f>BILAN!I37</f>
        <v/>
      </c>
      <c r="D5" s="1087" t="n"/>
    </row>
    <row r="6">
      <c r="A6" s="667" t="inlineStr">
        <is>
          <t>Compte 472 versements restant à effectuer sur titres de placement non libérés de l'année N-1</t>
        </is>
      </c>
      <c r="B6" s="1106" t="inlineStr">
        <is>
          <t>- / +</t>
        </is>
      </c>
      <c r="C6" s="1087" t="n"/>
      <c r="D6" s="1087" t="n"/>
    </row>
    <row r="7">
      <c r="A7" s="667" t="inlineStr">
        <is>
          <t>Trésorerie passif de N-1</t>
        </is>
      </c>
      <c r="B7" s="1105" t="inlineStr">
        <is>
          <t>-</t>
        </is>
      </c>
      <c r="C7" s="1087">
        <f>-BILAN!N37</f>
        <v/>
      </c>
      <c r="D7" s="1087" t="n"/>
    </row>
    <row r="8" ht="18" customHeight="1" s="1225">
      <c r="A8" s="1107" t="inlineStr">
        <is>
          <t>Trésorerie au 1 er janvier (A)</t>
        </is>
      </c>
      <c r="B8" s="1107" t="n"/>
      <c r="C8" s="1188">
        <f>+C5-C7</f>
        <v/>
      </c>
      <c r="D8" s="1108">
        <f>SUM(D5:D7)</f>
        <v/>
      </c>
    </row>
    <row r="11">
      <c r="C11" s="1506" t="inlineStr">
        <is>
          <t>MONTANT</t>
        </is>
      </c>
      <c r="D11" s="1507" t="n"/>
    </row>
    <row r="12">
      <c r="C12" s="1506" t="inlineStr">
        <is>
          <t>EXERCICE N</t>
        </is>
      </c>
      <c r="D12" s="1506" t="inlineStr">
        <is>
          <t>EXERCICE N-1</t>
        </is>
      </c>
    </row>
    <row r="13">
      <c r="A13" s="667" t="inlineStr">
        <is>
          <t>Excédent brut d'exploitation (poste XD compte de résultat)</t>
        </is>
      </c>
      <c r="B13" s="1105" t="inlineStr">
        <is>
          <t>+</t>
        </is>
      </c>
      <c r="C13" s="1087">
        <f>RESULTAT!I34</f>
        <v/>
      </c>
      <c r="D13" s="1087" t="n"/>
    </row>
    <row r="14">
      <c r="A14" s="667" t="inlineStr">
        <is>
          <t>Compte 654 solde débiteur balance N</t>
        </is>
      </c>
      <c r="B14" s="1105" t="inlineStr">
        <is>
          <t>+</t>
        </is>
      </c>
      <c r="C14" s="1087" t="n"/>
      <c r="D14" s="1087" t="n"/>
    </row>
    <row r="15">
      <c r="A15" s="667" t="inlineStr">
        <is>
          <t>Compte 754 solde créditeur balance N</t>
        </is>
      </c>
      <c r="B15" s="1105" t="inlineStr">
        <is>
          <t>-</t>
        </is>
      </c>
      <c r="C15" s="1087" t="n"/>
      <c r="D15" s="1087" t="n"/>
    </row>
    <row r="16">
      <c r="A16" s="667" t="inlineStr">
        <is>
          <t>Résultat financier (poste XF compte de résultat)</t>
        </is>
      </c>
      <c r="B16" s="1105" t="inlineStr">
        <is>
          <t>+</t>
        </is>
      </c>
      <c r="C16" s="1087">
        <f>-RESULTAT!I43</f>
        <v/>
      </c>
      <c r="D16" s="1087" t="n"/>
    </row>
    <row r="17">
      <c r="A17" s="667" t="inlineStr">
        <is>
          <t>Autres produits HAO (poste TO compte de résultat)</t>
        </is>
      </c>
      <c r="B17" s="1105" t="inlineStr">
        <is>
          <t>+</t>
        </is>
      </c>
      <c r="C17" s="1087">
        <f>+RESULTAT!I46</f>
        <v/>
      </c>
      <c r="D17" s="1087" t="n"/>
    </row>
    <row r="18">
      <c r="A18" s="667" t="inlineStr">
        <is>
          <t>Autres charges HAO (poste RP compte de résultat)</t>
        </is>
      </c>
      <c r="B18" s="1105" t="inlineStr">
        <is>
          <t>-</t>
        </is>
      </c>
      <c r="C18" s="1087">
        <f>-RESULTAT!I48</f>
        <v/>
      </c>
      <c r="D18" s="1087" t="n"/>
    </row>
    <row r="19">
      <c r="A19" s="667" t="inlineStr">
        <is>
          <t>Participation des trvailleurs (poste RQ du compte résultat)</t>
        </is>
      </c>
      <c r="B19" s="1105" t="inlineStr">
        <is>
          <t>-</t>
        </is>
      </c>
      <c r="C19" s="1087">
        <f>+RESULTAT!I50</f>
        <v/>
      </c>
      <c r="D19" s="1087" t="n"/>
    </row>
    <row r="20">
      <c r="A20" s="667" t="inlineStr">
        <is>
          <t>Impôts sur le résultat (poste RS du compte de résultat)</t>
        </is>
      </c>
      <c r="B20" s="1105" t="inlineStr">
        <is>
          <t>-</t>
        </is>
      </c>
      <c r="C20" s="1087">
        <f>+RESULTAT!I51</f>
        <v/>
      </c>
      <c r="D20" s="1087" t="n"/>
    </row>
    <row r="21">
      <c r="A21" s="1109" t="inlineStr">
        <is>
          <t>Capacité d'Autfinancement Globale (CAFG)</t>
        </is>
      </c>
      <c r="B21" s="1107" t="n"/>
      <c r="C21" s="1188">
        <f>SUM(C13:C20)</f>
        <v/>
      </c>
      <c r="D21" s="1110">
        <f>SUM(D13:D20)</f>
        <v/>
      </c>
    </row>
    <row r="22">
      <c r="A22" s="667" t="inlineStr">
        <is>
          <t>Actif circulant HAO (poste BA des bilans)</t>
        </is>
      </c>
      <c r="B22" s="1105" t="inlineStr">
        <is>
          <t>+</t>
        </is>
      </c>
      <c r="C22" s="1087">
        <f>BILAN!H27-BILAN!I27</f>
        <v/>
      </c>
      <c r="D22" s="1087" t="n"/>
    </row>
    <row r="23">
      <c r="A23" s="667" t="inlineStr">
        <is>
          <t>Compte 485 (exclure)</t>
        </is>
      </c>
      <c r="B23" s="1105" t="inlineStr">
        <is>
          <t>-</t>
        </is>
      </c>
      <c r="C23" s="1087" t="n"/>
      <c r="D23" s="1087" t="n"/>
    </row>
    <row r="24">
      <c r="A24" s="1111" t="inlineStr">
        <is>
          <t>Montant affecté au poste FB du TFT</t>
        </is>
      </c>
      <c r="B24" s="1105" t="n"/>
      <c r="C24" s="1110">
        <f>SUM(C22:C23)</f>
        <v/>
      </c>
      <c r="D24" s="1110">
        <f>SUM(D22:D23)</f>
        <v/>
      </c>
    </row>
    <row r="25">
      <c r="A25" s="667" t="inlineStr">
        <is>
          <t>Variation des stocks (poste BB des bilans) poste FC du TFT</t>
        </is>
      </c>
      <c r="B25" s="1106" t="inlineStr">
        <is>
          <t>- / +</t>
        </is>
      </c>
      <c r="C25" s="1087">
        <f>BILAN!H28-BILAN!I28</f>
        <v/>
      </c>
      <c r="D25" s="1087" t="n"/>
    </row>
    <row r="26">
      <c r="A26" s="667" t="inlineStr">
        <is>
          <t>Variation des créances et emplois assimilé (poste BG des bilans)</t>
        </is>
      </c>
      <c r="B26" s="1106" t="inlineStr">
        <is>
          <t>- / +</t>
        </is>
      </c>
      <c r="C26" s="1087">
        <f>BILAN!H29-BILAN!I29</f>
        <v/>
      </c>
      <c r="D26" s="1087" t="n"/>
    </row>
    <row r="27">
      <c r="A27" s="667" t="inlineStr">
        <is>
          <t>Variation du compte 478</t>
        </is>
      </c>
      <c r="B27" s="1106" t="inlineStr">
        <is>
          <t>- / +</t>
        </is>
      </c>
      <c r="C27" s="1087" t="n"/>
      <c r="D27" s="1087" t="n"/>
    </row>
    <row r="28">
      <c r="A28" s="667" t="inlineStr">
        <is>
          <t>Variation du compte 419</t>
        </is>
      </c>
      <c r="B28" s="1106" t="inlineStr">
        <is>
          <t>- / +</t>
        </is>
      </c>
      <c r="C28" s="1087" t="n"/>
      <c r="D28" s="1087" t="n"/>
    </row>
    <row r="29">
      <c r="A29" s="667" t="inlineStr">
        <is>
          <t>Variation du compte 414</t>
        </is>
      </c>
      <c r="B29" s="1106" t="inlineStr">
        <is>
          <t>- / +</t>
        </is>
      </c>
      <c r="C29" s="1087" t="n"/>
      <c r="D29" s="1087" t="n"/>
    </row>
    <row r="30">
      <c r="A30" s="667" t="inlineStr">
        <is>
          <t>Variation du compte 467</t>
        </is>
      </c>
      <c r="B30" s="1106" t="inlineStr">
        <is>
          <t>- / +</t>
        </is>
      </c>
      <c r="C30" s="1087" t="n"/>
      <c r="D30" s="1087" t="n"/>
    </row>
    <row r="31">
      <c r="A31" s="667" t="inlineStr">
        <is>
          <t>Variation du compte 458</t>
        </is>
      </c>
      <c r="B31" s="1106" t="inlineStr">
        <is>
          <t>- / +</t>
        </is>
      </c>
      <c r="C31" s="1087" t="n"/>
      <c r="D31" s="1087" t="n"/>
    </row>
    <row r="32">
      <c r="A32" s="667" t="inlineStr">
        <is>
          <t>Variation du compte 4494</t>
        </is>
      </c>
      <c r="B32" s="1106" t="inlineStr">
        <is>
          <t>- / +</t>
        </is>
      </c>
      <c r="C32" s="1087" t="n"/>
      <c r="D32" s="1087" t="n"/>
    </row>
    <row r="33">
      <c r="A33" s="667" t="inlineStr">
        <is>
          <t>Variation du compte 4751</t>
        </is>
      </c>
      <c r="B33" s="1106" t="inlineStr">
        <is>
          <t>- / +</t>
        </is>
      </c>
      <c r="C33" s="1087" t="n"/>
      <c r="D33" s="1087" t="n"/>
    </row>
    <row r="34" customFormat="1" s="233">
      <c r="A34" s="1111" t="inlineStr">
        <is>
          <t>Montant affecté au poste FD du TFT</t>
        </is>
      </c>
      <c r="B34" s="1105" t="n"/>
      <c r="C34" s="1110">
        <f>SUM(C25:C33)</f>
        <v/>
      </c>
      <c r="D34" s="1110">
        <f>SUM(D25:D33)</f>
        <v/>
      </c>
    </row>
    <row r="35">
      <c r="A35" s="667" t="inlineStr">
        <is>
          <t>Variation du passif circulant (poste DP des bilans)</t>
        </is>
      </c>
      <c r="B35" s="1106" t="inlineStr">
        <is>
          <t>- / +</t>
        </is>
      </c>
      <c r="C35" s="1087">
        <f>BILAN!M33-BILAN!N33</f>
        <v/>
      </c>
      <c r="D35" s="1087" t="n"/>
    </row>
    <row r="36">
      <c r="A36" s="667" t="inlineStr">
        <is>
          <t>Variation du compte 409</t>
        </is>
      </c>
      <c r="B36" s="1106" t="inlineStr">
        <is>
          <t>- / +</t>
        </is>
      </c>
      <c r="C36" s="1087">
        <f>BILAN!H30-BILAN!I30</f>
        <v/>
      </c>
      <c r="D36" s="1087" t="n"/>
    </row>
    <row r="37">
      <c r="A37" s="667" t="inlineStr">
        <is>
          <t>Variation du compte 404</t>
        </is>
      </c>
      <c r="B37" s="1106" t="inlineStr">
        <is>
          <t>- / +</t>
        </is>
      </c>
      <c r="C37" s="1087" t="n"/>
      <c r="D37" s="1087" t="n"/>
    </row>
    <row r="38">
      <c r="A38" s="667" t="inlineStr">
        <is>
          <t>Variation du compte 481</t>
        </is>
      </c>
      <c r="B38" s="1106" t="inlineStr">
        <is>
          <t>- / +</t>
        </is>
      </c>
      <c r="C38" s="1087">
        <f>BILAN!M27-BILAN!N27</f>
        <v/>
      </c>
      <c r="D38" s="1087" t="n"/>
    </row>
    <row r="39">
      <c r="A39" s="667" t="inlineStr">
        <is>
          <t>Variation du compte 482</t>
        </is>
      </c>
      <c r="B39" s="1106" t="inlineStr">
        <is>
          <t>- / +</t>
        </is>
      </c>
      <c r="C39" s="1087" t="n"/>
      <c r="D39" s="1087" t="n"/>
    </row>
    <row r="40">
      <c r="A40" s="667" t="inlineStr">
        <is>
          <t>Variation du compte 467</t>
        </is>
      </c>
      <c r="B40" s="1106" t="inlineStr">
        <is>
          <t>- / +</t>
        </is>
      </c>
      <c r="C40" s="1087" t="n"/>
      <c r="D40" s="1087" t="n"/>
    </row>
    <row r="41">
      <c r="A41" s="667" t="inlineStr">
        <is>
          <t>Variation du compte 4752</t>
        </is>
      </c>
      <c r="B41" s="1106" t="inlineStr">
        <is>
          <t>- / +</t>
        </is>
      </c>
      <c r="C41" s="1087" t="n"/>
      <c r="D41" s="1087" t="n"/>
    </row>
    <row r="42">
      <c r="A42" s="667" t="inlineStr">
        <is>
          <t>Variation du compte 472</t>
        </is>
      </c>
      <c r="B42" s="1106" t="inlineStr">
        <is>
          <t>- / +</t>
        </is>
      </c>
      <c r="C42" s="1087" t="n"/>
      <c r="D42" s="1087" t="n"/>
    </row>
    <row r="43" customFormat="1" s="233">
      <c r="A43" s="1111" t="inlineStr">
        <is>
          <t>Montant affecté au poste FE du TFT</t>
        </is>
      </c>
      <c r="B43" s="1106" t="n"/>
      <c r="C43" s="1110">
        <f>SUM(C35:C42)</f>
        <v/>
      </c>
      <c r="D43" s="1110">
        <f>SUM(D35:D42)</f>
        <v/>
      </c>
    </row>
    <row r="44">
      <c r="A44" s="1109" t="inlineStr">
        <is>
          <t>Variation du BF lié aux activités opérationnelles</t>
        </is>
      </c>
      <c r="B44" s="1112" t="n"/>
      <c r="C44" s="1110">
        <f>C34+C43+C24</f>
        <v/>
      </c>
      <c r="D44" s="1110">
        <f>-D34+D43-D25</f>
        <v/>
      </c>
    </row>
    <row r="45">
      <c r="A45" s="1109" t="inlineStr">
        <is>
          <t>LES FLUX DE TRESORERIE PROVENANT DES ACTIVITES OPERATIONNELLES (B)</t>
        </is>
      </c>
      <c r="B45" s="1112" t="n"/>
      <c r="C45" s="1188">
        <f>C21+C44</f>
        <v/>
      </c>
      <c r="D45" s="1110">
        <f>D21+D44</f>
        <v/>
      </c>
    </row>
    <row r="49">
      <c r="C49" s="1506" t="inlineStr">
        <is>
          <t>MONTANT</t>
        </is>
      </c>
      <c r="D49" s="1507" t="n"/>
    </row>
    <row r="50">
      <c r="C50" s="1506" t="inlineStr">
        <is>
          <t>EXERCICE N</t>
        </is>
      </c>
      <c r="D50" s="1506" t="inlineStr">
        <is>
          <t>EXERCICE N-1</t>
        </is>
      </c>
    </row>
    <row r="51">
      <c r="A51" s="667" t="inlineStr">
        <is>
          <t>Variation des immobilisations incorporelles nettes (poste (AD)</t>
        </is>
      </c>
      <c r="B51" s="1106" t="inlineStr">
        <is>
          <t>- / +</t>
        </is>
      </c>
      <c r="C51" s="1087">
        <f>BILAN!H11-BILAN!I11</f>
        <v/>
      </c>
      <c r="D51" s="1087" t="n"/>
    </row>
    <row r="52">
      <c r="A52" s="667" t="inlineStr">
        <is>
          <t>Compte 6812</t>
        </is>
      </c>
      <c r="B52" s="1105" t="inlineStr">
        <is>
          <t>+</t>
        </is>
      </c>
      <c r="C52" s="1087" t="n"/>
      <c r="D52" s="1087" t="n"/>
    </row>
    <row r="53">
      <c r="A53" s="667" t="inlineStr">
        <is>
          <t>Compte 6913</t>
        </is>
      </c>
      <c r="B53" s="1105" t="inlineStr">
        <is>
          <t>+</t>
        </is>
      </c>
      <c r="C53" s="1087" t="n"/>
      <c r="D53" s="1087" t="n"/>
    </row>
    <row r="54">
      <c r="A54" s="667" t="inlineStr">
        <is>
          <t>Compte 6541</t>
        </is>
      </c>
      <c r="B54" s="1105" t="inlineStr">
        <is>
          <t>+</t>
        </is>
      </c>
      <c r="C54" s="1087" t="n"/>
      <c r="D54" s="1087" t="n"/>
    </row>
    <row r="55">
      <c r="A55" s="667" t="inlineStr">
        <is>
          <t>Compte 811</t>
        </is>
      </c>
      <c r="B55" s="1105" t="inlineStr">
        <is>
          <t>+</t>
        </is>
      </c>
      <c r="C55" s="1087" t="n"/>
      <c r="D55" s="1087" t="n"/>
    </row>
    <row r="56">
      <c r="A56" s="667" t="inlineStr">
        <is>
          <t>Compte 251</t>
        </is>
      </c>
      <c r="B56" s="1105" t="inlineStr">
        <is>
          <t>+</t>
        </is>
      </c>
      <c r="C56" s="1087" t="n"/>
      <c r="D56" s="1087" t="n"/>
    </row>
    <row r="57">
      <c r="A57" s="667" t="inlineStr">
        <is>
          <t>Comptes 4811, 4821, 4041, 4046</t>
        </is>
      </c>
      <c r="B57" s="1105" t="inlineStr">
        <is>
          <t>+</t>
        </is>
      </c>
      <c r="C57" s="1087" t="n"/>
      <c r="D57" s="1087" t="n"/>
    </row>
    <row r="58">
      <c r="A58" s="667" t="inlineStr">
        <is>
          <t>Comptes 4811, 4821, 4041, 4046</t>
        </is>
      </c>
      <c r="B58" s="1105" t="inlineStr">
        <is>
          <t>-</t>
        </is>
      </c>
      <c r="C58" s="1087" t="n"/>
      <c r="D58" s="1087" t="n"/>
    </row>
    <row r="59">
      <c r="A59" s="667" t="inlineStr">
        <is>
          <t>Comptes 48161, 48171, 48181</t>
        </is>
      </c>
      <c r="B59" s="1105" t="inlineStr">
        <is>
          <t>+</t>
        </is>
      </c>
      <c r="C59" s="1087" t="n"/>
      <c r="D59" s="1087" t="n"/>
    </row>
    <row r="60">
      <c r="A60" s="667" t="inlineStr">
        <is>
          <t>Comptes 48161, 48171, 48181</t>
        </is>
      </c>
      <c r="B60" s="1105" t="inlineStr">
        <is>
          <t>-</t>
        </is>
      </c>
      <c r="C60" s="1087" t="n"/>
      <c r="D60" s="1087" t="n"/>
    </row>
    <row r="61">
      <c r="A61" s="1109" t="inlineStr">
        <is>
          <t>Décaissements liés aux acquisitions d'immobilisations incorporelles</t>
        </is>
      </c>
      <c r="B61" s="1112" t="n"/>
      <c r="C61" s="1110">
        <f>SUM(C51:C60)</f>
        <v/>
      </c>
      <c r="D61" s="1110">
        <f>SUM(D51:D60)</f>
        <v/>
      </c>
    </row>
    <row r="62">
      <c r="A62" s="667" t="inlineStr">
        <is>
          <t>Variation des immobilisations corporelles nettes (poste AI)</t>
        </is>
      </c>
      <c r="B62" s="1106" t="inlineStr">
        <is>
          <t>- / +</t>
        </is>
      </c>
      <c r="C62" s="1087">
        <f>BILAN!H16-BILAN!I16</f>
        <v/>
      </c>
      <c r="D62" s="1087" t="n"/>
    </row>
    <row r="63">
      <c r="A63" s="667" t="inlineStr">
        <is>
          <t>Compte 6813</t>
        </is>
      </c>
      <c r="B63" s="1106" t="inlineStr">
        <is>
          <t>+</t>
        </is>
      </c>
      <c r="C63" s="1087">
        <f>-RESULTAT!I36</f>
        <v/>
      </c>
      <c r="D63" s="1087" t="n"/>
    </row>
    <row r="64">
      <c r="A64" s="667" t="inlineStr">
        <is>
          <t>Compte 6914</t>
        </is>
      </c>
      <c r="B64" s="1106" t="inlineStr">
        <is>
          <t>+</t>
        </is>
      </c>
      <c r="C64" s="1087" t="n"/>
      <c r="D64" s="1087" t="n"/>
    </row>
    <row r="65">
      <c r="A65" s="667" t="inlineStr">
        <is>
          <t>Compte 6542</t>
        </is>
      </c>
      <c r="B65" s="1106" t="inlineStr">
        <is>
          <t>+</t>
        </is>
      </c>
      <c r="C65" s="1087" t="n"/>
      <c r="D65" s="1087" t="n"/>
    </row>
    <row r="66">
      <c r="A66" s="667" t="inlineStr">
        <is>
          <t>Compte 812</t>
        </is>
      </c>
      <c r="B66" s="1106" t="inlineStr">
        <is>
          <t>+</t>
        </is>
      </c>
      <c r="C66" s="1087" t="n"/>
      <c r="D66" s="1087" t="n"/>
    </row>
    <row r="67">
      <c r="A67" s="667" t="inlineStr">
        <is>
          <t>Compte 1061</t>
        </is>
      </c>
      <c r="B67" s="1106" t="inlineStr">
        <is>
          <t>-</t>
        </is>
      </c>
      <c r="C67" s="1087" t="n"/>
      <c r="D67" s="1087" t="n"/>
    </row>
    <row r="68">
      <c r="A68" s="667" t="inlineStr">
        <is>
          <t>Compte 1062</t>
        </is>
      </c>
      <c r="B68" s="1106" t="inlineStr">
        <is>
          <t>-</t>
        </is>
      </c>
      <c r="C68" s="1087" t="n"/>
      <c r="D68" s="1087" t="n"/>
    </row>
    <row r="69">
      <c r="A69" s="667" t="inlineStr">
        <is>
          <t>Compte 154</t>
        </is>
      </c>
      <c r="B69" s="1106" t="inlineStr">
        <is>
          <t>-</t>
        </is>
      </c>
      <c r="C69" s="1087" t="n"/>
      <c r="D69" s="1087" t="n"/>
    </row>
    <row r="70">
      <c r="A70" s="667" t="inlineStr">
        <is>
          <t>Compte 1984</t>
        </is>
      </c>
      <c r="B70" s="1106" t="inlineStr">
        <is>
          <t>-</t>
        </is>
      </c>
      <c r="C70" s="1087" t="n"/>
      <c r="D70" s="1087" t="n"/>
    </row>
    <row r="71">
      <c r="A71" s="667" t="inlineStr">
        <is>
          <t>Comptes 2286, 2316, 2326, 2416, 2426, 2446, 2456</t>
        </is>
      </c>
      <c r="B71" s="1106" t="inlineStr">
        <is>
          <t>-</t>
        </is>
      </c>
      <c r="C71" s="1087" t="n"/>
      <c r="D71" s="1087" t="n"/>
    </row>
    <row r="72">
      <c r="A72" s="667" t="inlineStr">
        <is>
          <t>Compte 2714</t>
        </is>
      </c>
      <c r="B72" s="1106" t="inlineStr">
        <is>
          <t>-</t>
        </is>
      </c>
      <c r="C72" s="1087" t="n"/>
      <c r="D72" s="1087" t="n"/>
    </row>
    <row r="73">
      <c r="A73" s="667" t="inlineStr">
        <is>
          <t>Compte 252</t>
        </is>
      </c>
      <c r="B73" s="1106" t="inlineStr">
        <is>
          <t>+</t>
        </is>
      </c>
      <c r="C73" s="1087">
        <f>BILAN!H22-BILAN!I22</f>
        <v/>
      </c>
      <c r="D73" s="1087" t="n"/>
    </row>
    <row r="74">
      <c r="A74" s="667" t="inlineStr">
        <is>
          <t>Comptes 4812, 4822, 4042, 4047</t>
        </is>
      </c>
      <c r="B74" s="1106" t="inlineStr">
        <is>
          <t>+</t>
        </is>
      </c>
      <c r="C74" s="1087" t="n"/>
      <c r="D74" s="1087" t="n"/>
    </row>
    <row r="75">
      <c r="A75" s="667" t="inlineStr">
        <is>
          <t>Comptes 4812, 4822, 4042, 4047</t>
        </is>
      </c>
      <c r="B75" s="1106" t="inlineStr">
        <is>
          <t>-</t>
        </is>
      </c>
      <c r="C75" s="1087" t="n"/>
      <c r="D75" s="1087" t="n"/>
    </row>
    <row r="76">
      <c r="A76" s="667" t="inlineStr">
        <is>
          <t>Comptes 48162, 48172, 48182</t>
        </is>
      </c>
      <c r="B76" s="1106" t="inlineStr">
        <is>
          <t>+</t>
        </is>
      </c>
      <c r="C76" s="1087" t="n"/>
      <c r="D76" s="1087" t="n"/>
    </row>
    <row r="77">
      <c r="A77" s="667" t="inlineStr">
        <is>
          <t>Comptes 48162, 48172, 48182</t>
        </is>
      </c>
      <c r="B77" s="1106" t="inlineStr">
        <is>
          <t>-</t>
        </is>
      </c>
      <c r="C77" s="1087" t="n"/>
      <c r="D77" s="1087" t="n"/>
    </row>
    <row r="78">
      <c r="A78" s="1109" t="inlineStr">
        <is>
          <t>Décaissements liés aux acquisitions d'immobilisations corporelles</t>
        </is>
      </c>
      <c r="B78" s="1112" t="n"/>
      <c r="C78" s="1110">
        <f>SUM(C62:C77)</f>
        <v/>
      </c>
      <c r="D78" s="1110">
        <f>SUM(D62:D77)</f>
        <v/>
      </c>
    </row>
    <row r="79">
      <c r="A79" s="667" t="inlineStr">
        <is>
          <t>Compte 26,27</t>
        </is>
      </c>
      <c r="B79" s="1113" t="inlineStr">
        <is>
          <t>+</t>
        </is>
      </c>
      <c r="C79" s="1114">
        <f>BILAN!H23-BILAN!I23</f>
        <v/>
      </c>
      <c r="D79" s="1114" t="n"/>
      <c r="E79" s="1992" t="n"/>
    </row>
    <row r="80">
      <c r="A80" s="667" t="inlineStr">
        <is>
          <t>Compte 4813</t>
        </is>
      </c>
      <c r="B80" s="1113" t="inlineStr">
        <is>
          <t>+</t>
        </is>
      </c>
      <c r="C80" s="1114" t="n"/>
      <c r="D80" s="1114" t="n"/>
    </row>
    <row r="81">
      <c r="A81" s="667" t="inlineStr">
        <is>
          <t>Compte 4813</t>
        </is>
      </c>
      <c r="B81" s="1113" t="inlineStr">
        <is>
          <t>-</t>
        </is>
      </c>
      <c r="C81" s="1114" t="n"/>
      <c r="D81" s="1114" t="n"/>
    </row>
    <row r="82">
      <c r="A82" s="1115" t="inlineStr">
        <is>
          <t>Décaissements liés aux acquisitions d'immobilisations financières</t>
        </is>
      </c>
      <c r="B82" s="1116" t="n"/>
      <c r="C82" s="1117">
        <f>SUM(C79:C81)</f>
        <v/>
      </c>
      <c r="D82" s="1117">
        <f>SUM(D79:D81)</f>
        <v/>
      </c>
    </row>
    <row r="83">
      <c r="A83" s="667" t="inlineStr">
        <is>
          <t>Comptes 821, 822 ou 7541, 7542</t>
        </is>
      </c>
      <c r="B83" s="1113" t="inlineStr">
        <is>
          <t>+</t>
        </is>
      </c>
      <c r="C83" s="1114" t="n"/>
      <c r="D83" s="1114" t="n"/>
    </row>
    <row r="84">
      <c r="A84" s="667" t="inlineStr">
        <is>
          <t>Comptes 4851, 4852, ou 4141, 4142</t>
        </is>
      </c>
      <c r="B84" s="1113" t="inlineStr">
        <is>
          <t>-</t>
        </is>
      </c>
      <c r="C84" s="1114" t="n"/>
      <c r="D84" s="1114" t="n"/>
    </row>
    <row r="85">
      <c r="A85" s="667" t="inlineStr">
        <is>
          <t>Comptes 4851, 4852, ou 4141, 4142</t>
        </is>
      </c>
      <c r="B85" s="1113" t="inlineStr">
        <is>
          <t>+</t>
        </is>
      </c>
      <c r="C85" s="1114" t="n"/>
      <c r="D85" s="1114" t="n"/>
    </row>
    <row r="86">
      <c r="A86" s="1115" t="inlineStr">
        <is>
          <t>Décaissements liés aux cessions d'immobilisatins incorporelles et corporelles</t>
        </is>
      </c>
      <c r="B86" s="1116" t="n"/>
      <c r="C86" s="1117">
        <f>SUM(C83:C85)</f>
        <v/>
      </c>
      <c r="D86" s="1117">
        <f>SUM(D83:D85)</f>
        <v/>
      </c>
    </row>
    <row r="87">
      <c r="A87" s="667" t="inlineStr">
        <is>
          <t>Comptes 826</t>
        </is>
      </c>
      <c r="B87" s="1113" t="inlineStr">
        <is>
          <t>+</t>
        </is>
      </c>
      <c r="C87" s="1114" t="n"/>
      <c r="D87" s="1114" t="n"/>
    </row>
    <row r="88">
      <c r="A88" s="667" t="inlineStr">
        <is>
          <t>Comptes 4856 ou 4143</t>
        </is>
      </c>
      <c r="B88" s="1113" t="inlineStr">
        <is>
          <t>-</t>
        </is>
      </c>
      <c r="C88" s="1114" t="n"/>
      <c r="D88" s="1114" t="n"/>
    </row>
    <row r="89">
      <c r="A89" s="667" t="inlineStr">
        <is>
          <t>Comptes 4856 ou 4143</t>
        </is>
      </c>
      <c r="B89" s="1113" t="inlineStr">
        <is>
          <t>+</t>
        </is>
      </c>
      <c r="C89" s="1114" t="n"/>
      <c r="D89" s="1114" t="n"/>
    </row>
    <row r="90">
      <c r="A90" s="667" t="inlineStr">
        <is>
          <t>Compte 2714</t>
        </is>
      </c>
      <c r="B90" s="1113" t="inlineStr">
        <is>
          <t>+</t>
        </is>
      </c>
      <c r="C90" s="1114" t="n"/>
      <c r="D90" s="1114" t="n"/>
    </row>
    <row r="91">
      <c r="A91" s="1109" t="inlineStr">
        <is>
          <t>Décaissements liés aux cessions d'immobilisations financières</t>
        </is>
      </c>
      <c r="B91" s="1112" t="n"/>
      <c r="C91" s="1110">
        <f>SUM(C87:C90)</f>
        <v/>
      </c>
      <c r="D91" s="1110">
        <f>SUM(D87:D90)</f>
        <v/>
      </c>
    </row>
    <row r="92">
      <c r="A92" s="1109" t="inlineStr">
        <is>
          <t>LES FLUX DE TRESORERIE PROVENANT DES ACTIVITES D'INVESTISSEMENT ( C )</t>
        </is>
      </c>
      <c r="B92" s="1112" t="n"/>
      <c r="C92" s="1188">
        <f>C78+C82+C86+C91+C61</f>
        <v/>
      </c>
      <c r="D92" s="1110">
        <f>-D78+D82+D86+D91</f>
        <v/>
      </c>
    </row>
    <row r="96">
      <c r="C96" s="1506" t="inlineStr">
        <is>
          <t>MONTANT</t>
        </is>
      </c>
      <c r="D96" s="1507" t="n"/>
    </row>
    <row r="97">
      <c r="C97" s="1506" t="inlineStr">
        <is>
          <t>EXERCICE N</t>
        </is>
      </c>
      <c r="D97" s="1506" t="inlineStr">
        <is>
          <t>EXERCICE N-1</t>
        </is>
      </c>
    </row>
    <row r="98">
      <c r="A98" s="667" t="inlineStr">
        <is>
          <t>Variation du compte 10</t>
        </is>
      </c>
      <c r="B98" s="1106" t="inlineStr">
        <is>
          <t>- / +</t>
        </is>
      </c>
      <c r="C98" s="1087">
        <f>-BILAN!M11+BILAN!N11</f>
        <v/>
      </c>
      <c r="D98" s="1087" t="n"/>
    </row>
    <row r="99">
      <c r="A99" s="667" t="inlineStr">
        <is>
          <t>Variation du compte 106</t>
        </is>
      </c>
      <c r="B99" s="1105" t="inlineStr">
        <is>
          <t>-</t>
        </is>
      </c>
      <c r="C99" s="1087" t="n"/>
      <c r="D99" s="1087" t="n"/>
    </row>
    <row r="100">
      <c r="A100" s="667" t="inlineStr">
        <is>
          <t>Variation du compte 109</t>
        </is>
      </c>
      <c r="B100" s="1105" t="inlineStr">
        <is>
          <t>-</t>
        </is>
      </c>
      <c r="C100" s="1087" t="n"/>
      <c r="D100" s="1087" t="n"/>
    </row>
    <row r="101">
      <c r="A101" s="667" t="inlineStr">
        <is>
          <t>Variation du compte 467</t>
        </is>
      </c>
      <c r="B101" s="1106" t="inlineStr">
        <is>
          <t>- / +</t>
        </is>
      </c>
      <c r="C101" s="1087" t="n"/>
      <c r="D101" s="1087" t="n"/>
    </row>
    <row r="102">
      <c r="A102" s="667" t="inlineStr">
        <is>
          <t>Varaition du compte 4581</t>
        </is>
      </c>
      <c r="B102" s="1106" t="inlineStr">
        <is>
          <t>- / +</t>
        </is>
      </c>
      <c r="C102" s="1087" t="n"/>
      <c r="D102" s="1087" t="n"/>
    </row>
    <row r="103">
      <c r="A103" s="1115" t="inlineStr">
        <is>
          <t>Augmentation de capital par apport à nouveaux</t>
        </is>
      </c>
      <c r="B103" s="1118" t="n"/>
      <c r="C103" s="1117">
        <f>SUM(C98:C102)</f>
        <v/>
      </c>
      <c r="D103" s="1117">
        <f>SUM(D98:D102)</f>
        <v/>
      </c>
    </row>
    <row r="104">
      <c r="A104" s="667" t="inlineStr">
        <is>
          <t>Variation du compte 14</t>
        </is>
      </c>
      <c r="B104" s="1106" t="inlineStr">
        <is>
          <t>- / +</t>
        </is>
      </c>
      <c r="C104" s="1087" t="n"/>
      <c r="D104" s="1087" t="n"/>
    </row>
    <row r="105">
      <c r="A105" s="667" t="inlineStr">
        <is>
          <t>Variation du compte 799</t>
        </is>
      </c>
      <c r="B105" s="1105" t="inlineStr">
        <is>
          <t>-</t>
        </is>
      </c>
      <c r="C105" s="1087" t="n"/>
      <c r="D105" s="1087" t="n"/>
    </row>
    <row r="106">
      <c r="A106" s="667" t="inlineStr">
        <is>
          <t>Variation du compte 4582</t>
        </is>
      </c>
      <c r="B106" s="1106" t="inlineStr">
        <is>
          <t>- / +</t>
        </is>
      </c>
      <c r="C106" s="1087" t="n"/>
      <c r="D106" s="1087" t="n"/>
    </row>
    <row r="107">
      <c r="A107" s="667" t="inlineStr">
        <is>
          <t>Variation du compte 4494</t>
        </is>
      </c>
      <c r="B107" s="1106" t="inlineStr">
        <is>
          <t>- / +</t>
        </is>
      </c>
      <c r="C107" s="1087" t="n"/>
      <c r="D107" s="1087" t="n"/>
    </row>
    <row r="108">
      <c r="A108" s="667" t="inlineStr">
        <is>
          <t>Variation du compte 4497</t>
        </is>
      </c>
      <c r="B108" s="1106" t="inlineStr">
        <is>
          <t>- / +</t>
        </is>
      </c>
      <c r="C108" s="1087" t="n"/>
      <c r="D108" s="1087" t="n"/>
    </row>
    <row r="109">
      <c r="A109" s="1115" t="inlineStr">
        <is>
          <t>Subventions d'investissements reçues</t>
        </is>
      </c>
      <c r="B109" s="1116" t="n"/>
      <c r="C109" s="1117">
        <f>SUM(C104:C108)</f>
        <v/>
      </c>
      <c r="D109" s="1117">
        <f>SUM(D104:D108)</f>
        <v/>
      </c>
    </row>
    <row r="110">
      <c r="A110" s="667" t="inlineStr">
        <is>
          <t>Variation du compte 10</t>
        </is>
      </c>
      <c r="B110" s="1106" t="inlineStr">
        <is>
          <t>- / +</t>
        </is>
      </c>
      <c r="C110" s="1087" t="n"/>
      <c r="D110" s="1087" t="n"/>
    </row>
    <row r="111">
      <c r="A111" s="667" t="inlineStr">
        <is>
          <t>Variation du compte 106</t>
        </is>
      </c>
      <c r="B111" s="1105" t="inlineStr">
        <is>
          <t>-</t>
        </is>
      </c>
      <c r="C111" s="1087" t="n"/>
      <c r="D111" s="1087" t="n"/>
    </row>
    <row r="112">
      <c r="A112" s="667" t="inlineStr">
        <is>
          <t>Variation du compte 109</t>
        </is>
      </c>
      <c r="B112" s="1105" t="inlineStr">
        <is>
          <t>-</t>
        </is>
      </c>
      <c r="C112" s="1087" t="n"/>
      <c r="D112" s="1087" t="n"/>
    </row>
    <row r="113">
      <c r="A113" s="667" t="inlineStr">
        <is>
          <t>Variation du compte 467</t>
        </is>
      </c>
      <c r="B113" s="1106" t="inlineStr">
        <is>
          <t>- / +</t>
        </is>
      </c>
      <c r="C113" s="1087" t="n"/>
      <c r="D113" s="1087" t="n"/>
    </row>
    <row r="114">
      <c r="A114" s="667" t="inlineStr">
        <is>
          <t>Varaition du compte 4581</t>
        </is>
      </c>
      <c r="B114" s="1106" t="inlineStr">
        <is>
          <t>- / +</t>
        </is>
      </c>
      <c r="C114" s="1087" t="n"/>
      <c r="D114" s="1087" t="n"/>
    </row>
    <row r="115">
      <c r="A115" s="1115" t="inlineStr">
        <is>
          <t>Prélèvement sur le capital</t>
        </is>
      </c>
      <c r="B115" s="1116" t="n"/>
      <c r="C115" s="1117">
        <f>SUM(C110:C114)</f>
        <v/>
      </c>
      <c r="D115" s="1117">
        <f>SUM(D110:D114)</f>
        <v/>
      </c>
    </row>
    <row r="116">
      <c r="A116" s="667" t="inlineStr">
        <is>
          <t>Compte 465</t>
        </is>
      </c>
      <c r="B116" s="1106" t="inlineStr">
        <is>
          <t>-</t>
        </is>
      </c>
      <c r="C116" s="1087" t="n"/>
      <c r="D116" s="1087" t="n"/>
    </row>
    <row r="117">
      <c r="A117" s="667" t="inlineStr">
        <is>
          <t>Dividende versé</t>
        </is>
      </c>
      <c r="B117" s="1106" t="n"/>
      <c r="C117" s="1087" t="n"/>
      <c r="D117" s="1087" t="n"/>
    </row>
    <row r="118">
      <c r="A118" s="1115" t="inlineStr">
        <is>
          <t>Flux de financement provenant des capitaux étrangers</t>
        </is>
      </c>
      <c r="B118" s="1116" t="inlineStr">
        <is>
          <t>D</t>
        </is>
      </c>
      <c r="C118" s="1117">
        <f>SUM(C116:C117)</f>
        <v/>
      </c>
      <c r="D118" s="1117">
        <f>SUM(D116:D117)</f>
        <v/>
      </c>
    </row>
    <row r="119">
      <c r="A119" s="667" t="inlineStr">
        <is>
          <t>Compte 16</t>
        </is>
      </c>
      <c r="B119" s="1106" t="inlineStr">
        <is>
          <t>- / +</t>
        </is>
      </c>
      <c r="C119" s="71">
        <f>-BILAN!M22+BILAN!N22</f>
        <v/>
      </c>
      <c r="D119" s="1087" t="n"/>
    </row>
    <row r="120">
      <c r="A120" s="667" t="inlineStr">
        <is>
          <t>Compte 18</t>
        </is>
      </c>
      <c r="B120" s="1106" t="inlineStr">
        <is>
          <t>- / +</t>
        </is>
      </c>
      <c r="C120" s="1087" t="n"/>
      <c r="D120" s="1087" t="n"/>
    </row>
    <row r="121">
      <c r="A121" s="667" t="inlineStr">
        <is>
          <t>Compte 183</t>
        </is>
      </c>
      <c r="B121" s="1106" t="inlineStr">
        <is>
          <t>-</t>
        </is>
      </c>
      <c r="C121" s="1087" t="n"/>
      <c r="D121" s="1087" t="n"/>
    </row>
    <row r="122">
      <c r="A122" s="667" t="inlineStr">
        <is>
          <t>Compte 17</t>
        </is>
      </c>
      <c r="B122" s="1106" t="inlineStr">
        <is>
          <t>-</t>
        </is>
      </c>
      <c r="C122" s="1087" t="n"/>
      <c r="D122" s="1087" t="n"/>
    </row>
    <row r="123">
      <c r="A123" s="1115" t="inlineStr">
        <is>
          <t>Flux de financement provenant des capitaux étrangers</t>
        </is>
      </c>
      <c r="B123" s="1116" t="inlineStr">
        <is>
          <t>E</t>
        </is>
      </c>
      <c r="C123" s="1119">
        <f>SUM(C119:C122)</f>
        <v/>
      </c>
      <c r="D123" s="1119">
        <f>SUM(D119:D122)</f>
        <v/>
      </c>
    </row>
    <row r="124">
      <c r="A124" s="1109" t="inlineStr">
        <is>
          <t>LES FLUX DE TRESORERIE PROVENANT DES CAPITAUX PROPRES</t>
        </is>
      </c>
      <c r="B124" s="1112" t="inlineStr">
        <is>
          <t>F</t>
        </is>
      </c>
      <c r="C124" s="1188">
        <f>+C103+C109+C115+C118+C123</f>
        <v/>
      </c>
      <c r="D124" s="1110">
        <f>+D103+D109+D115+D118+D123</f>
        <v/>
      </c>
    </row>
    <row r="126">
      <c r="A126" s="1115" t="inlineStr">
        <is>
          <t>VARIATION DE LA TRESORERIE NETTE DE LA PERIODE (B +C +F)</t>
        </is>
      </c>
      <c r="B126" s="1118" t="inlineStr">
        <is>
          <t>G</t>
        </is>
      </c>
      <c r="C126" s="1189">
        <f>C45+C92+C124</f>
        <v/>
      </c>
      <c r="D126" s="1117">
        <f>D45+D92+D124</f>
        <v/>
      </c>
    </row>
    <row r="128">
      <c r="A128" s="1115" t="inlineStr">
        <is>
          <t>TRESORERIE NETTE DE LA PERIODE (G + A)</t>
        </is>
      </c>
      <c r="B128" s="1118" t="n"/>
      <c r="C128" s="1189">
        <f>C126+C8</f>
        <v/>
      </c>
      <c r="D128" s="1117">
        <f>D126+D8</f>
        <v/>
      </c>
    </row>
    <row r="130">
      <c r="C130" s="1506" t="inlineStr">
        <is>
          <t>MONTANT</t>
        </is>
      </c>
      <c r="D130" s="1507" t="n"/>
    </row>
    <row r="131">
      <c r="C131" s="1506" t="inlineStr">
        <is>
          <t>EXERCICE N</t>
        </is>
      </c>
      <c r="D131" s="1506" t="inlineStr">
        <is>
          <t>EXERCICE N-1</t>
        </is>
      </c>
    </row>
    <row r="132">
      <c r="A132" s="667" t="inlineStr">
        <is>
          <t>Trésorerie actif de N</t>
        </is>
      </c>
      <c r="B132" s="1105" t="inlineStr">
        <is>
          <t>+</t>
        </is>
      </c>
      <c r="C132" s="1087">
        <f>BILAN!H37</f>
        <v/>
      </c>
      <c r="D132" s="1087" t="n"/>
    </row>
    <row r="133">
      <c r="A133" s="667" t="inlineStr">
        <is>
          <t>Compte 472 verseemnts restant à effectuer sur titres de placement non libérés de l'année N</t>
        </is>
      </c>
      <c r="B133" s="1106" t="inlineStr">
        <is>
          <t>- / +</t>
        </is>
      </c>
      <c r="C133" s="1087" t="n"/>
      <c r="D133" s="1087" t="n"/>
    </row>
    <row r="134">
      <c r="A134" s="667" t="inlineStr">
        <is>
          <t>Trésorerie passif de N</t>
        </is>
      </c>
      <c r="B134" s="1105" t="inlineStr">
        <is>
          <t>-</t>
        </is>
      </c>
      <c r="C134" s="1087">
        <f>-BILAN!M37</f>
        <v/>
      </c>
      <c r="D134" s="1087" t="n">
        <v>0</v>
      </c>
    </row>
    <row r="135">
      <c r="A135" s="1107" t="inlineStr">
        <is>
          <t>Contrôle Trésorerie au 31 décembre :  Trésorerie-actif N - Trésorerie-passif N</t>
        </is>
      </c>
      <c r="B135" s="1107" t="n"/>
      <c r="C135" s="1188">
        <f>+C132-C134</f>
        <v/>
      </c>
      <c r="D135" s="1110">
        <f>SUM(D132:D134)</f>
        <v/>
      </c>
    </row>
    <row r="136">
      <c r="A136" s="1120" t="inlineStr">
        <is>
          <t xml:space="preserve">En cas de déséquilibre, le montant à équilibrer au TFT est de : </t>
        </is>
      </c>
      <c r="B136" s="1105" t="n"/>
      <c r="C136" s="1121">
        <f>+C128-C135</f>
        <v/>
      </c>
      <c r="D136" s="1121">
        <f>+D128-D135</f>
        <v/>
      </c>
    </row>
  </sheetData>
  <mergeCells count="6">
    <mergeCell ref="A1:D1"/>
    <mergeCell ref="C130:D130"/>
    <mergeCell ref="C11:D11"/>
    <mergeCell ref="C96:D96"/>
    <mergeCell ref="C3:D3"/>
    <mergeCell ref="C49:D49"/>
  </mergeCells>
  <dataValidations count="1">
    <dataValidation sqref="C119" showDropDown="0" showInputMessage="0" showErrorMessage="1" allowBlank="1" errorTitle="Attention !" error="Valeur numérique attendue" type="whole">
      <formula1>-9999999999999</formula1>
      <formula2>9999999999999</formula2>
    </dataValidation>
  </dataValidations>
  <pageMargins left="0.7" right="0.7" top="0.75" bottom="0.75" header="0.3" footer="0.3"/>
  <pageSetup orientation="portrait" paperSize="9" scale="53"/>
  <rowBreaks count="1" manualBreakCount="1">
    <brk id="95" min="0" max="16383" man="1"/>
  </rowBreaks>
</worksheet>
</file>

<file path=xl/worksheets/sheet15.xml><?xml version="1.0" encoding="utf-8"?>
<worksheet xmlns="http://schemas.openxmlformats.org/spreadsheetml/2006/main">
  <sheetPr codeName="Feuil15">
    <tabColor theme="4" tint="0.5999938962981048"/>
    <outlinePr summaryBelow="1" summaryRight="1"/>
    <pageSetUpPr fitToPage="1"/>
  </sheetPr>
  <dimension ref="A1:K53"/>
  <sheetViews>
    <sheetView showGridLines="0" topLeftCell="A34" zoomScaleNormal="100" workbookViewId="0">
      <selection activeCell="A14" sqref="A14:D14"/>
    </sheetView>
  </sheetViews>
  <sheetFormatPr baseColWidth="10" defaultColWidth="11.42578125" defaultRowHeight="11.25"/>
  <cols>
    <col width="8.85546875" customWidth="1" style="1356" min="1" max="1"/>
    <col width="20.5703125" customWidth="1" style="1356" min="2" max="2"/>
    <col width="8.42578125" customWidth="1" style="1356" min="3" max="3"/>
    <col width="10.28515625" customWidth="1" style="1356" min="4" max="4"/>
    <col width="6.85546875" customWidth="1" style="1356" min="5" max="5"/>
    <col width="15.7109375" customWidth="1" style="1356" min="6" max="9"/>
    <col width="11.42578125" customWidth="1" style="1356" min="10" max="10"/>
    <col width="11.42578125" customWidth="1" style="1356" min="11" max="16384"/>
  </cols>
  <sheetData>
    <row r="1" ht="13.15" customHeight="1" s="1225">
      <c r="A1" s="1429" t="inlineStr">
        <is>
          <t>- 8 -</t>
        </is>
      </c>
    </row>
    <row r="2" ht="24.95" customHeight="1" s="1225">
      <c r="A2" s="1429" t="n"/>
      <c r="B2" s="1429" t="n"/>
      <c r="C2" s="1429" t="n"/>
      <c r="D2" s="1429" t="n"/>
      <c r="E2" s="1429" t="n"/>
      <c r="F2" s="1429" t="n"/>
      <c r="G2" s="1429" t="n"/>
      <c r="H2" s="1438" t="inlineStr">
        <is>
          <t>NOTE 1
SYSTEME NORMAL</t>
        </is>
      </c>
      <c r="I2" s="1411" t="n"/>
    </row>
    <row r="3" ht="15.75" customFormat="1" customHeight="1" s="127">
      <c r="A3" s="1451" t="inlineStr">
        <is>
          <t>Dénomination sociale de l'entité :</t>
        </is>
      </c>
      <c r="B3" s="1451" t="n"/>
      <c r="C3" s="1276">
        <f>'FICHE R4'!C3</f>
        <v/>
      </c>
      <c r="D3" s="1277" t="n"/>
      <c r="E3" s="1277" t="n"/>
      <c r="F3" s="1277" t="n"/>
      <c r="G3" s="1277" t="n"/>
      <c r="H3" s="1277" t="n"/>
      <c r="I3" s="1277" t="n"/>
    </row>
    <row r="4" ht="15.75" customFormat="1" customHeight="1" s="127">
      <c r="A4" s="1451" t="inlineStr">
        <is>
          <t>Adresse :</t>
        </is>
      </c>
      <c r="B4" s="1276">
        <f>'FICHE R4'!B4</f>
        <v/>
      </c>
      <c r="C4" s="1277" t="n"/>
      <c r="D4" s="1277" t="n"/>
      <c r="E4" s="1277" t="n"/>
      <c r="F4" s="1277" t="n"/>
      <c r="G4" s="1277" t="n"/>
      <c r="H4" s="1589" t="inlineStr">
        <is>
          <t>Sigle usuel :</t>
        </is>
      </c>
      <c r="I4" s="1970">
        <f>'FICHE R4'!I4</f>
        <v/>
      </c>
    </row>
    <row r="5" ht="15.75" customFormat="1" customHeight="1" s="127">
      <c r="A5" s="1451" t="inlineStr">
        <is>
          <t>N° IFU du contribuable :</t>
        </is>
      </c>
      <c r="B5" s="1451" t="n"/>
      <c r="C5" s="1280">
        <f>'FICHE R4'!C5</f>
        <v/>
      </c>
      <c r="D5" s="1279" t="n"/>
      <c r="E5" s="1279" t="n"/>
      <c r="F5" s="1457" t="inlineStr">
        <is>
          <t>Exercice clos le :</t>
        </is>
      </c>
      <c r="G5" s="1634" t="n"/>
      <c r="H5" s="1589" t="inlineStr">
        <is>
          <t>Durée (en mois) :</t>
        </is>
      </c>
      <c r="I5" s="111">
        <f>'FICHE R4'!I5</f>
        <v/>
      </c>
    </row>
    <row r="6" ht="15.75" customFormat="1" customHeight="1" s="127">
      <c r="A6" s="1451" t="inlineStr">
        <is>
          <t>N° de télédéclarant (NES):</t>
        </is>
      </c>
      <c r="B6" s="1451" t="n"/>
      <c r="C6" s="1520">
        <f>'FICHE R4'!C6</f>
        <v/>
      </c>
      <c r="D6" s="1521" t="n"/>
      <c r="E6" s="1521" t="n"/>
      <c r="F6" s="253" t="n"/>
      <c r="G6" s="1634" t="n"/>
      <c r="H6" s="254" t="n"/>
      <c r="I6" s="1970" t="n"/>
    </row>
    <row r="7" ht="35.1" customHeight="1" s="1225" thickBot="1">
      <c r="A7" s="1341" t="inlineStr">
        <is>
          <t>NOTE 1: DETTES GARANTIES PAR DES SURETES REELLES ET LES ENGAGEMENTS FINANCIERS</t>
        </is>
      </c>
    </row>
    <row r="8" ht="18.75" customHeight="1" s="1225">
      <c r="A8" s="1513" t="inlineStr">
        <is>
          <t>LIBELLES</t>
        </is>
      </c>
      <c r="B8" s="1300" t="n"/>
      <c r="C8" s="1300" t="n"/>
      <c r="D8" s="1514" t="n"/>
      <c r="E8" s="1523" t="inlineStr">
        <is>
          <t>Note</t>
        </is>
      </c>
      <c r="F8" s="1523" t="inlineStr">
        <is>
          <t>Montant
brut (1)</t>
        </is>
      </c>
      <c r="G8" s="1508" t="inlineStr">
        <is>
          <t>SURETES REELLES (2)</t>
        </is>
      </c>
      <c r="H8" s="1509" t="n"/>
      <c r="I8" s="1510" t="n"/>
    </row>
    <row r="9" ht="18" customHeight="1" s="1225">
      <c r="A9" s="1515" t="n"/>
      <c r="B9" s="1516" t="n"/>
      <c r="C9" s="1516" t="n"/>
      <c r="D9" s="1517" t="n"/>
      <c r="E9" s="1524" t="n"/>
      <c r="F9" s="1524" t="n"/>
      <c r="G9" s="1593" t="inlineStr">
        <is>
          <t>Hypothèques</t>
        </is>
      </c>
      <c r="H9" s="1593" t="inlineStr">
        <is>
          <t>Nantissements</t>
        </is>
      </c>
      <c r="I9" s="796" t="inlineStr">
        <is>
          <t>Gages/autres</t>
        </is>
      </c>
    </row>
    <row r="10" ht="15.95" customHeight="1" s="1225">
      <c r="A10" s="1519" t="inlineStr">
        <is>
          <t>Emprunts et dettes financières diverses :</t>
        </is>
      </c>
      <c r="B10" s="1420" t="n"/>
      <c r="C10" s="1420" t="n"/>
      <c r="D10" s="1411" t="n"/>
      <c r="E10" s="1640" t="n">
        <v>16</v>
      </c>
      <c r="F10" s="109" t="n"/>
      <c r="G10" s="109" t="n"/>
      <c r="H10" s="109" t="n"/>
      <c r="I10" s="1585" t="n"/>
    </row>
    <row r="11" ht="15.95" customHeight="1" s="1225">
      <c r="A11" s="1512" t="inlineStr">
        <is>
          <t>Emprunts obligataires convertibles</t>
        </is>
      </c>
      <c r="B11" s="1420" t="n"/>
      <c r="C11" s="1420" t="n"/>
      <c r="D11" s="1411" t="n"/>
      <c r="E11" s="1636" t="n"/>
      <c r="F11" s="1570" t="n"/>
      <c r="G11" s="1570" t="n"/>
      <c r="H11" s="1570" t="n"/>
      <c r="I11" s="798" t="n"/>
    </row>
    <row r="12" ht="15.95" customHeight="1" s="1225">
      <c r="A12" s="1512" t="inlineStr">
        <is>
          <t>Autres emprunts obligataires</t>
        </is>
      </c>
      <c r="B12" s="1420" t="n"/>
      <c r="C12" s="1420" t="n"/>
      <c r="D12" s="1411" t="n"/>
      <c r="E12" s="1636" t="n"/>
      <c r="F12" s="1570" t="n"/>
      <c r="G12" s="1570" t="n"/>
      <c r="H12" s="1570" t="n"/>
      <c r="I12" s="798" t="n"/>
    </row>
    <row r="13" ht="15.95" customHeight="1" s="1225">
      <c r="A13" s="1512" t="inlineStr">
        <is>
          <t>Emprunts et dettes des établissements de crédit</t>
        </is>
      </c>
      <c r="B13" s="1420" t="n"/>
      <c r="C13" s="1420" t="n"/>
      <c r="D13" s="1411" t="n"/>
      <c r="E13" s="1636" t="n"/>
      <c r="F13" s="1570">
        <f>+BILAN!M22</f>
        <v/>
      </c>
      <c r="G13" s="1570" t="n"/>
      <c r="H13" s="1570" t="n"/>
      <c r="I13" s="798" t="n"/>
    </row>
    <row r="14" ht="15.95" customHeight="1" s="1225">
      <c r="A14" s="1512" t="inlineStr">
        <is>
          <t>Autres dettes financières</t>
        </is>
      </c>
      <c r="B14" s="1420" t="n"/>
      <c r="C14" s="1420" t="n"/>
      <c r="D14" s="1411" t="n"/>
      <c r="E14" s="1636" t="n"/>
      <c r="F14" s="1570" t="n"/>
      <c r="G14" s="1570" t="n"/>
      <c r="H14" s="1570" t="n"/>
      <c r="I14" s="798" t="n"/>
    </row>
    <row r="15" ht="15.95" customHeight="1" s="1225">
      <c r="A15" s="1525" t="inlineStr">
        <is>
          <t>SOUS TOTAL (1)</t>
        </is>
      </c>
      <c r="B15" s="1420" t="n"/>
      <c r="C15" s="1420" t="n"/>
      <c r="D15" s="1411" t="n"/>
      <c r="E15" s="414" t="n"/>
      <c r="F15" s="1574">
        <f>SUM(F11:F14)</f>
        <v/>
      </c>
      <c r="G15" s="555" t="n"/>
      <c r="H15" s="555" t="n"/>
      <c r="I15" s="799" t="n"/>
    </row>
    <row r="16" ht="15.95" customHeight="1" s="1225">
      <c r="A16" s="1519" t="inlineStr">
        <is>
          <t>Dettes de location-acquisition :</t>
        </is>
      </c>
      <c r="B16" s="1420" t="n"/>
      <c r="C16" s="1420" t="n"/>
      <c r="D16" s="1411" t="n"/>
      <c r="E16" s="1640" t="n">
        <v>16</v>
      </c>
      <c r="F16" s="109" t="n"/>
      <c r="G16" s="109" t="n"/>
      <c r="H16" s="109" t="n"/>
      <c r="I16" s="1585" t="n"/>
    </row>
    <row r="17" ht="15.95" customHeight="1" s="1225">
      <c r="A17" s="1512" t="inlineStr">
        <is>
          <t>Dettes de crédit-bail immobilier</t>
        </is>
      </c>
      <c r="B17" s="1420" t="n"/>
      <c r="C17" s="1420" t="n"/>
      <c r="D17" s="1411" t="n"/>
      <c r="E17" s="1636" t="n"/>
      <c r="F17" s="1570" t="n"/>
      <c r="G17" s="1570" t="n"/>
      <c r="H17" s="1570" t="n"/>
      <c r="I17" s="798" t="n"/>
    </row>
    <row r="18" ht="15.95" customHeight="1" s="1225">
      <c r="A18" s="1512" t="inlineStr">
        <is>
          <t>Dettes de crédit-bail mobilier</t>
        </is>
      </c>
      <c r="B18" s="1420" t="n"/>
      <c r="C18" s="1420" t="n"/>
      <c r="D18" s="1411" t="n"/>
      <c r="E18" s="1636" t="n"/>
      <c r="F18" s="1570" t="n"/>
      <c r="G18" s="1570" t="n"/>
      <c r="H18" s="1570" t="n"/>
      <c r="I18" s="798" t="n"/>
    </row>
    <row r="19" ht="15.95" customHeight="1" s="1225">
      <c r="A19" s="1512" t="inlineStr">
        <is>
          <t>Dettes sur contrats de location-vente</t>
        </is>
      </c>
      <c r="B19" s="1420" t="n"/>
      <c r="C19" s="1420" t="n"/>
      <c r="D19" s="1411" t="n"/>
      <c r="E19" s="1636" t="n"/>
      <c r="F19" s="1570" t="n"/>
      <c r="G19" s="1570" t="n"/>
      <c r="H19" s="1570" t="n"/>
      <c r="I19" s="798" t="n"/>
    </row>
    <row r="20" ht="15.95" customHeight="1" s="1225">
      <c r="A20" s="1512" t="inlineStr">
        <is>
          <t>Autres dettes sur contrats de location-acquisition</t>
        </is>
      </c>
      <c r="B20" s="1420" t="n"/>
      <c r="C20" s="1420" t="n"/>
      <c r="D20" s="1411" t="n"/>
      <c r="E20" s="1636" t="n"/>
      <c r="F20" s="1570" t="n"/>
      <c r="G20" s="1570" t="n"/>
      <c r="H20" s="1570" t="n"/>
      <c r="I20" s="798" t="n"/>
    </row>
    <row r="21" ht="15.95" customHeight="1" s="1225">
      <c r="A21" s="1525" t="inlineStr">
        <is>
          <t>SOUS TOTAL (2)</t>
        </is>
      </c>
      <c r="B21" s="1420" t="n"/>
      <c r="C21" s="1420" t="n"/>
      <c r="D21" s="1411" t="n"/>
      <c r="E21" s="414" t="n"/>
      <c r="F21" s="1574">
        <f>SUM(F17:F20)</f>
        <v/>
      </c>
      <c r="G21" s="555" t="n"/>
      <c r="H21" s="555" t="n"/>
      <c r="I21" s="799" t="n"/>
    </row>
    <row r="22" ht="15.95" customHeight="1" s="1225">
      <c r="A22" s="1519" t="inlineStr">
        <is>
          <t>Dettes du passif circulant :</t>
        </is>
      </c>
      <c r="B22" s="1420" t="n"/>
      <c r="C22" s="1420" t="n"/>
      <c r="D22" s="1411" t="n"/>
      <c r="E22" s="1640" t="n"/>
      <c r="F22" s="109" t="n"/>
      <c r="G22" s="109" t="n"/>
      <c r="H22" s="109" t="n"/>
      <c r="I22" s="1585" t="n"/>
    </row>
    <row r="23" ht="15.95" customHeight="1" s="1225">
      <c r="A23" s="1512" t="inlineStr">
        <is>
          <t>Fournisseurs et comptes rattachés</t>
        </is>
      </c>
      <c r="B23" s="1420" t="n"/>
      <c r="C23" s="1420" t="n"/>
      <c r="D23" s="1411" t="n"/>
      <c r="E23" s="1636" t="n">
        <v>17</v>
      </c>
      <c r="F23" s="1570" t="n"/>
      <c r="G23" s="1570" t="n"/>
      <c r="H23" s="1570" t="n"/>
      <c r="I23" s="798" t="n"/>
    </row>
    <row r="24" ht="15.95" customHeight="1" s="1225">
      <c r="A24" s="1512" t="inlineStr">
        <is>
          <t>Clients</t>
        </is>
      </c>
      <c r="B24" s="1420" t="n"/>
      <c r="C24" s="1420" t="n"/>
      <c r="D24" s="1411" t="n"/>
      <c r="E24" s="1636" t="n">
        <v>7</v>
      </c>
      <c r="F24" s="71" t="n"/>
      <c r="G24" s="1570" t="n"/>
      <c r="H24" s="1570" t="n"/>
      <c r="I24" s="798" t="n"/>
    </row>
    <row r="25" ht="15.95" customHeight="1" s="1225">
      <c r="A25" s="1512" t="inlineStr">
        <is>
          <t>Personnel</t>
        </is>
      </c>
      <c r="B25" s="1420" t="n"/>
      <c r="C25" s="1420" t="n"/>
      <c r="D25" s="1411" t="n"/>
      <c r="E25" s="1636" t="n">
        <v>18</v>
      </c>
      <c r="F25" s="1570" t="n"/>
      <c r="G25" s="1570" t="n"/>
      <c r="H25" s="1570" t="n"/>
      <c r="I25" s="798" t="n"/>
    </row>
    <row r="26" ht="15.95" customHeight="1" s="1225">
      <c r="A26" s="1512" t="inlineStr">
        <is>
          <t>Sécurité sociale et organismes sociaux</t>
        </is>
      </c>
      <c r="B26" s="1420" t="n"/>
      <c r="C26" s="1420" t="n"/>
      <c r="D26" s="1411" t="n"/>
      <c r="E26" s="1636" t="n">
        <v>18</v>
      </c>
      <c r="F26" s="1570" t="n"/>
      <c r="G26" s="1570" t="n"/>
      <c r="H26" s="1570" t="n"/>
      <c r="I26" s="798" t="n"/>
    </row>
    <row r="27" ht="15.95" customHeight="1" s="1225">
      <c r="A27" s="1512" t="inlineStr">
        <is>
          <t>Etat</t>
        </is>
      </c>
      <c r="B27" s="1420" t="n"/>
      <c r="C27" s="1420" t="n"/>
      <c r="D27" s="1411" t="n"/>
      <c r="E27" s="1636" t="n">
        <v>18</v>
      </c>
      <c r="F27" s="71" t="n"/>
      <c r="G27" s="1570" t="n"/>
      <c r="H27" s="1570" t="n"/>
      <c r="I27" s="798" t="n"/>
    </row>
    <row r="28" ht="15.95" customHeight="1" s="1225">
      <c r="A28" s="1512" t="inlineStr">
        <is>
          <t>Organismes internationaux</t>
        </is>
      </c>
      <c r="B28" s="1420" t="n"/>
      <c r="C28" s="1420" t="n"/>
      <c r="D28" s="1411" t="n"/>
      <c r="E28" s="1636" t="n">
        <v>19</v>
      </c>
      <c r="F28" s="1570" t="n"/>
      <c r="G28" s="1570" t="n"/>
      <c r="H28" s="1570" t="n"/>
      <c r="I28" s="798" t="n"/>
    </row>
    <row r="29" ht="15.95" customHeight="1" s="1225">
      <c r="A29" s="1512" t="inlineStr">
        <is>
          <t>Associés et groupe</t>
        </is>
      </c>
      <c r="B29" s="1420" t="n"/>
      <c r="C29" s="1420" t="n"/>
      <c r="D29" s="1411" t="n"/>
      <c r="E29" s="1636" t="n">
        <v>19</v>
      </c>
      <c r="F29" s="1570" t="n"/>
      <c r="G29" s="1570" t="n"/>
      <c r="H29" s="1570" t="n"/>
      <c r="I29" s="798" t="n"/>
    </row>
    <row r="30" ht="15.95" customHeight="1" s="1225">
      <c r="A30" s="1512" t="inlineStr">
        <is>
          <t>Créditeurs divers</t>
        </is>
      </c>
      <c r="B30" s="1420" t="n"/>
      <c r="C30" s="1420" t="n"/>
      <c r="D30" s="1411" t="n"/>
      <c r="E30" s="1636" t="n">
        <v>19</v>
      </c>
      <c r="F30" s="1570" t="n"/>
      <c r="G30" s="1570" t="n"/>
      <c r="H30" s="1570" t="n"/>
      <c r="I30" s="798" t="n"/>
    </row>
    <row r="31" ht="15.95" customHeight="1" s="1225">
      <c r="A31" s="1525" t="inlineStr">
        <is>
          <t>SOUS TOTAL (3)</t>
        </is>
      </c>
      <c r="B31" s="1420" t="n"/>
      <c r="C31" s="1420" t="n"/>
      <c r="D31" s="1411" t="n"/>
      <c r="E31" s="414" t="n"/>
      <c r="F31" s="1574" t="n"/>
      <c r="G31" s="555" t="n"/>
      <c r="H31" s="555" t="n"/>
      <c r="I31" s="799" t="n"/>
    </row>
    <row r="32" ht="15.95" customHeight="1" s="1225">
      <c r="A32" s="1511" t="inlineStr">
        <is>
          <t>TOTAL (1) + (2) + (3)</t>
        </is>
      </c>
      <c r="B32" s="1420" t="n"/>
      <c r="C32" s="1420" t="n"/>
      <c r="D32" s="1411" t="n"/>
      <c r="E32" s="415" t="n"/>
      <c r="F32" s="340" t="n"/>
      <c r="G32" s="555" t="n"/>
      <c r="H32" s="555" t="n"/>
      <c r="I32" s="799" t="n"/>
    </row>
    <row r="33" ht="25.5" customHeight="1" s="1225">
      <c r="A33" s="1529" t="inlineStr">
        <is>
          <t>ENGAGEMENTS FINANCIERS</t>
        </is>
      </c>
      <c r="B33" s="1420" t="n"/>
      <c r="C33" s="1420" t="n"/>
      <c r="D33" s="1420" t="n"/>
      <c r="E33" s="1420" t="n"/>
      <c r="F33" s="1411" t="n"/>
      <c r="G33" s="1642" t="inlineStr">
        <is>
          <t>Engagements réciproques</t>
        </is>
      </c>
      <c r="H33" s="1642" t="inlineStr">
        <is>
          <t>Engagements donnés</t>
        </is>
      </c>
      <c r="I33" s="800" t="inlineStr">
        <is>
          <t>Engagements reçus</t>
        </is>
      </c>
    </row>
    <row r="34" ht="15.95" customHeight="1" s="1225">
      <c r="A34" s="1512" t="inlineStr">
        <is>
          <t>Engagements consentis à des entités liées</t>
        </is>
      </c>
      <c r="B34" s="1420" t="n"/>
      <c r="C34" s="1420" t="n"/>
      <c r="D34" s="1420" t="n"/>
      <c r="E34" s="1420" t="n"/>
      <c r="F34" s="1411" t="n"/>
      <c r="G34" s="65" t="n"/>
      <c r="H34" s="1570" t="n"/>
      <c r="I34" s="798" t="n"/>
    </row>
    <row r="35" ht="15.95" customHeight="1" s="1225">
      <c r="A35" s="1512" t="inlineStr">
        <is>
          <t>Primes de remboursement des obligations non échues</t>
        </is>
      </c>
      <c r="B35" s="1420" t="n"/>
      <c r="C35" s="1420" t="n"/>
      <c r="D35" s="1420" t="n"/>
      <c r="E35" s="1420" t="n"/>
      <c r="F35" s="1411" t="n"/>
      <c r="G35" s="65" t="n"/>
      <c r="H35" s="1570" t="n"/>
      <c r="I35" s="798" t="n"/>
    </row>
    <row r="36" ht="15.95" customHeight="1" s="1225">
      <c r="A36" s="1512" t="inlineStr">
        <is>
          <t>Avals, cautions, garanties</t>
        </is>
      </c>
      <c r="B36" s="1420" t="n"/>
      <c r="C36" s="1420" t="n"/>
      <c r="D36" s="1420" t="n"/>
      <c r="E36" s="1420" t="n"/>
      <c r="F36" s="1411" t="n"/>
      <c r="G36" s="65" t="n"/>
      <c r="H36" s="1570" t="n"/>
      <c r="I36" s="798" t="n"/>
    </row>
    <row r="37" ht="15.95" customHeight="1" s="1225">
      <c r="A37" s="1512" t="inlineStr">
        <is>
          <t>Hypothèques, nantissements, gages, autres</t>
        </is>
      </c>
      <c r="B37" s="1420" t="n"/>
      <c r="C37" s="1420" t="n"/>
      <c r="D37" s="1420" t="n"/>
      <c r="E37" s="1420" t="n"/>
      <c r="F37" s="1411" t="n"/>
      <c r="G37" s="65" t="n"/>
      <c r="H37" s="1570" t="n"/>
      <c r="I37" s="798" t="n"/>
    </row>
    <row r="38" ht="15.95" customHeight="1" s="1225">
      <c r="A38" s="1512" t="inlineStr">
        <is>
          <t>Effets escomptés non échus</t>
        </is>
      </c>
      <c r="B38" s="1420" t="n"/>
      <c r="C38" s="1420" t="n"/>
      <c r="D38" s="1420" t="n"/>
      <c r="E38" s="1420" t="n"/>
      <c r="F38" s="1411" t="n"/>
      <c r="G38" s="65" t="n"/>
      <c r="H38" s="1570" t="n"/>
      <c r="I38" s="798" t="n"/>
    </row>
    <row r="39" ht="15.95" customHeight="1" s="1225">
      <c r="A39" s="1512" t="inlineStr">
        <is>
          <t>Créances commerciales et professionnelles cédées</t>
        </is>
      </c>
      <c r="B39" s="1420" t="n"/>
      <c r="C39" s="1420" t="n"/>
      <c r="D39" s="1420" t="n"/>
      <c r="E39" s="1420" t="n"/>
      <c r="F39" s="1411" t="n"/>
      <c r="G39" s="65" t="n"/>
      <c r="H39" s="1570" t="n"/>
      <c r="I39" s="798" t="n"/>
    </row>
    <row r="40" ht="15.95" customHeight="1" s="1225">
      <c r="A40" s="1512" t="inlineStr">
        <is>
          <t>Abandons de créances conditionnels</t>
        </is>
      </c>
      <c r="B40" s="1420" t="n"/>
      <c r="C40" s="1420" t="n"/>
      <c r="D40" s="1420" t="n"/>
      <c r="E40" s="1420" t="n"/>
      <c r="F40" s="1411" t="n"/>
      <c r="G40" s="65" t="n"/>
      <c r="H40" s="1570" t="n"/>
      <c r="I40" s="798" t="n"/>
    </row>
    <row r="41" ht="15.95" customHeight="1" s="1225">
      <c r="A41" s="1518" t="inlineStr">
        <is>
          <t>Achats de marchandises à terme</t>
        </is>
      </c>
      <c r="B41" s="1420" t="n"/>
      <c r="C41" s="1420" t="n"/>
      <c r="D41" s="1420" t="n"/>
      <c r="E41" s="1420" t="n"/>
      <c r="F41" s="1411" t="n"/>
      <c r="G41" s="65" t="n"/>
      <c r="H41" s="1570" t="n"/>
      <c r="I41" s="798" t="n"/>
    </row>
    <row r="42" ht="15.95" customHeight="1" s="1225">
      <c r="A42" s="1518" t="inlineStr">
        <is>
          <t>Achats à terme de devises non couverts</t>
        </is>
      </c>
      <c r="B42" s="1420" t="n"/>
      <c r="C42" s="1420" t="n"/>
      <c r="D42" s="1420" t="n"/>
      <c r="E42" s="1420" t="n"/>
      <c r="F42" s="1411" t="n"/>
      <c r="G42" s="65" t="n"/>
      <c r="H42" s="1570" t="n"/>
      <c r="I42" s="798" t="n"/>
    </row>
    <row r="43" ht="15.95" customHeight="1" s="1225">
      <c r="A43" s="1518" t="inlineStr">
        <is>
          <t>Commandes fermes des clients</t>
        </is>
      </c>
      <c r="B43" s="1420" t="n"/>
      <c r="C43" s="1420" t="n"/>
      <c r="D43" s="1420" t="n"/>
      <c r="E43" s="1420" t="n"/>
      <c r="F43" s="1411" t="n"/>
      <c r="G43" s="65" t="n"/>
      <c r="H43" s="1570" t="n"/>
      <c r="I43" s="798" t="n"/>
    </row>
    <row r="44" ht="15.95" customHeight="1" s="1225">
      <c r="A44" s="1518" t="inlineStr">
        <is>
          <t>Autres engagements réciproques</t>
        </is>
      </c>
      <c r="B44" s="1420" t="n"/>
      <c r="C44" s="1420" t="n"/>
      <c r="D44" s="1420" t="n"/>
      <c r="E44" s="1420" t="n"/>
      <c r="F44" s="1411" t="n"/>
      <c r="G44" s="65" t="n"/>
      <c r="H44" s="1570" t="n"/>
      <c r="I44" s="798" t="n"/>
    </row>
    <row r="45" ht="15.95" customHeight="1" s="1225" thickBot="1">
      <c r="A45" s="1526" t="inlineStr">
        <is>
          <t>TOTAL</t>
        </is>
      </c>
      <c r="B45" s="1527" t="n"/>
      <c r="C45" s="1527" t="n"/>
      <c r="D45" s="1527" t="n"/>
      <c r="E45" s="1527" t="n"/>
      <c r="F45" s="1528" t="n"/>
      <c r="G45" s="801">
        <f>SUM(G34:G44)</f>
        <v/>
      </c>
      <c r="H45" s="802">
        <f>SUM(H34:H40)</f>
        <v/>
      </c>
      <c r="I45" s="803">
        <f>SUM(I34:I40)</f>
        <v/>
      </c>
    </row>
    <row r="46">
      <c r="A46" s="1522" t="inlineStr">
        <is>
          <t>(1) indiquer le montant de la garantie</t>
        </is>
      </c>
      <c r="J46" s="552" t="n"/>
      <c r="K46" s="552" t="n"/>
    </row>
    <row r="47">
      <c r="A47" s="1522" t="inlineStr">
        <is>
          <t xml:space="preserve">(2) indiquer les références de la sûreté </t>
        </is>
      </c>
      <c r="J47" s="552" t="n"/>
      <c r="K47" s="552" t="n"/>
    </row>
    <row r="48">
      <c r="A48" s="59" t="inlineStr">
        <is>
          <t xml:space="preserve">Commentaire :  </t>
        </is>
      </c>
      <c r="B48" s="59" t="n"/>
      <c r="C48" s="59" t="n"/>
      <c r="D48" s="59" t="n"/>
      <c r="E48" s="59" t="n"/>
      <c r="F48" s="59" t="n"/>
      <c r="G48" s="59" t="n"/>
      <c r="H48" s="59" t="n"/>
      <c r="I48" s="59" t="n"/>
      <c r="J48" s="59" t="n"/>
      <c r="K48" s="59" t="n"/>
    </row>
    <row r="49">
      <c r="A49" s="59" t="inlineStr">
        <is>
          <t>●  Indiquer la raison d'être des suretés.</t>
        </is>
      </c>
      <c r="B49" s="59" t="n"/>
      <c r="C49" s="59" t="n"/>
      <c r="D49" s="59" t="n"/>
      <c r="E49" s="59" t="n"/>
      <c r="F49" s="59" t="n"/>
      <c r="G49" s="59" t="n"/>
      <c r="H49" s="59" t="n"/>
      <c r="I49" s="59" t="n"/>
      <c r="J49" s="59" t="n"/>
      <c r="K49" s="59" t="n"/>
    </row>
    <row r="50">
      <c r="A50" s="59" t="inlineStr">
        <is>
          <t>●  Pour les actifs et  passifs externes frappés de  réserve de propriété(R/P), indiquer les informations prévues dans le chapitre Opérations et problèmes spécifiques.</t>
        </is>
      </c>
      <c r="B50" s="59" t="n"/>
      <c r="C50" s="59" t="n"/>
      <c r="D50" s="59" t="n"/>
      <c r="E50" s="59" t="n"/>
      <c r="F50" s="59" t="n"/>
      <c r="G50" s="59" t="n"/>
      <c r="H50" s="59" t="n"/>
      <c r="I50" s="59" t="n"/>
      <c r="J50" s="59" t="n"/>
      <c r="K50" s="59" t="n"/>
    </row>
    <row r="51">
      <c r="A51" s="59" t="inlineStr">
        <is>
          <t>●  Pour les transactions entre les parties liées, indiquer :</t>
        </is>
      </c>
      <c r="B51" s="59" t="n"/>
      <c r="C51" s="59" t="n"/>
      <c r="D51" s="59" t="n"/>
      <c r="E51" s="59" t="n"/>
      <c r="F51" s="59" t="n"/>
      <c r="G51" s="59" t="n"/>
      <c r="H51" s="59" t="n"/>
      <c r="I51" s="59" t="n"/>
      <c r="J51" s="59" t="n"/>
      <c r="K51" s="59" t="n"/>
    </row>
    <row r="52">
      <c r="A52" s="59" t="inlineStr">
        <is>
          <t xml:space="preserve">          - la nature et le montant des transactions effectuées avec chaque partie liée (entité mère,autres filiales du groupe,etc.)</t>
        </is>
      </c>
      <c r="B52" s="59" t="n"/>
      <c r="C52" s="59" t="n"/>
      <c r="D52" s="59" t="n"/>
      <c r="E52" s="59" t="n"/>
      <c r="F52" s="59" t="n"/>
      <c r="G52" s="59" t="n"/>
      <c r="H52" s="59" t="n"/>
      <c r="I52" s="59" t="n"/>
      <c r="J52" s="59" t="n"/>
      <c r="K52" s="59" t="n"/>
    </row>
    <row r="53">
      <c r="A53" s="59" t="inlineStr">
        <is>
          <t xml:space="preserve">          - les transactions avec les principaux dirigeants (prêts aux dirigeants,salaires bruts et avantages en nature,atribution gratuite d'actions etc.).</t>
        </is>
      </c>
      <c r="B53" s="59" t="n"/>
      <c r="C53" s="59" t="n"/>
      <c r="D53" s="59" t="n"/>
      <c r="E53" s="59" t="n"/>
      <c r="F53" s="59" t="n"/>
      <c r="G53" s="59" t="n"/>
      <c r="H53" s="59" t="n"/>
      <c r="I53" s="59" t="n"/>
      <c r="J53" s="59" t="n"/>
      <c r="K53" s="59" t="n"/>
    </row>
  </sheetData>
  <mergeCells count="49">
    <mergeCell ref="A41:F41"/>
    <mergeCell ref="A7:I7"/>
    <mergeCell ref="A17:D17"/>
    <mergeCell ref="A23:D23"/>
    <mergeCell ref="E8:E9"/>
    <mergeCell ref="A22:D22"/>
    <mergeCell ref="A46:I46"/>
    <mergeCell ref="A20:D20"/>
    <mergeCell ref="A37:F37"/>
    <mergeCell ref="A29:D29"/>
    <mergeCell ref="A19:D19"/>
    <mergeCell ref="A10:D10"/>
    <mergeCell ref="A28:D28"/>
    <mergeCell ref="A13:D13"/>
    <mergeCell ref="A33:F33"/>
    <mergeCell ref="A31:D31"/>
    <mergeCell ref="A42:F42"/>
    <mergeCell ref="A47:I47"/>
    <mergeCell ref="F8:F9"/>
    <mergeCell ref="C3:I3"/>
    <mergeCell ref="A30:D30"/>
    <mergeCell ref="A15:D15"/>
    <mergeCell ref="A24:D24"/>
    <mergeCell ref="A35:F35"/>
    <mergeCell ref="A11:D11"/>
    <mergeCell ref="A43:F43"/>
    <mergeCell ref="A38:F38"/>
    <mergeCell ref="H2:I2"/>
    <mergeCell ref="A8:D9"/>
    <mergeCell ref="A44:F44"/>
    <mergeCell ref="B4:G4"/>
    <mergeCell ref="A25:D25"/>
    <mergeCell ref="A40:F40"/>
    <mergeCell ref="A34:F34"/>
    <mergeCell ref="A16:D16"/>
    <mergeCell ref="A39:F39"/>
    <mergeCell ref="C6:E6"/>
    <mergeCell ref="A18:D18"/>
    <mergeCell ref="A27:D27"/>
    <mergeCell ref="C5:E5"/>
    <mergeCell ref="A36:F36"/>
    <mergeCell ref="A12:D12"/>
    <mergeCell ref="A45:F45"/>
    <mergeCell ref="A26:D26"/>
    <mergeCell ref="A21:D21"/>
    <mergeCell ref="A1:I1"/>
    <mergeCell ref="G8:I8"/>
    <mergeCell ref="A32:D32"/>
    <mergeCell ref="A14:D14"/>
  </mergeCells>
  <dataValidations count="2">
    <dataValidation sqref="F10:I14 F16:I20 F22:F23 F25:F26 F28:F30 G22:I30 H34:I44" showDropDown="0" showInputMessage="1" showErrorMessage="1" allowBlank="1" errorTitle="Attention !" error="Valeur numérique attendue" type="whole">
      <formula1>-9999999999999</formula1>
      <formula2>9999999999999</formula2>
    </dataValidation>
    <dataValidation sqref="F24 F27" showDropDown="0" showInputMessage="0"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82"/>
</worksheet>
</file>

<file path=xl/worksheets/sheet16.xml><?xml version="1.0" encoding="utf-8"?>
<worksheet xmlns="http://schemas.openxmlformats.org/spreadsheetml/2006/main">
  <sheetPr codeName="Feuil16">
    <tabColor theme="4" tint="0.5999938962981048"/>
    <outlinePr summaryBelow="1" summaryRight="1"/>
    <pageSetUpPr fitToPage="1"/>
  </sheetPr>
  <dimension ref="A1:I20"/>
  <sheetViews>
    <sheetView showGridLines="0" topLeftCell="A19" zoomScaleNormal="100" workbookViewId="0">
      <selection activeCell="A14" sqref="A14:I14"/>
    </sheetView>
  </sheetViews>
  <sheetFormatPr baseColWidth="10" defaultRowHeight="15"/>
  <cols>
    <col width="16.5703125" customWidth="1" style="1225" min="2" max="2"/>
    <col width="7" customWidth="1" style="1225" min="3" max="3"/>
    <col width="5.7109375" customWidth="1" style="1225" min="4" max="4"/>
    <col width="5.85546875" customWidth="1" style="1225" min="5" max="5"/>
    <col width="13.5703125" customWidth="1" style="1225" min="6" max="7"/>
    <col width="17.85546875" customWidth="1" style="1225" min="8" max="8"/>
    <col width="11.42578125" customWidth="1" style="1225" min="9" max="9"/>
  </cols>
  <sheetData>
    <row r="1">
      <c r="A1" s="1429" t="inlineStr">
        <is>
          <t>- 0 -</t>
        </is>
      </c>
    </row>
    <row r="2" ht="24.95" customHeight="1" s="1225">
      <c r="A2" s="1429" t="n"/>
      <c r="B2" s="1429" t="n"/>
      <c r="C2" s="1429" t="n"/>
      <c r="D2" s="1429" t="n"/>
      <c r="E2" s="1429" t="n"/>
      <c r="F2" s="1429" t="n"/>
      <c r="G2" s="1429" t="n"/>
      <c r="H2" s="1438" t="inlineStr">
        <is>
          <t>NOTE 2
SYSTEME NORMAL</t>
        </is>
      </c>
      <c r="I2" s="1411" t="n"/>
    </row>
    <row r="3" ht="15" customFormat="1" customHeight="1" s="127">
      <c r="A3" s="1451" t="inlineStr">
        <is>
          <t>Dénomination sociale de l'entité :</t>
        </is>
      </c>
      <c r="B3" s="356" t="n"/>
      <c r="C3" s="1276">
        <f>'NOTE 1'!C3</f>
        <v/>
      </c>
      <c r="D3" s="1277" t="n"/>
      <c r="E3" s="1277" t="n"/>
      <c r="F3" s="1277" t="n"/>
      <c r="G3" s="1277" t="n"/>
      <c r="H3" s="1277" t="n"/>
      <c r="I3" s="1277" t="n"/>
    </row>
    <row r="4" ht="15" customFormat="1" customHeight="1" s="127">
      <c r="A4" s="1451" t="inlineStr">
        <is>
          <t>Adresse :</t>
        </is>
      </c>
      <c r="B4" s="1280">
        <f>'NOTE 1'!B4</f>
        <v/>
      </c>
      <c r="C4" s="1279" t="n"/>
      <c r="D4" s="1279" t="n"/>
      <c r="E4" s="1279" t="n"/>
      <c r="F4" s="1279" t="n"/>
      <c r="G4" s="1279" t="n"/>
      <c r="H4" s="1589" t="inlineStr">
        <is>
          <t>Sigle usuel :</t>
        </is>
      </c>
      <c r="I4" s="1488">
        <f>'NOTE 1'!I4</f>
        <v/>
      </c>
    </row>
    <row r="5" ht="15" customFormat="1" customHeight="1" s="127">
      <c r="A5" s="1451" t="inlineStr">
        <is>
          <t>N° IFU du contribuable :</t>
        </is>
      </c>
      <c r="B5" s="1451" t="n"/>
      <c r="C5" s="1280">
        <f>'NOTE 1'!C5</f>
        <v/>
      </c>
      <c r="D5" s="1279" t="n"/>
      <c r="E5" s="1279" t="n"/>
      <c r="F5" s="1457" t="inlineStr">
        <is>
          <t>Exercice clos le :</t>
        </is>
      </c>
      <c r="G5" s="1634" t="n"/>
      <c r="H5" s="1589" t="inlineStr">
        <is>
          <t>Durée (en mois) :</t>
        </is>
      </c>
      <c r="I5" s="111">
        <f>'NOTE 1'!I5</f>
        <v/>
      </c>
    </row>
    <row r="6" ht="15" customFormat="1" customHeight="1" s="127">
      <c r="A6" s="1451" t="inlineStr">
        <is>
          <t>N° de télédéclarant (NES):</t>
        </is>
      </c>
      <c r="B6" s="1451" t="n"/>
      <c r="C6" s="1520">
        <f>'NOTE 1'!C6</f>
        <v/>
      </c>
      <c r="D6" s="1521" t="n"/>
      <c r="E6" s="1521" t="n"/>
      <c r="F6" s="253" t="n"/>
      <c r="G6" s="1970" t="n"/>
      <c r="H6" s="254" t="n"/>
      <c r="I6" s="1970" t="n"/>
    </row>
    <row r="7" ht="35.1" customHeight="1" s="1225" thickBot="1">
      <c r="A7" s="1341" t="inlineStr">
        <is>
          <t>NOTE 2: INFORMATIONS OBLIGATOIRES</t>
        </is>
      </c>
    </row>
    <row r="8" ht="19.5" customHeight="1" s="1225">
      <c r="A8" s="1538" t="inlineStr">
        <is>
          <t>A - DECLARATION DE CONFORMITE AU SYSCOHADA ET FAITS MARQUANTS DE L'EXERCICE</t>
        </is>
      </c>
      <c r="B8" s="1509" t="n"/>
      <c r="C8" s="1509" t="n"/>
      <c r="D8" s="1509" t="n"/>
      <c r="E8" s="1509" t="n"/>
      <c r="F8" s="1509" t="n"/>
      <c r="G8" s="1509" t="n"/>
      <c r="H8" s="1509" t="n"/>
      <c r="I8" s="1510" t="n"/>
    </row>
    <row r="9" ht="119.25" customHeight="1" s="1225">
      <c r="A9" s="1535" t="inlineStr">
        <is>
          <t>Les états financiers sont établis conformément au système comptable OHADA et à l'acte uniforme relatif au droit comptable et à l'information financière.</t>
        </is>
      </c>
      <c r="B9" s="1229" t="n"/>
      <c r="C9" s="1229" t="n"/>
      <c r="D9" s="1229" t="n"/>
      <c r="E9" s="1229" t="n"/>
      <c r="F9" s="1229" t="n"/>
      <c r="G9" s="1229" t="n"/>
      <c r="H9" s="1229" t="n"/>
      <c r="I9" s="1534" t="n"/>
    </row>
    <row r="10" ht="19.5" customHeight="1" s="1225">
      <c r="A10" s="1531" t="inlineStr">
        <is>
          <t>B - REGLES ET METHODES COMPTABLES</t>
        </is>
      </c>
      <c r="B10" s="1420" t="n"/>
      <c r="C10" s="1420" t="n"/>
      <c r="D10" s="1420" t="n"/>
      <c r="E10" s="1420" t="n"/>
      <c r="F10" s="1420" t="n"/>
      <c r="G10" s="1420" t="n"/>
      <c r="H10" s="1420" t="n"/>
      <c r="I10" s="1532" t="n"/>
    </row>
    <row r="11" ht="119.25" customHeight="1" s="1225">
      <c r="A11" s="1535" t="inlineStr">
        <is>
          <t>Les postultas, les conventions et règles d'évaluation édictées par le SYSCOHADA et l'acte uniforme ont été respectés dans l'élaboration des états financiers.</t>
        </is>
      </c>
      <c r="B11" s="1229" t="n"/>
      <c r="C11" s="1229" t="n"/>
      <c r="D11" s="1229" t="n"/>
      <c r="E11" s="1229" t="n"/>
      <c r="F11" s="1229" t="n"/>
      <c r="G11" s="1229" t="n"/>
      <c r="H11" s="1229" t="n"/>
      <c r="I11" s="1534" t="n"/>
    </row>
    <row r="12" ht="19.5" customHeight="1" s="1225">
      <c r="A12" s="1531" t="inlineStr">
        <is>
          <t>C- DEROGATION AUX POSTULATS ET CONVENTIONS COMPTABLES</t>
        </is>
      </c>
      <c r="B12" s="1420" t="n"/>
      <c r="C12" s="1420" t="n"/>
      <c r="D12" s="1420" t="n"/>
      <c r="E12" s="1420" t="n"/>
      <c r="F12" s="1420" t="n"/>
      <c r="G12" s="1420" t="n"/>
      <c r="H12" s="1420" t="n"/>
      <c r="I12" s="1532" t="n"/>
    </row>
    <row r="13" ht="119.25" customHeight="1" s="1225">
      <c r="A13" s="1533" t="inlineStr">
        <is>
          <t>Les postultas et conventions ont été tous respectés sans aucune dérogation.</t>
        </is>
      </c>
      <c r="B13" s="1229" t="n"/>
      <c r="C13" s="1229" t="n"/>
      <c r="D13" s="1229" t="n"/>
      <c r="E13" s="1229" t="n"/>
      <c r="F13" s="1229" t="n"/>
      <c r="G13" s="1229" t="n"/>
      <c r="H13" s="1229" t="n"/>
      <c r="I13" s="1534" t="n"/>
    </row>
    <row r="14" ht="32.25" customHeight="1" s="1225">
      <c r="A14" s="1531" t="inlineStr">
        <is>
          <t>D - INFORMATIONS COMPLEMENTAIRES RELATIVES AU BILAN, AU COMPTE DE RESULTAT ET
AU TABLEAU DES FLUX DE TRESORERIE</t>
        </is>
      </c>
      <c r="B14" s="1420" t="n"/>
      <c r="C14" s="1420" t="n"/>
      <c r="D14" s="1420" t="n"/>
      <c r="E14" s="1420" t="n"/>
      <c r="F14" s="1420" t="n"/>
      <c r="G14" s="1420" t="n"/>
      <c r="H14" s="1420" t="n"/>
      <c r="I14" s="1532" t="n"/>
    </row>
    <row r="15" ht="119.25" customHeight="1" s="1225" thickBot="1">
      <c r="A15" s="1537" t="inlineStr">
        <is>
          <t>Il n'y a pas d'informations complémentaires relatives aux autres états financiers.</t>
        </is>
      </c>
      <c r="B15" s="1389" t="n"/>
      <c r="C15" s="1389" t="n"/>
      <c r="D15" s="1389" t="n"/>
      <c r="E15" s="1389" t="n"/>
      <c r="F15" s="1389" t="n"/>
      <c r="G15" s="1389" t="n"/>
      <c r="H15" s="1389" t="n"/>
      <c r="I15" s="1390" t="n"/>
    </row>
    <row r="16">
      <c r="A16" s="553" t="n"/>
      <c r="B16" s="553" t="n"/>
      <c r="C16" s="553" t="n"/>
      <c r="D16" s="553" t="n"/>
      <c r="E16" s="553" t="n"/>
      <c r="F16" s="553" t="n"/>
      <c r="G16" s="553" t="n"/>
      <c r="H16" s="553" t="n"/>
      <c r="I16" s="553" t="n"/>
    </row>
    <row r="17">
      <c r="A17" s="1536" t="inlineStr">
        <is>
          <t xml:space="preserve">Commentaire :  </t>
        </is>
      </c>
      <c r="F17" s="552" t="n"/>
      <c r="G17" s="552" t="n"/>
      <c r="H17" s="552" t="n"/>
      <c r="I17" s="552" t="n"/>
    </row>
    <row r="18">
      <c r="A18" s="1530" t="inlineStr">
        <is>
          <t xml:space="preserve">●  Mentionner les faits marquants après la déclaration de conformité. </t>
        </is>
      </c>
    </row>
    <row r="19" ht="27" customHeight="1" s="1225">
      <c r="A19" s="1530" t="inlineStr">
        <is>
          <t>Seuls les éléments ayant une incidence comptable significative ou qui misent à la comparabilité des exercices doivent être mentionnés. Par exemple, le lancement d'un produit sur le marché, ou la perte du principal client de l'entité.</t>
        </is>
      </c>
    </row>
    <row r="20" ht="36" customHeight="1" s="1225">
      <c r="A20" s="1530" t="inlineStr">
        <is>
          <t>●  Décrire les régles et méthodes utilisées pour l'établissement des états financiers et celles utilisées  dans le  cas de contrat pluri- exercices, de contrats de concession, de l'établissement de comptes intermédiaires, de fusion et opérations assimilées comme indiquées dans les opérations et problèmes spécifiques.</t>
        </is>
      </c>
    </row>
  </sheetData>
  <mergeCells count="19">
    <mergeCell ref="A7:I7"/>
    <mergeCell ref="A18:I18"/>
    <mergeCell ref="A12:I12"/>
    <mergeCell ref="C3:I3"/>
    <mergeCell ref="A14:I14"/>
    <mergeCell ref="A8:I8"/>
    <mergeCell ref="A20:I20"/>
    <mergeCell ref="A19:I19"/>
    <mergeCell ref="H2:I2"/>
    <mergeCell ref="A10:I10"/>
    <mergeCell ref="A13:I13"/>
    <mergeCell ref="B4:G4"/>
    <mergeCell ref="A9:I9"/>
    <mergeCell ref="A17:E17"/>
    <mergeCell ref="C6:E6"/>
    <mergeCell ref="A15:I15"/>
    <mergeCell ref="A11:I11"/>
    <mergeCell ref="C5:E5"/>
    <mergeCell ref="A1:I1"/>
  </mergeCells>
  <printOptions horizontalCentered="1"/>
  <pageMargins left="0.3149606299212598" right="0.3149606299212598" top="0.3543307086614174" bottom="0.3543307086614174" header="0.3149606299212598" footer="0.3149606299212598"/>
  <pageSetup orientation="portrait" paperSize="9" scale="94"/>
</worksheet>
</file>

<file path=xl/worksheets/sheet17.xml><?xml version="1.0" encoding="utf-8"?>
<worksheet xmlns="http://schemas.openxmlformats.org/spreadsheetml/2006/main">
  <sheetPr codeName="Feuil17">
    <tabColor theme="4" tint="0.5999938962981048"/>
    <outlinePr summaryBelow="1" summaryRight="1"/>
    <pageSetUpPr fitToPage="1"/>
  </sheetPr>
  <dimension ref="A1:J38"/>
  <sheetViews>
    <sheetView showGridLines="0" topLeftCell="A20" workbookViewId="0">
      <selection activeCell="A14" sqref="A14:C14"/>
    </sheetView>
  </sheetViews>
  <sheetFormatPr baseColWidth="10" defaultRowHeight="15"/>
  <cols>
    <col width="16.42578125" customWidth="1" style="1225" min="2" max="2"/>
    <col width="24.28515625" customWidth="1" style="1225" min="3" max="3"/>
    <col width="16.7109375" customWidth="1" style="1225" min="4" max="7"/>
    <col width="14.5703125" customWidth="1" style="1225" min="8" max="8"/>
    <col width="16.7109375" customWidth="1" style="1225" min="9" max="9"/>
    <col width="18.85546875" customWidth="1" style="1225" min="10" max="10"/>
    <col width="13.28515625" bestFit="1" customWidth="1" style="1225" min="11" max="11"/>
    <col width="11.85546875" bestFit="1" customWidth="1" style="1225" min="12" max="12"/>
  </cols>
  <sheetData>
    <row r="1">
      <c r="A1" s="1429" t="inlineStr">
        <is>
          <t>- 9 -</t>
        </is>
      </c>
    </row>
    <row r="2" ht="24.95" customHeight="1" s="1225">
      <c r="A2" s="1429" t="n"/>
      <c r="B2" s="1429" t="n"/>
      <c r="C2" s="1429" t="n"/>
      <c r="D2" s="1429" t="n"/>
      <c r="E2" s="1429" t="n"/>
      <c r="F2" s="1429" t="n"/>
      <c r="G2" s="1429" t="n"/>
      <c r="I2" s="1558" t="inlineStr">
        <is>
          <t>NOTE 3A
SYSTEME NORMAL</t>
        </is>
      </c>
      <c r="J2" s="1411" t="n"/>
    </row>
    <row r="3" ht="15" customFormat="1" customHeight="1" s="127">
      <c r="A3" s="1451" t="inlineStr">
        <is>
          <t>Dénomination sociale de l'entité :</t>
        </is>
      </c>
      <c r="B3" s="1451" t="n"/>
      <c r="C3" s="1276">
        <f>'NOTE 1'!C3</f>
        <v/>
      </c>
      <c r="D3" s="1277" t="n"/>
      <c r="E3" s="1277" t="n"/>
      <c r="F3" s="1277" t="n"/>
      <c r="G3" s="1277" t="n"/>
      <c r="H3" s="1277" t="n"/>
      <c r="I3" s="1277" t="n"/>
      <c r="J3" s="1277" t="n"/>
    </row>
    <row r="4" ht="15" customFormat="1" customHeight="1" s="127">
      <c r="A4" s="1451" t="inlineStr">
        <is>
          <t>Adresse :</t>
        </is>
      </c>
      <c r="B4" s="1276">
        <f>'NOTE 1'!B4</f>
        <v/>
      </c>
      <c r="C4" s="1277" t="n"/>
      <c r="D4" s="1277" t="n"/>
      <c r="E4" s="1277" t="n"/>
      <c r="F4" s="1277" t="n"/>
      <c r="G4" s="1277" t="n"/>
      <c r="H4" s="1277" t="n"/>
      <c r="I4" s="1589" t="inlineStr">
        <is>
          <t>Sigle usuel :</t>
        </is>
      </c>
      <c r="J4" s="1285">
        <f>'NOTE 1'!I4</f>
        <v/>
      </c>
    </row>
    <row r="5" ht="15" customFormat="1" customHeight="1" s="127">
      <c r="A5" s="1451" t="inlineStr">
        <is>
          <t>N° IFU :</t>
        </is>
      </c>
      <c r="B5" s="1451" t="n"/>
      <c r="C5" s="1276">
        <f>'NOTE 1'!C5</f>
        <v/>
      </c>
      <c r="D5" s="1277" t="n"/>
      <c r="E5" s="1277" t="n"/>
      <c r="F5" s="1457" t="inlineStr">
        <is>
          <t>Exercice clos le :</t>
        </is>
      </c>
      <c r="G5" s="1548">
        <f>'NOTE 1'!G5</f>
        <v/>
      </c>
      <c r="H5" s="1521" t="n"/>
      <c r="I5" s="1589" t="inlineStr">
        <is>
          <t>Durée (en mois) :</t>
        </is>
      </c>
      <c r="J5" s="1970">
        <f>'NOTE 1'!I5</f>
        <v/>
      </c>
    </row>
    <row r="6" ht="15" customFormat="1" customHeight="1" s="127">
      <c r="A6" s="1451" t="inlineStr">
        <is>
          <t>N° de télédéclarant (NES):</t>
        </is>
      </c>
      <c r="B6" s="1451" t="n"/>
      <c r="C6" s="1488">
        <f>'NOTE 1'!C6</f>
        <v/>
      </c>
      <c r="D6" s="1970" t="n"/>
      <c r="E6" s="1970" t="n"/>
      <c r="F6" s="253" t="n"/>
      <c r="G6" s="1634" t="n"/>
      <c r="H6" s="1634" t="n"/>
      <c r="I6" s="254" t="n"/>
      <c r="J6" s="1970" t="n"/>
    </row>
    <row r="7" ht="35.1" customHeight="1" s="1225" thickBot="1">
      <c r="A7" s="1341" t="inlineStr">
        <is>
          <t>NOTE 3A : IMMOBILISATIONS (BRUTES)</t>
        </is>
      </c>
    </row>
    <row r="8" ht="15" customFormat="1" customHeight="1" s="1356">
      <c r="A8" s="1559" t="inlineStr">
        <is>
          <t>SITUATIONS ET MOUVEMENTS</t>
        </is>
      </c>
      <c r="B8" s="1475" t="n"/>
      <c r="C8" s="1560" t="n"/>
      <c r="D8" s="804" t="inlineStr">
        <is>
          <t>A</t>
        </is>
      </c>
      <c r="E8" s="1551" t="inlineStr">
        <is>
          <t>AUGMENTATIONS B</t>
        </is>
      </c>
      <c r="F8" s="1509" t="n"/>
      <c r="G8" s="1552" t="n"/>
      <c r="H8" s="1551" t="inlineStr">
        <is>
          <t>DIMINUTIONS C</t>
        </is>
      </c>
      <c r="I8" s="1552" t="n"/>
      <c r="J8" s="805" t="inlineStr">
        <is>
          <t>D = A + B - C</t>
        </is>
      </c>
    </row>
    <row r="9" ht="32.25" customFormat="1" customHeight="1" s="1356">
      <c r="A9" s="1549" t="n"/>
      <c r="C9" s="1550" t="n"/>
      <c r="D9" s="1542" t="inlineStr">
        <is>
          <t>MONTANT BRUT
A L'OUVERTURE
DE L'EXERCICE</t>
        </is>
      </c>
      <c r="E9" s="1554" t="inlineStr">
        <is>
          <t>Acquisitions
Apports
Créations</t>
        </is>
      </c>
      <c r="F9" s="1547" t="inlineStr">
        <is>
          <t>Virements
de poste à poste</t>
        </is>
      </c>
      <c r="G9" s="1542" t="inlineStr">
        <is>
          <t>Suite à une
réévaluation
pratiquée au cours
de l'exercice</t>
        </is>
      </c>
      <c r="H9" s="1554" t="inlineStr">
        <is>
          <t>Cessions
Scissions Hors
service</t>
        </is>
      </c>
      <c r="I9" s="1542" t="inlineStr">
        <is>
          <t>Virements
de poste à poste</t>
        </is>
      </c>
      <c r="J9" s="1556" t="inlineStr">
        <is>
          <t>MONTANT BRUT
A LA CLOTURE
DE L'EXERCICE</t>
        </is>
      </c>
    </row>
    <row r="10" ht="24" customFormat="1" customHeight="1" s="1356">
      <c r="A10" s="1545" t="inlineStr">
        <is>
          <t>RUBRIQUES</t>
        </is>
      </c>
      <c r="B10" s="1516" t="n"/>
      <c r="C10" s="1517" t="n"/>
      <c r="D10" s="1543" t="n"/>
      <c r="E10" s="1555" t="n"/>
      <c r="F10" s="1524" t="n"/>
      <c r="G10" s="1543" t="n"/>
      <c r="H10" s="1555" t="n"/>
      <c r="I10" s="1543" t="n"/>
      <c r="J10" s="1557" t="n"/>
    </row>
    <row r="11" ht="15.95" customHeight="1" s="1225">
      <c r="A11" s="1544" t="inlineStr">
        <is>
          <t>IMMOBILISATIONS INCORPORELLES</t>
        </is>
      </c>
      <c r="B11" s="1420" t="n"/>
      <c r="C11" s="1411" t="n"/>
      <c r="D11" s="172">
        <f>SUM(D12:D15)</f>
        <v/>
      </c>
      <c r="E11" s="171">
        <f>SUM(E12:E15)</f>
        <v/>
      </c>
      <c r="F11" s="1631">
        <f>SUM(F12:F15)</f>
        <v/>
      </c>
      <c r="G11" s="172">
        <f>SUM(G12:G15)</f>
        <v/>
      </c>
      <c r="H11" s="171">
        <f>SUM(H12:H15)</f>
        <v/>
      </c>
      <c r="I11" s="170">
        <f>SUM(I12:I15)</f>
        <v/>
      </c>
      <c r="J11" s="806">
        <f>D11+E11+F11+G11-H11-I11</f>
        <v/>
      </c>
    </row>
    <row r="12" ht="17.1" customHeight="1" s="1225">
      <c r="A12" s="1546" t="inlineStr">
        <is>
          <t xml:space="preserve">Frais de développement et de prospection </t>
        </is>
      </c>
      <c r="D12" s="173" t="n"/>
      <c r="E12" s="1569" t="n"/>
      <c r="F12" s="1570" t="n"/>
      <c r="G12" s="173" t="n"/>
      <c r="H12" s="1569" t="n"/>
      <c r="I12" s="128" t="n"/>
      <c r="J12" s="807">
        <f>D12+E12+F12+G12-H12-I12</f>
        <v/>
      </c>
    </row>
    <row r="13" ht="17.1" customHeight="1" s="1225">
      <c r="A13" s="1546" t="inlineStr">
        <is>
          <t xml:space="preserve">Brevets, licences, logiciels, et droits similaires </t>
        </is>
      </c>
      <c r="D13" s="173" t="n"/>
      <c r="E13" s="1569">
        <f>+BILAN!F13</f>
        <v/>
      </c>
      <c r="F13" s="1570" t="n"/>
      <c r="G13" s="173" t="n"/>
      <c r="H13" s="1569" t="n"/>
      <c r="I13" s="128" t="n"/>
      <c r="J13" s="807">
        <f>D13+E13+F13+G13-H13-I13</f>
        <v/>
      </c>
    </row>
    <row r="14" ht="17.1" customHeight="1" s="1225">
      <c r="A14" s="1546" t="inlineStr">
        <is>
          <t>Fonds commercial et droit au bail</t>
        </is>
      </c>
      <c r="D14" s="173" t="n"/>
      <c r="E14" s="1569" t="n"/>
      <c r="F14" s="1570" t="n"/>
      <c r="G14" s="173" t="n"/>
      <c r="H14" s="1569" t="n"/>
      <c r="I14" s="128" t="n"/>
      <c r="J14" s="807">
        <f>D14+E14+F14+G14-H14-I14</f>
        <v/>
      </c>
    </row>
    <row r="15" ht="17.1" customHeight="1" s="1225">
      <c r="A15" s="1540" t="inlineStr">
        <is>
          <t>Autres immobilisations incorporelles</t>
        </is>
      </c>
      <c r="D15" s="173" t="n"/>
      <c r="E15" s="1569" t="n"/>
      <c r="F15" s="1570" t="n"/>
      <c r="G15" s="173" t="n"/>
      <c r="H15" s="1569" t="n"/>
      <c r="I15" s="128" t="n"/>
      <c r="J15" s="807">
        <f>D15+E15+F15+G15-H15-I15</f>
        <v/>
      </c>
    </row>
    <row r="16" ht="17.1" customHeight="1" s="1225">
      <c r="A16" s="1544" t="inlineStr">
        <is>
          <t>IMMOBILISATIONS CORPORELLES</t>
        </is>
      </c>
      <c r="B16" s="1420" t="n"/>
      <c r="C16" s="1411" t="n"/>
      <c r="D16" s="172" t="n"/>
      <c r="E16" s="171" t="n"/>
      <c r="F16" s="1631" t="n"/>
      <c r="G16" s="172" t="n"/>
      <c r="H16" s="171" t="n"/>
      <c r="I16" s="170" t="n"/>
      <c r="J16" s="806" t="n"/>
    </row>
    <row r="17" ht="17.1" customHeight="1" s="1225">
      <c r="A17" s="1540" t="inlineStr">
        <is>
          <t>Terrains hors immeuble de placement</t>
        </is>
      </c>
      <c r="D17" s="173" t="n"/>
      <c r="E17" s="1569" t="n"/>
      <c r="F17" s="1570" t="n"/>
      <c r="G17" s="173" t="n"/>
      <c r="H17" s="1569" t="n"/>
      <c r="I17" s="128" t="n"/>
      <c r="J17" s="807" t="n"/>
    </row>
    <row r="18" ht="17.1" customHeight="1" s="1225">
      <c r="A18" s="1540" t="inlineStr">
        <is>
          <t>Terrains - immeuble de placement</t>
        </is>
      </c>
      <c r="D18" s="173" t="n"/>
      <c r="E18" s="1569" t="n"/>
      <c r="F18" s="1570" t="n"/>
      <c r="G18" s="173" t="n"/>
      <c r="H18" s="1569" t="n"/>
      <c r="I18" s="128" t="n"/>
      <c r="J18" s="807" t="n"/>
    </row>
    <row r="19" ht="17.1" customHeight="1" s="1225">
      <c r="A19" s="1540" t="inlineStr">
        <is>
          <t>Bâtiments hors immeuble de placement</t>
        </is>
      </c>
      <c r="D19" s="173" t="n"/>
      <c r="E19" s="1569" t="n"/>
      <c r="F19" s="1570" t="n"/>
      <c r="G19" s="173" t="n"/>
      <c r="H19" s="1569" t="n"/>
      <c r="I19" s="173" t="n"/>
      <c r="J19" s="807" t="n"/>
    </row>
    <row r="20" ht="17.1" customHeight="1" s="1225">
      <c r="A20" s="1540" t="inlineStr">
        <is>
          <t>Bâtiments - immeuble de placement</t>
        </is>
      </c>
      <c r="D20" s="173" t="n"/>
      <c r="E20" s="1569" t="n"/>
      <c r="F20" s="1570" t="n"/>
      <c r="G20" s="173" t="n"/>
      <c r="H20" s="1569" t="n"/>
      <c r="I20" s="128" t="n"/>
      <c r="J20" s="807" t="n"/>
    </row>
    <row r="21" ht="17.1" customHeight="1" s="1225">
      <c r="A21" s="1540" t="inlineStr">
        <is>
          <t>Aménagements, agencements et installations</t>
        </is>
      </c>
      <c r="D21" s="173" t="n"/>
      <c r="E21" s="1587" t="n"/>
      <c r="F21" s="128" t="n"/>
      <c r="G21" s="173" t="n"/>
      <c r="H21" s="1569" t="n"/>
      <c r="I21" s="128" t="n"/>
      <c r="J21" s="807" t="n"/>
    </row>
    <row r="22" ht="17.1" customHeight="1" s="1225">
      <c r="A22" s="1540" t="inlineStr">
        <is>
          <t>Matériel, mobilier et actifs biologiques</t>
        </is>
      </c>
      <c r="D22" s="173" t="n"/>
      <c r="E22" s="1587" t="n"/>
      <c r="F22" s="128" t="n"/>
      <c r="G22" s="173" t="n"/>
      <c r="H22" s="1569" t="n"/>
      <c r="I22" s="128" t="n"/>
      <c r="J22" s="807" t="n"/>
    </row>
    <row r="23" ht="17.1" customHeight="1" s="1225">
      <c r="A23" s="1540" t="inlineStr">
        <is>
          <t>Matériel de transport</t>
        </is>
      </c>
      <c r="D23" s="173" t="n"/>
      <c r="E23" s="1587" t="n"/>
      <c r="F23" s="128" t="n"/>
      <c r="G23" s="173" t="n"/>
      <c r="H23" s="1569" t="n"/>
      <c r="I23" s="128" t="n"/>
      <c r="J23" s="807" t="n"/>
    </row>
    <row r="24" ht="17.1" customHeight="1" s="1225">
      <c r="A24" s="1541" t="inlineStr">
        <is>
          <t>AVANCES ET ACOMPTES VERSES SUR IMMOBILISATIONS</t>
        </is>
      </c>
      <c r="B24" s="1420" t="n"/>
      <c r="C24" s="1411" t="n"/>
      <c r="D24" s="179" t="n"/>
      <c r="E24" s="1569" t="n"/>
      <c r="F24" s="139" t="n"/>
      <c r="G24" s="179" t="n"/>
      <c r="H24" s="180" t="n"/>
      <c r="I24" s="181" t="n"/>
      <c r="J24" s="1137" t="n"/>
    </row>
    <row r="25" ht="17.1" customFormat="1" customHeight="1" s="1590">
      <c r="A25" s="1553" t="inlineStr">
        <is>
          <t>Avances et acomptes sur immobilisations incorporelles</t>
        </is>
      </c>
      <c r="B25" s="1420" t="n"/>
      <c r="C25" s="1411" t="n"/>
      <c r="D25" s="173" t="n"/>
      <c r="E25" s="1569" t="n"/>
      <c r="F25" s="1570" t="n"/>
      <c r="G25" s="173" t="n"/>
      <c r="H25" s="1569" t="n"/>
      <c r="I25" s="128" t="n"/>
      <c r="J25" s="807" t="n"/>
    </row>
    <row r="26" ht="17.1" customFormat="1" customHeight="1" s="1590">
      <c r="A26" s="1553" t="inlineStr">
        <is>
          <t>Avances et acomptes sur immobilisations corporelles</t>
        </is>
      </c>
      <c r="B26" s="1420" t="n"/>
      <c r="C26" s="1411" t="n"/>
      <c r="D26" s="173" t="n"/>
      <c r="E26" s="1569" t="n"/>
      <c r="F26" s="1570" t="n"/>
      <c r="G26" s="173" t="n"/>
      <c r="H26" s="1569" t="n"/>
      <c r="I26" s="128" t="n"/>
      <c r="J26" s="807" t="n"/>
    </row>
    <row r="27" ht="17.1" customHeight="1" s="1225">
      <c r="A27" s="1544" t="inlineStr">
        <is>
          <t>IMMOBILISATIONS FINANCIERES</t>
        </is>
      </c>
      <c r="B27" s="1420" t="n"/>
      <c r="C27" s="1411" t="n"/>
      <c r="D27" s="172" t="n"/>
      <c r="E27" s="171" t="n"/>
      <c r="F27" s="1631" t="n"/>
      <c r="G27" s="172" t="n"/>
      <c r="H27" s="171" t="n"/>
      <c r="I27" s="170" t="n"/>
      <c r="J27" s="806" t="n"/>
    </row>
    <row r="28" ht="17.1" customHeight="1" s="1225">
      <c r="A28" s="1512" t="inlineStr">
        <is>
          <t>Titres de participation</t>
        </is>
      </c>
      <c r="B28" s="1420" t="n"/>
      <c r="C28" s="1411" t="n"/>
      <c r="D28" s="173" t="n"/>
      <c r="E28" s="1569" t="n"/>
      <c r="F28" s="1570" t="n"/>
      <c r="G28" s="173" t="n"/>
      <c r="H28" s="1569" t="n"/>
      <c r="I28" s="128" t="n"/>
      <c r="J28" s="807" t="n"/>
    </row>
    <row r="29" ht="17.1" customHeight="1" s="1225">
      <c r="A29" s="1540" t="inlineStr">
        <is>
          <t>Autres immobilisations financières</t>
        </is>
      </c>
      <c r="D29" s="173" t="n"/>
      <c r="E29" s="71" t="n"/>
      <c r="F29" s="1570" t="n"/>
      <c r="G29" s="173" t="n"/>
      <c r="H29" s="128" t="n"/>
      <c r="I29" s="128" t="n"/>
      <c r="J29" s="807" t="n"/>
    </row>
    <row r="30" ht="17.1" customHeight="1" s="1225" thickBot="1">
      <c r="A30" s="1539" t="inlineStr">
        <is>
          <t>TOTAL GENERAL</t>
        </is>
      </c>
      <c r="B30" s="1527" t="n"/>
      <c r="C30" s="1528" t="n"/>
      <c r="D30" s="808" t="n"/>
      <c r="E30" s="808" t="n"/>
      <c r="F30" s="808" t="n"/>
      <c r="G30" s="808" t="n"/>
      <c r="H30" s="808" t="n"/>
      <c r="I30" s="808" t="n"/>
      <c r="J30" s="1591" t="n"/>
    </row>
    <row r="31" ht="10.15" customFormat="1" customHeight="1" s="1356">
      <c r="A31" s="559" t="inlineStr">
        <is>
          <t>Commentaire :</t>
        </is>
      </c>
    </row>
    <row r="32" ht="12" customFormat="1" customHeight="1" s="1356">
      <c r="A32" s="610" t="inlineStr">
        <is>
          <t>●   Toute variation significative doit être commentée.</t>
        </is>
      </c>
      <c r="E32" s="610" t="inlineStr">
        <is>
          <t>●   Indiquer les créances du groupe avec nature et date d'échéance.</t>
        </is>
      </c>
    </row>
    <row r="33" ht="12" customFormat="1" customHeight="1" s="1356">
      <c r="A33" s="610" t="inlineStr">
        <is>
          <t>●   Détailler les éléments constitutifs du fonds commercial et indiquer la date d'acquisition.</t>
        </is>
      </c>
      <c r="E33" s="610" t="inlineStr">
        <is>
          <t>●   Pour les banques, DAT indiquer le nom de la banque le montant et la date d'échéance.</t>
        </is>
      </c>
    </row>
    <row r="34" ht="12" customFormat="1" customHeight="1" s="1356">
      <c r="A34" s="610" t="inlineStr">
        <is>
          <t>●   Pour l'immobilisation incorporelle relative à la concession faire un descriptif de l'accord.</t>
        </is>
      </c>
      <c r="E34" s="610" t="inlineStr">
        <is>
          <t>●  Pour les frais de développement, donner toutes les informations mentionnées dans la partie Opérations et problèmes spécifiques.</t>
        </is>
      </c>
    </row>
    <row r="35" ht="12" customFormat="1" customHeight="1" s="1356">
      <c r="A35" s="610" t="inlineStr">
        <is>
          <t>●   Indiquer :</t>
        </is>
      </c>
      <c r="E35" s="610" t="inlineStr">
        <is>
          <t>●  Donner le détail des produits et charges liés aux immeubles de placement.</t>
        </is>
      </c>
    </row>
    <row r="36" ht="12" customFormat="1" customHeight="1" s="1356">
      <c r="A36" s="611" t="inlineStr">
        <is>
          <t>-        la nature de la créance ;</t>
        </is>
      </c>
      <c r="B36" s="1680" t="n"/>
      <c r="C36" s="1680" t="n"/>
    </row>
    <row r="37" ht="12" customFormat="1" customHeight="1" s="1356">
      <c r="A37" s="611" t="inlineStr">
        <is>
          <t>-        la durée de la concession ;</t>
        </is>
      </c>
      <c r="B37" s="1680" t="n"/>
      <c r="C37" s="1680" t="n"/>
    </row>
    <row r="38" ht="12" customFormat="1" customHeight="1" s="1356">
      <c r="A38" s="611" t="inlineStr">
        <is>
          <t>-        l'échéance.</t>
        </is>
      </c>
      <c r="B38" s="1680" t="n"/>
      <c r="C38" s="1680" t="n"/>
    </row>
  </sheetData>
  <mergeCells count="39">
    <mergeCell ref="A25:C25"/>
    <mergeCell ref="C3:J3"/>
    <mergeCell ref="H9:H10"/>
    <mergeCell ref="J9:J10"/>
    <mergeCell ref="I2:J2"/>
    <mergeCell ref="A18:C18"/>
    <mergeCell ref="A27:C27"/>
    <mergeCell ref="A21:C21"/>
    <mergeCell ref="A12:C12"/>
    <mergeCell ref="A26:C26"/>
    <mergeCell ref="E9:E10"/>
    <mergeCell ref="A23:C23"/>
    <mergeCell ref="B4:H4"/>
    <mergeCell ref="A8:C8"/>
    <mergeCell ref="A14:C14"/>
    <mergeCell ref="A22:C22"/>
    <mergeCell ref="A17:C17"/>
    <mergeCell ref="A29:C29"/>
    <mergeCell ref="A20:C20"/>
    <mergeCell ref="A10:C10"/>
    <mergeCell ref="A28:C28"/>
    <mergeCell ref="A1:J1"/>
    <mergeCell ref="D9:D10"/>
    <mergeCell ref="A13:C13"/>
    <mergeCell ref="A19:C19"/>
    <mergeCell ref="F9:F10"/>
    <mergeCell ref="G5:H5"/>
    <mergeCell ref="A9:C9"/>
    <mergeCell ref="A7:J7"/>
    <mergeCell ref="A30:C30"/>
    <mergeCell ref="A15:C15"/>
    <mergeCell ref="A24:C24"/>
    <mergeCell ref="G9:G10"/>
    <mergeCell ref="A11:C11"/>
    <mergeCell ref="I9:I10"/>
    <mergeCell ref="C5:E5"/>
    <mergeCell ref="E8:G8"/>
    <mergeCell ref="H8:I8"/>
    <mergeCell ref="A16:C16"/>
  </mergeCells>
  <dataValidations count="2">
    <dataValidation sqref="D12:I15 D17:I26 D28:D29 E28 F28:I29" showDropDown="0" showInputMessage="1" showErrorMessage="1" allowBlank="1" errorTitle="Attention !" error="Valeur numérique attendue" type="whole">
      <formula1>-9999999999999</formula1>
      <formula2>9999999999999</formula2>
    </dataValidation>
    <dataValidation sqref="E29" showDropDown="0" showInputMessage="0"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83"/>
</worksheet>
</file>

<file path=xl/worksheets/sheet18.xml><?xml version="1.0" encoding="utf-8"?>
<worksheet xmlns="http://schemas.openxmlformats.org/spreadsheetml/2006/main">
  <sheetPr codeName="Feuil18">
    <tabColor theme="4" tint="0.5999938962981048"/>
    <outlinePr summaryBelow="1" summaryRight="1"/>
    <pageSetUpPr fitToPage="1"/>
  </sheetPr>
  <dimension ref="A1:L18"/>
  <sheetViews>
    <sheetView showGridLines="0" workbookViewId="0">
      <selection activeCell="A7" sqref="A7:L7"/>
    </sheetView>
  </sheetViews>
  <sheetFormatPr baseColWidth="10" defaultRowHeight="15"/>
  <cols>
    <col width="15.5703125" customWidth="1" style="1225" min="2" max="2"/>
    <col width="5.28515625" customWidth="1" style="1225" min="3" max="3"/>
    <col width="17.5703125" customWidth="1" style="1225" min="4" max="4"/>
    <col width="9.28515625" customWidth="1" style="1225" min="5" max="5"/>
    <col width="15.7109375" customWidth="1" style="1225" min="6" max="6"/>
    <col width="14.85546875" customWidth="1" style="1225" min="7" max="12"/>
  </cols>
  <sheetData>
    <row r="1">
      <c r="A1" s="1429" t="inlineStr">
        <is>
          <t>- 0 -</t>
        </is>
      </c>
    </row>
    <row r="2" ht="24.95" customHeight="1" s="1225">
      <c r="A2" s="1429" t="n"/>
      <c r="B2" s="1429" t="n"/>
      <c r="C2" s="1429" t="n"/>
      <c r="D2" s="1429" t="n"/>
      <c r="E2" s="1429" t="n"/>
      <c r="F2" s="1429" t="n"/>
      <c r="G2" s="1429" t="n"/>
      <c r="K2" s="1438" t="inlineStr">
        <is>
          <t>NOTE 3B
SYSTEME NORMAL</t>
        </is>
      </c>
      <c r="L2" s="1411" t="n"/>
    </row>
    <row r="3" ht="15" customFormat="1" customHeight="1" s="127">
      <c r="A3" s="1451" t="inlineStr">
        <is>
          <t>Dénomination sociale de l'entité :</t>
        </is>
      </c>
      <c r="B3" s="1451" t="n"/>
      <c r="C3" s="1276">
        <f>'NOTE 1'!C3</f>
        <v/>
      </c>
      <c r="D3" s="1277" t="n"/>
      <c r="E3" s="1277" t="n"/>
      <c r="F3" s="1277" t="n"/>
      <c r="G3" s="1277" t="n"/>
      <c r="H3" s="1277" t="n"/>
      <c r="I3" s="1277" t="n"/>
      <c r="J3" s="1277" t="n"/>
      <c r="K3" s="1277" t="n"/>
      <c r="L3" s="1277" t="n"/>
    </row>
    <row r="4" ht="15" customFormat="1" customHeight="1" s="127">
      <c r="A4" s="1451" t="inlineStr">
        <is>
          <t>Adresse :</t>
        </is>
      </c>
      <c r="B4" s="1276">
        <f>'NOTE 1'!B4</f>
        <v/>
      </c>
      <c r="C4" s="1277" t="n"/>
      <c r="D4" s="1277" t="n"/>
      <c r="E4" s="1277" t="n"/>
      <c r="F4" s="1277" t="n"/>
      <c r="G4" s="1277" t="n"/>
      <c r="H4" s="1277" t="n"/>
      <c r="I4" s="1277" t="n"/>
      <c r="J4" s="1277" t="n"/>
      <c r="K4" s="1589" t="inlineStr">
        <is>
          <t>Sigle usuel :</t>
        </is>
      </c>
      <c r="L4" s="1285">
        <f>'NOTE 1'!I4</f>
        <v/>
      </c>
    </row>
    <row r="5" ht="15" customFormat="1" customHeight="1" s="127">
      <c r="A5" s="1451" t="inlineStr">
        <is>
          <t>N° IFU :</t>
        </is>
      </c>
      <c r="B5" s="1451" t="n"/>
      <c r="C5" s="1276">
        <f>'NOTE 1'!C5</f>
        <v/>
      </c>
      <c r="D5" s="1277" t="n"/>
      <c r="E5" s="1277" t="n"/>
      <c r="F5" s="1277" t="n"/>
      <c r="G5" s="1277" t="n"/>
      <c r="H5" s="1457" t="inlineStr">
        <is>
          <t>Exercice clos le :</t>
        </is>
      </c>
      <c r="I5" s="1563">
        <f>'NOTE 1'!G5</f>
        <v/>
      </c>
      <c r="J5" s="1277" t="n"/>
      <c r="K5" s="1589" t="inlineStr">
        <is>
          <t>Durée (en mois) :</t>
        </is>
      </c>
      <c r="L5" s="1970">
        <f>'NOTE 1'!I5</f>
        <v/>
      </c>
    </row>
    <row r="6" ht="15" customFormat="1" customHeight="1" s="127">
      <c r="A6" s="1451" t="inlineStr">
        <is>
          <t>N° de télédéclarant (NES):</t>
        </is>
      </c>
      <c r="B6" s="1451" t="n"/>
      <c r="C6" s="1520">
        <f>'NOTE 1'!C6</f>
        <v/>
      </c>
      <c r="D6" s="1521" t="n"/>
      <c r="E6" s="1521" t="n"/>
      <c r="F6" s="1521" t="n"/>
      <c r="G6" s="1521" t="n"/>
      <c r="H6" s="253" t="n"/>
      <c r="I6" s="1634" t="n"/>
      <c r="J6" s="1970" t="n"/>
      <c r="K6" s="254" t="n"/>
      <c r="L6" s="1970" t="n"/>
    </row>
    <row r="7" ht="35.1" customHeight="1" s="1225" thickBot="1">
      <c r="A7" s="1341" t="inlineStr">
        <is>
          <t>NOTE 3B : BIENS PRIS EN LOCATION ACQUISITION</t>
        </is>
      </c>
    </row>
    <row r="8" ht="15" customHeight="1" s="1225">
      <c r="A8" s="1568" t="inlineStr">
        <is>
          <t>SITUATIONS ET MOUVEMENTS</t>
        </is>
      </c>
      <c r="B8" s="1300" t="n"/>
      <c r="C8" s="1300" t="n"/>
      <c r="D8" s="1300" t="n"/>
      <c r="E8" s="811" t="n"/>
      <c r="F8" s="1561" t="inlineStr">
        <is>
          <t>A</t>
        </is>
      </c>
      <c r="G8" s="1561" t="inlineStr">
        <is>
          <t>AUGMENTATIONS B</t>
        </is>
      </c>
      <c r="H8" s="1509" t="n"/>
      <c r="I8" s="1562" t="n"/>
      <c r="J8" s="1561" t="inlineStr">
        <is>
          <t>DIMINUTIONS C</t>
        </is>
      </c>
      <c r="K8" s="1562" t="n"/>
      <c r="L8" s="813" t="inlineStr">
        <is>
          <t>D = A + B - C</t>
        </is>
      </c>
    </row>
    <row r="9" ht="53.25" customHeight="1" s="1225">
      <c r="A9" s="1566" t="n"/>
      <c r="E9" s="1567" t="inlineStr">
        <is>
          <t>NATURE 
DU 
CONTRAT
(I ; M ; A)
[1]</t>
        </is>
      </c>
      <c r="F9" s="1547" t="inlineStr">
        <is>
          <t>MONTANT BRUT
A L'OUVERTURE
DE L'EXERCICE</t>
        </is>
      </c>
      <c r="G9" s="1547" t="inlineStr">
        <is>
          <t>Acquisitions
Apports Créations</t>
        </is>
      </c>
      <c r="H9" s="1547" t="inlineStr">
        <is>
          <t>Virements de
poste à poste</t>
        </is>
      </c>
      <c r="I9" s="1547" t="inlineStr">
        <is>
          <t>Suite à une
réévaluation
pratiquée au
cours de
l'exercice</t>
        </is>
      </c>
      <c r="J9" s="1547" t="inlineStr">
        <is>
          <t>Cessions
Scissions Hors
service</t>
        </is>
      </c>
      <c r="K9" s="1547" t="inlineStr">
        <is>
          <t>Virements de
poste à poste</t>
        </is>
      </c>
      <c r="L9" s="1564" t="inlineStr">
        <is>
          <t>MONTANT BRUT
A LA CLOTURE
DE L'EXERCICE</t>
        </is>
      </c>
    </row>
    <row r="10" ht="12.75" customHeight="1" s="1225">
      <c r="A10" s="1545" t="inlineStr">
        <is>
          <t>RUBRIQUES</t>
        </is>
      </c>
      <c r="B10" s="1516" t="n"/>
      <c r="C10" s="1516" t="n"/>
      <c r="D10" s="1517" t="n"/>
      <c r="E10" s="1524" t="n"/>
      <c r="F10" s="1524" t="n"/>
      <c r="G10" s="1524" t="n"/>
      <c r="H10" s="1524" t="n"/>
      <c r="I10" s="1524" t="n"/>
      <c r="J10" s="1524" t="n"/>
      <c r="K10" s="1524" t="n"/>
      <c r="L10" s="1565" t="n"/>
    </row>
    <row r="11" ht="17.1" customHeight="1" s="1225">
      <c r="A11" s="1540" t="inlineStr">
        <is>
          <t xml:space="preserve">Terrains </t>
        </is>
      </c>
      <c r="E11" s="1646" t="n"/>
      <c r="F11" s="65" t="n"/>
      <c r="G11" s="65" t="n"/>
      <c r="H11" s="65" t="n"/>
      <c r="I11" s="65" t="n"/>
      <c r="J11" s="65" t="n"/>
      <c r="K11" s="65" t="n"/>
      <c r="L11" s="814">
        <f>F11+G11+H11+I11-J11-K11</f>
        <v/>
      </c>
    </row>
    <row r="12" ht="17.1" customHeight="1" s="1225">
      <c r="A12" s="1540" t="inlineStr">
        <is>
          <t>Bâtiments</t>
        </is>
      </c>
      <c r="E12" s="1646" t="n"/>
      <c r="F12" s="65" t="n"/>
      <c r="G12" s="65" t="n"/>
      <c r="H12" s="65" t="n"/>
      <c r="I12" s="65" t="n"/>
      <c r="J12" s="65" t="n"/>
      <c r="K12" s="65" t="n"/>
      <c r="L12" s="814">
        <f>F12+G12+H12+I12-J12-K12</f>
        <v/>
      </c>
    </row>
    <row r="13" ht="17.1" customHeight="1" s="1225">
      <c r="A13" s="1540" t="inlineStr">
        <is>
          <t>Matériel, mobilier</t>
        </is>
      </c>
      <c r="E13" s="1646" t="n"/>
      <c r="F13" s="65" t="n"/>
      <c r="G13" s="65" t="n"/>
      <c r="H13" s="65" t="n"/>
      <c r="I13" s="65" t="n"/>
      <c r="J13" s="65" t="n"/>
      <c r="K13" s="65" t="n"/>
      <c r="L13" s="814">
        <f>F13+G13+H13+I13-J13-K13</f>
        <v/>
      </c>
    </row>
    <row r="14" ht="17.1" customHeight="1" s="1225">
      <c r="A14" s="1540" t="inlineStr">
        <is>
          <t>Matériel de transport</t>
        </is>
      </c>
      <c r="E14" s="1646" t="n"/>
      <c r="F14" s="65" t="n"/>
      <c r="G14" s="65" t="n"/>
      <c r="H14" s="65" t="n"/>
      <c r="I14" s="65" t="n"/>
      <c r="J14" s="65" t="n"/>
      <c r="K14" s="65" t="n"/>
      <c r="L14" s="814">
        <f>F14+G14+H14+I14-J14-K14</f>
        <v/>
      </c>
    </row>
    <row r="15" ht="15.75" customHeight="1" s="1225" thickBot="1">
      <c r="A15" s="1539" t="inlineStr">
        <is>
          <t>TOTAL  IMMOBILISATIONS EN LOCATION-ACQUISITION</t>
        </is>
      </c>
      <c r="B15" s="1527" t="n"/>
      <c r="C15" s="1527" t="n"/>
      <c r="D15" s="1528" t="n"/>
      <c r="E15" s="815" t="n"/>
      <c r="F15" s="816">
        <f>SUM(F11:F14)</f>
        <v/>
      </c>
      <c r="G15" s="816">
        <f>SUM(G11:G14)</f>
        <v/>
      </c>
      <c r="H15" s="816">
        <f>SUM(H11:H14)</f>
        <v/>
      </c>
      <c r="I15" s="816">
        <f>SUM(I11:I14)</f>
        <v/>
      </c>
      <c r="J15" s="816">
        <f>SUM(J11:J14)</f>
        <v/>
      </c>
      <c r="K15" s="816">
        <f>SUM(K11:K14)</f>
        <v/>
      </c>
      <c r="L15" s="817">
        <f>SUM(L11:L14)</f>
        <v/>
      </c>
    </row>
    <row r="16" ht="10.15" customFormat="1" customHeight="1" s="1356">
      <c r="A16" s="612" t="inlineStr">
        <is>
          <t xml:space="preserve">[1] I : Crédit-bail immobilier ; M : Crédit-bail mobilier ; A : Autres contrats (dédoubler le poste si montants </t>
        </is>
      </c>
      <c r="B16" s="810" t="n"/>
      <c r="C16" s="810" t="n"/>
      <c r="D16" s="810" t="n"/>
      <c r="E16" s="810" t="n"/>
      <c r="F16" s="810" t="n"/>
      <c r="G16" s="810" t="n"/>
      <c r="H16" s="810" t="n"/>
      <c r="I16" s="810" t="n"/>
      <c r="J16" s="810" t="n"/>
      <c r="K16" s="810" t="n"/>
      <c r="L16" s="810" t="n"/>
    </row>
    <row r="17" ht="10.15" customFormat="1" customHeight="1" s="1356">
      <c r="A17" s="613" t="inlineStr">
        <is>
          <t xml:space="preserve">Commentaire: </t>
        </is>
      </c>
    </row>
    <row r="18" ht="10.15" customFormat="1" customHeight="1" s="1356">
      <c r="A18" s="566" t="inlineStr">
        <is>
          <t>●   Indiquer la nature du bien, le nom du bailleur et la durée du bail.</t>
        </is>
      </c>
    </row>
  </sheetData>
  <mergeCells count="26">
    <mergeCell ref="A8:D8"/>
    <mergeCell ref="H9:H10"/>
    <mergeCell ref="A7:L7"/>
    <mergeCell ref="J9:J10"/>
    <mergeCell ref="C6:G6"/>
    <mergeCell ref="C5:G5"/>
    <mergeCell ref="A10:D10"/>
    <mergeCell ref="A13:D13"/>
    <mergeCell ref="A9:D9"/>
    <mergeCell ref="E9:E10"/>
    <mergeCell ref="C3:L3"/>
    <mergeCell ref="A15:D15"/>
    <mergeCell ref="A11:D11"/>
    <mergeCell ref="F9:F10"/>
    <mergeCell ref="L9:L10"/>
    <mergeCell ref="K2:L2"/>
    <mergeCell ref="I5:J5"/>
    <mergeCell ref="B4:J4"/>
    <mergeCell ref="G9:G10"/>
    <mergeCell ref="I9:I10"/>
    <mergeCell ref="K9:K10"/>
    <mergeCell ref="A12:D12"/>
    <mergeCell ref="A1:L1"/>
    <mergeCell ref="G8:I8"/>
    <mergeCell ref="J8:K8"/>
    <mergeCell ref="A14:D14"/>
  </mergeCells>
  <dataValidations count="1">
    <dataValidation sqref="F11:K14" showDropDown="0" showInputMessage="1"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85"/>
</worksheet>
</file>

<file path=xl/worksheets/sheet19.xml><?xml version="1.0" encoding="utf-8"?>
<worksheet xmlns="http://schemas.openxmlformats.org/spreadsheetml/2006/main">
  <sheetPr codeName="Feuil19">
    <tabColor theme="4" tint="0.5999938962981048"/>
    <outlinePr summaryBelow="1" summaryRight="1"/>
    <pageSetUpPr fitToPage="1"/>
  </sheetPr>
  <dimension ref="A1:O28"/>
  <sheetViews>
    <sheetView showGridLines="0" topLeftCell="A13" zoomScaleNormal="100" workbookViewId="0">
      <selection activeCell="B14" sqref="B14"/>
    </sheetView>
  </sheetViews>
  <sheetFormatPr baseColWidth="10" defaultRowHeight="15"/>
  <cols>
    <col width="16.42578125" customWidth="1" style="1225" min="2" max="2"/>
    <col width="20.5703125" customWidth="1" style="1225" min="3" max="3"/>
    <col width="9" customWidth="1" style="1225" min="4" max="15"/>
  </cols>
  <sheetData>
    <row r="1">
      <c r="A1" s="1429" t="inlineStr">
        <is>
          <t>- 10 -</t>
        </is>
      </c>
    </row>
    <row r="2" ht="24.95" customHeight="1" s="1225">
      <c r="A2" s="1429" t="n"/>
      <c r="B2" s="1429" t="n"/>
      <c r="C2" s="1429" t="n"/>
      <c r="D2" s="1429" t="n"/>
      <c r="E2" s="1429" t="n"/>
      <c r="F2" s="1429" t="n"/>
      <c r="G2" s="1429" t="n"/>
      <c r="N2" s="1438" t="inlineStr">
        <is>
          <t>NOTE 3C
SYSTEME NORMAL</t>
        </is>
      </c>
      <c r="O2" s="1411" t="n"/>
    </row>
    <row r="3" customFormat="1" s="1590">
      <c r="A3" s="1451" t="inlineStr">
        <is>
          <t>Dénomination sociale de l'entité :</t>
        </is>
      </c>
      <c r="B3" s="1451" t="n"/>
      <c r="C3" s="1276">
        <f>'NOTE 1'!C3</f>
        <v/>
      </c>
      <c r="D3" s="1277" t="n"/>
      <c r="E3" s="1277" t="n"/>
      <c r="F3" s="1277" t="n"/>
      <c r="G3" s="1277" t="n"/>
      <c r="H3" s="1277" t="n"/>
      <c r="I3" s="1277" t="n"/>
      <c r="J3" s="1277" t="n"/>
      <c r="K3" s="1277" t="n"/>
      <c r="L3" s="1277" t="n"/>
      <c r="M3" s="1277" t="n"/>
      <c r="N3" s="1277" t="n"/>
      <c r="O3" s="1277" t="n"/>
    </row>
    <row r="4" customFormat="1" s="1590">
      <c r="A4" s="1451" t="inlineStr">
        <is>
          <t>Adresse :</t>
        </is>
      </c>
      <c r="B4" s="1503">
        <f>'NOTE 1'!B4</f>
        <v/>
      </c>
      <c r="C4" s="1346" t="n"/>
      <c r="D4" s="1346" t="n"/>
      <c r="E4" s="1346" t="n"/>
      <c r="F4" s="1346" t="n"/>
      <c r="G4" s="1346" t="n"/>
      <c r="H4" s="1346" t="n"/>
      <c r="I4" s="1346" t="n"/>
      <c r="J4" s="1346" t="n"/>
      <c r="K4" s="1346" t="n"/>
      <c r="L4" s="1597" t="inlineStr">
        <is>
          <t>Sigle usuel :</t>
        </is>
      </c>
      <c r="M4" s="1283" t="n"/>
      <c r="N4" s="1285">
        <f>'NOTE 1'!I4</f>
        <v/>
      </c>
      <c r="O4" s="1277" t="n"/>
    </row>
    <row r="5" customFormat="1" s="1590">
      <c r="A5" s="1451" t="inlineStr">
        <is>
          <t>N° IFU :</t>
        </is>
      </c>
      <c r="B5" s="1451" t="n"/>
      <c r="C5" s="1276">
        <f>'NOTE 1'!C5</f>
        <v/>
      </c>
      <c r="D5" s="1277" t="n"/>
      <c r="E5" s="1277" t="n"/>
      <c r="F5" s="1277" t="n"/>
      <c r="G5" s="1277" t="n"/>
      <c r="H5" s="1589" t="inlineStr">
        <is>
          <t>Exercice clos le :</t>
        </is>
      </c>
      <c r="J5" s="1563">
        <f>'NOTE 1'!G5</f>
        <v/>
      </c>
      <c r="K5" s="1277" t="n"/>
      <c r="L5" s="1589" t="inlineStr">
        <is>
          <t>Durée (en mois) :</t>
        </is>
      </c>
      <c r="N5" s="1285">
        <f>'NOTE 1'!I5</f>
        <v/>
      </c>
      <c r="O5" s="1277" t="n"/>
    </row>
    <row r="6" customFormat="1" s="1590">
      <c r="A6" s="1451" t="inlineStr">
        <is>
          <t>N° de télédéclarant (NES):</t>
        </is>
      </c>
      <c r="B6" s="1451" t="n"/>
      <c r="C6" s="1488">
        <f>'NOTE 1'!C6</f>
        <v/>
      </c>
      <c r="D6" s="254" t="n"/>
      <c r="E6" s="254" t="n"/>
      <c r="F6" s="1634" t="n"/>
      <c r="G6" s="1970" t="n"/>
      <c r="H6" s="254" t="n"/>
      <c r="I6" s="254" t="n"/>
      <c r="J6" s="254" t="n"/>
      <c r="K6" s="254" t="n"/>
      <c r="L6" s="254" t="n"/>
      <c r="M6" s="254" t="n"/>
      <c r="N6" s="1970" t="n"/>
      <c r="O6" s="1970" t="n"/>
    </row>
    <row r="7" ht="35.1" customHeight="1" s="1225" thickBot="1">
      <c r="A7" s="1341" t="inlineStr">
        <is>
          <t>NOTE 3C : IMMOBILISATIONS (AMORTISSEMENTS)</t>
        </is>
      </c>
    </row>
    <row r="8">
      <c r="A8" s="1572" t="inlineStr">
        <is>
          <t>SITUATIONS ET MOUVEMENTS</t>
        </is>
      </c>
      <c r="B8" s="1475" t="n"/>
      <c r="C8" s="1573" t="n"/>
      <c r="D8" s="1580" t="inlineStr">
        <is>
          <t>A</t>
        </is>
      </c>
      <c r="E8" s="1562" t="n"/>
      <c r="F8" s="1580" t="inlineStr">
        <is>
          <t>B</t>
        </is>
      </c>
      <c r="G8" s="1562" t="n"/>
      <c r="H8" s="1580" t="inlineStr">
        <is>
          <t>C</t>
        </is>
      </c>
      <c r="I8" s="1509" t="n"/>
      <c r="J8" s="1509" t="n"/>
      <c r="K8" s="1562" t="n"/>
      <c r="L8" s="1580" t="inlineStr">
        <is>
          <t>D</t>
        </is>
      </c>
      <c r="M8" s="1562" t="n"/>
      <c r="N8" s="1580" t="inlineStr">
        <is>
          <t>E = A + B - C - D</t>
        </is>
      </c>
      <c r="O8" s="1562" t="n"/>
    </row>
    <row r="9" ht="15" customHeight="1" s="1225">
      <c r="A9" s="1578" t="n"/>
      <c r="C9" s="1579" t="n"/>
      <c r="D9" s="1593" t="inlineStr">
        <is>
          <t>AMORTISSEMENTS
CUMULES
A L'OUVERTURE
DE L'EXERCICE</t>
        </is>
      </c>
      <c r="E9" s="1583" t="n"/>
      <c r="F9" s="1588" t="inlineStr">
        <is>
          <t>AUGMENTATIONS:</t>
        </is>
      </c>
      <c r="G9" s="1411" t="n"/>
      <c r="H9" s="1588" t="inlineStr">
        <is>
          <t>DIMINUTIONS :</t>
        </is>
      </c>
      <c r="I9" s="1420" t="n"/>
      <c r="J9" s="1420" t="n"/>
      <c r="K9" s="1411" t="n"/>
      <c r="L9" s="1593" t="inlineStr">
        <is>
          <t>Virements
de poste à poste</t>
        </is>
      </c>
      <c r="M9" s="1583" t="n"/>
      <c r="N9" s="1593" t="inlineStr">
        <is>
          <t>CUMUL DES
AMORTISSEMENTS
A LA CLOTURE
DE L'EXERCICE</t>
        </is>
      </c>
      <c r="O9" s="1583" t="n"/>
    </row>
    <row r="10" ht="54.75" customHeight="1" s="1225">
      <c r="A10" s="1576" t="inlineStr">
        <is>
          <t>RUBRIQUES</t>
        </is>
      </c>
      <c r="B10" s="1516" t="n"/>
      <c r="C10" s="1577" t="n"/>
      <c r="D10" s="1594" t="n"/>
      <c r="E10" s="1517" t="n"/>
      <c r="F10" s="1593" t="inlineStr">
        <is>
          <t>DOTATIONS 
DE L'EXERCICE</t>
        </is>
      </c>
      <c r="G10" s="1411" t="n"/>
      <c r="H10" s="1599" t="inlineStr">
        <is>
          <t>Amortissements
relatifs aux éléments
sortis de l'actif</t>
        </is>
      </c>
      <c r="I10" s="1517" t="n"/>
      <c r="J10" s="1599" t="inlineStr">
        <is>
          <t>Reprises d'amortissements</t>
        </is>
      </c>
      <c r="K10" s="1517" t="n"/>
      <c r="L10" s="1594" t="n"/>
      <c r="M10" s="1517" t="n"/>
      <c r="N10" s="1594" t="n"/>
      <c r="O10" s="1517" t="n"/>
    </row>
    <row r="11" ht="17.1" customHeight="1" s="1225">
      <c r="A11" s="1581" t="inlineStr">
        <is>
          <t xml:space="preserve">Frais de développement et de prospection </t>
        </is>
      </c>
      <c r="B11" s="1582" t="n"/>
      <c r="C11" s="1583" t="n"/>
      <c r="D11" s="1570" t="n"/>
      <c r="E11" s="1396" t="n"/>
      <c r="F11" s="1570" t="n"/>
      <c r="G11" s="1396" t="n"/>
      <c r="H11" s="1570" t="n"/>
      <c r="I11" s="1396" t="n"/>
      <c r="J11" s="1570" t="n"/>
      <c r="K11" s="1396" t="n"/>
      <c r="L11" s="1569" t="n"/>
      <c r="M11" s="1396" t="n"/>
      <c r="N11" s="1585">
        <f>D11+F11-H11-J11-L11</f>
        <v/>
      </c>
      <c r="O11" s="1532" t="n"/>
    </row>
    <row r="12" ht="17.1" customHeight="1" s="1225">
      <c r="A12" s="1575" t="inlineStr">
        <is>
          <t xml:space="preserve">Brevets, licences, logiciels et droits similaires </t>
        </is>
      </c>
      <c r="C12" s="1550" t="n"/>
      <c r="D12" s="1570" t="n"/>
      <c r="E12" s="1396" t="n"/>
      <c r="F12" s="1570">
        <f>+BILAN!G13</f>
        <v/>
      </c>
      <c r="G12" s="1396" t="n"/>
      <c r="H12" s="1570" t="n"/>
      <c r="I12" s="1396" t="n"/>
      <c r="J12" s="1570" t="n"/>
      <c r="K12" s="1396" t="n"/>
      <c r="L12" s="1569" t="n"/>
      <c r="M12" s="1396" t="n"/>
      <c r="N12" s="1585">
        <f>D12+F12-H12-J12-L12</f>
        <v/>
      </c>
      <c r="O12" s="1532" t="n"/>
    </row>
    <row r="13" ht="17.1" customHeight="1" s="1225">
      <c r="A13" s="1575" t="inlineStr">
        <is>
          <t>Fonds commercial et droit au bail</t>
        </is>
      </c>
      <c r="C13" s="1550" t="n"/>
      <c r="D13" s="1570" t="n"/>
      <c r="E13" s="1396" t="n"/>
      <c r="F13" s="1570" t="n"/>
      <c r="G13" s="1396" t="n"/>
      <c r="H13" s="1570" t="n"/>
      <c r="I13" s="1396" t="n"/>
      <c r="J13" s="1570" t="n"/>
      <c r="K13" s="1396" t="n"/>
      <c r="L13" s="1569" t="n"/>
      <c r="M13" s="1396" t="n"/>
      <c r="N13" s="1585">
        <f>D13+F13-H13-J13-L13</f>
        <v/>
      </c>
      <c r="O13" s="1532" t="n"/>
    </row>
    <row r="14" ht="17.1" customHeight="1" s="1225">
      <c r="A14" s="1575" t="inlineStr">
        <is>
          <t>Autres immobilisations incorporelles</t>
        </is>
      </c>
      <c r="C14" s="1550" t="n"/>
      <c r="D14" s="1570" t="n"/>
      <c r="E14" s="1396" t="n"/>
      <c r="F14" s="1570" t="n"/>
      <c r="G14" s="1396" t="n"/>
      <c r="H14" s="1570" t="n"/>
      <c r="I14" s="1396" t="n"/>
      <c r="J14" s="1570" t="n"/>
      <c r="K14" s="1396" t="n"/>
      <c r="L14" s="1569" t="n"/>
      <c r="M14" s="1396" t="n"/>
      <c r="N14" s="1585">
        <f>D14+F14-H14-J14-L14</f>
        <v/>
      </c>
      <c r="O14" s="1532" t="n"/>
    </row>
    <row r="15" ht="17.1" customHeight="1" s="1225">
      <c r="A15" s="1525" t="inlineStr">
        <is>
          <t>IMMOBILISATIONS INCORPORELLES</t>
        </is>
      </c>
      <c r="B15" s="1420" t="n"/>
      <c r="C15" s="1411" t="n"/>
      <c r="D15" s="1574" t="n"/>
      <c r="E15" s="1411" t="n"/>
      <c r="F15" s="1574" t="n"/>
      <c r="G15" s="1411" t="n"/>
      <c r="H15" s="1574" t="n"/>
      <c r="I15" s="1411" t="n"/>
      <c r="J15" s="1574" t="n"/>
      <c r="K15" s="1411" t="n"/>
      <c r="L15" s="1574" t="n"/>
      <c r="M15" s="1411" t="n"/>
      <c r="N15" s="1586" t="n"/>
      <c r="O15" s="1532" t="n"/>
    </row>
    <row r="16" ht="17.1" customHeight="1" s="1225">
      <c r="A16" s="1575" t="inlineStr">
        <is>
          <t xml:space="preserve">Terrains hors immeuble de placement </t>
        </is>
      </c>
      <c r="C16" s="1550" t="n"/>
      <c r="D16" s="1570" t="n"/>
      <c r="E16" s="1396" t="n"/>
      <c r="F16" s="1570" t="n"/>
      <c r="G16" s="1396" t="n"/>
      <c r="H16" s="1570" t="n"/>
      <c r="I16" s="1396" t="n"/>
      <c r="J16" s="1570" t="n"/>
      <c r="K16" s="1396" t="n"/>
      <c r="L16" s="1569" t="n"/>
      <c r="M16" s="1396" t="n"/>
      <c r="N16" s="1585" t="n"/>
      <c r="O16" s="1532" t="n"/>
    </row>
    <row r="17" ht="17.1" customHeight="1" s="1225">
      <c r="A17" s="1575" t="inlineStr">
        <is>
          <t xml:space="preserve">Terrains - immeuble de  placement  </t>
        </is>
      </c>
      <c r="C17" s="1550" t="n"/>
      <c r="D17" s="1570" t="n"/>
      <c r="E17" s="1396" t="n"/>
      <c r="F17" s="1570" t="n"/>
      <c r="G17" s="1396" t="n"/>
      <c r="H17" s="1570" t="n"/>
      <c r="I17" s="1396" t="n"/>
      <c r="J17" s="1570" t="n"/>
      <c r="K17" s="1396" t="n"/>
      <c r="L17" s="1569" t="n"/>
      <c r="M17" s="1396" t="n"/>
      <c r="N17" s="1585" t="n"/>
      <c r="O17" s="1532" t="n"/>
    </row>
    <row r="18" ht="17.1" customHeight="1" s="1225">
      <c r="A18" s="1575" t="inlineStr">
        <is>
          <t xml:space="preserve">Bâtiments hors immeuble de placement </t>
        </is>
      </c>
      <c r="C18" s="1550" t="n"/>
      <c r="D18" s="1570" t="n"/>
      <c r="E18" s="1396" t="n"/>
      <c r="F18" s="1570" t="n"/>
      <c r="G18" s="1396" t="n"/>
      <c r="H18" s="1570" t="n"/>
      <c r="I18" s="1396" t="n"/>
      <c r="J18" s="1570" t="n"/>
      <c r="K18" s="1396" t="n"/>
      <c r="L18" s="1569" t="n"/>
      <c r="M18" s="1396" t="n"/>
      <c r="N18" s="1585" t="n"/>
      <c r="O18" s="1532" t="n"/>
    </row>
    <row r="19" ht="17.1" customHeight="1" s="1225">
      <c r="A19" s="1575" t="inlineStr">
        <is>
          <t xml:space="preserve">Bâtiments - immeuble de placement </t>
        </is>
      </c>
      <c r="C19" s="1550" t="n"/>
      <c r="D19" s="1570" t="n"/>
      <c r="E19" s="1396" t="n"/>
      <c r="F19" s="1570" t="n"/>
      <c r="G19" s="1396" t="n"/>
      <c r="H19" s="1570" t="n"/>
      <c r="I19" s="1396" t="n"/>
      <c r="J19" s="1570" t="n"/>
      <c r="K19" s="1396" t="n"/>
      <c r="L19" s="1569" t="n"/>
      <c r="M19" s="1396" t="n"/>
      <c r="N19" s="1585" t="n"/>
      <c r="O19" s="1532" t="n"/>
    </row>
    <row r="20" ht="17.1" customHeight="1" s="1225">
      <c r="A20" s="1575" t="inlineStr">
        <is>
          <t xml:space="preserve">Aménagements, agencements et installations </t>
        </is>
      </c>
      <c r="C20" s="1550" t="n"/>
      <c r="D20" s="1571" t="n"/>
      <c r="E20" s="1396" t="n"/>
      <c r="F20" s="1571" t="n"/>
      <c r="G20" s="1396" t="n"/>
      <c r="H20" s="1571" t="n"/>
      <c r="I20" s="1396" t="n"/>
      <c r="J20" s="1571" t="n"/>
      <c r="K20" s="1396" t="n"/>
      <c r="L20" s="1587" t="n"/>
      <c r="M20" s="1396" t="n"/>
      <c r="N20" s="1598" t="n"/>
      <c r="O20" s="1532" t="n"/>
    </row>
    <row r="21" ht="17.1" customHeight="1" s="1225">
      <c r="A21" s="1575" t="inlineStr">
        <is>
          <t>Matériel, mobilier et actifs biologiques</t>
        </is>
      </c>
      <c r="C21" s="1550" t="n"/>
      <c r="D21" s="1570" t="n"/>
      <c r="E21" s="1396" t="n"/>
      <c r="F21" s="1570" t="n"/>
      <c r="G21" s="1396" t="n"/>
      <c r="H21" s="1570" t="n"/>
      <c r="I21" s="1396" t="n"/>
      <c r="J21" s="1570" t="n"/>
      <c r="K21" s="1396" t="n"/>
      <c r="L21" s="1569" t="n"/>
      <c r="M21" s="1396" t="n"/>
      <c r="N21" s="1585" t="n"/>
      <c r="O21" s="1532" t="n"/>
    </row>
    <row r="22" ht="17.1" customHeight="1" s="1225">
      <c r="A22" s="1575" t="inlineStr">
        <is>
          <t>Matériel de transport</t>
        </is>
      </c>
      <c r="C22" s="1550" t="n"/>
      <c r="D22" s="1570" t="n"/>
      <c r="E22" s="1396" t="n"/>
      <c r="F22" s="1570" t="n"/>
      <c r="G22" s="1396" t="n"/>
      <c r="H22" s="1570" t="n"/>
      <c r="I22" s="1396" t="n"/>
      <c r="J22" s="1570" t="n"/>
      <c r="K22" s="1396" t="n"/>
      <c r="L22" s="1569" t="n"/>
      <c r="M22" s="1396" t="n"/>
      <c r="N22" s="1585" t="n"/>
      <c r="O22" s="1532" t="n"/>
    </row>
    <row r="23" ht="17.1" customHeight="1" s="1225">
      <c r="A23" s="1525" t="inlineStr">
        <is>
          <t>IMMOBILISATIONS CORPORELLES</t>
        </is>
      </c>
      <c r="B23" s="1420" t="n"/>
      <c r="C23" s="1411" t="n"/>
      <c r="D23" s="1574" t="n"/>
      <c r="E23" s="1411" t="n"/>
      <c r="F23" s="1574" t="n"/>
      <c r="G23" s="1411" t="n"/>
      <c r="H23" s="1574" t="n"/>
      <c r="I23" s="1411" t="n"/>
      <c r="J23" s="1574" t="n"/>
      <c r="K23" s="1411" t="n"/>
      <c r="L23" s="1574" t="n"/>
      <c r="M23" s="1411" t="n"/>
      <c r="N23" s="1586" t="n"/>
      <c r="O23" s="1532" t="n"/>
    </row>
    <row r="24" ht="15.75" customHeight="1" s="1225" thickBot="1">
      <c r="A24" s="1595" t="inlineStr">
        <is>
          <t>TOTAL GENERAL</t>
        </is>
      </c>
      <c r="B24" s="1527" t="n"/>
      <c r="C24" s="1596" t="n"/>
      <c r="D24" s="1584" t="n"/>
      <c r="E24" s="1528" t="n"/>
      <c r="F24" s="1584" t="n"/>
      <c r="G24" s="1528" t="n"/>
      <c r="H24" s="1584" t="n"/>
      <c r="I24" s="1528" t="n"/>
      <c r="J24" s="1584" t="n"/>
      <c r="K24" s="1528" t="n"/>
      <c r="L24" s="1584" t="n"/>
      <c r="M24" s="1528" t="n"/>
      <c r="N24" s="1591" t="n"/>
      <c r="O24" s="1592" t="n"/>
    </row>
    <row r="25" ht="10.15" customFormat="1" customHeight="1" s="1356">
      <c r="A25" s="559" t="inlineStr">
        <is>
          <t>Commentaire :</t>
        </is>
      </c>
    </row>
    <row r="26" ht="10.15" customFormat="1" customHeight="1" s="1356">
      <c r="A26" s="614" t="inlineStr">
        <is>
          <t>●   Indiquer</t>
        </is>
      </c>
      <c r="O26" s="1101" t="n"/>
    </row>
    <row r="27" ht="9.75" customFormat="1" customHeight="1" s="1356">
      <c r="A27" s="615" t="inlineStr">
        <is>
          <t>-   les modes d'amortissement utilisés ;</t>
        </is>
      </c>
      <c r="B27" s="1680" t="n"/>
    </row>
    <row r="28" ht="10.15" customFormat="1" customHeight="1" s="1356">
      <c r="A28" s="615" t="inlineStr">
        <is>
          <t>-   la durée d'utilité ou les taux d'amortissements utilisés.</t>
        </is>
      </c>
      <c r="B28" s="1680" t="n"/>
    </row>
  </sheetData>
  <mergeCells count="126">
    <mergeCell ref="L17:M17"/>
    <mergeCell ref="D20:E20"/>
    <mergeCell ref="N11:O11"/>
    <mergeCell ref="N20:O20"/>
    <mergeCell ref="F16:G16"/>
    <mergeCell ref="H10:I10"/>
    <mergeCell ref="J10:K10"/>
    <mergeCell ref="C5:G5"/>
    <mergeCell ref="J19:K19"/>
    <mergeCell ref="L19:M19"/>
    <mergeCell ref="D22:E22"/>
    <mergeCell ref="A21:C21"/>
    <mergeCell ref="N22:O22"/>
    <mergeCell ref="D9:E10"/>
    <mergeCell ref="L12:M12"/>
    <mergeCell ref="B4:K4"/>
    <mergeCell ref="A23:C23"/>
    <mergeCell ref="N12:O12"/>
    <mergeCell ref="F15:G15"/>
    <mergeCell ref="D13:E13"/>
    <mergeCell ref="L5:M5"/>
    <mergeCell ref="N5:O5"/>
    <mergeCell ref="L14:M14"/>
    <mergeCell ref="N14:O14"/>
    <mergeCell ref="L4:M4"/>
    <mergeCell ref="H9:K9"/>
    <mergeCell ref="F23:G23"/>
    <mergeCell ref="F13:G13"/>
    <mergeCell ref="H13:I13"/>
    <mergeCell ref="J21:K21"/>
    <mergeCell ref="L21:M21"/>
    <mergeCell ref="D24:E24"/>
    <mergeCell ref="N15:O15"/>
    <mergeCell ref="N24:O24"/>
    <mergeCell ref="H15:I15"/>
    <mergeCell ref="H23:I23"/>
    <mergeCell ref="J23:K23"/>
    <mergeCell ref="A7:O7"/>
    <mergeCell ref="F10:G10"/>
    <mergeCell ref="L16:M16"/>
    <mergeCell ref="D19:E19"/>
    <mergeCell ref="N16:O16"/>
    <mergeCell ref="F19:G19"/>
    <mergeCell ref="A12:C12"/>
    <mergeCell ref="L9:M10"/>
    <mergeCell ref="N9:O10"/>
    <mergeCell ref="H8:K8"/>
    <mergeCell ref="D11:E11"/>
    <mergeCell ref="A14:C14"/>
    <mergeCell ref="N2:O2"/>
    <mergeCell ref="F20:G20"/>
    <mergeCell ref="F18:G18"/>
    <mergeCell ref="F17:G17"/>
    <mergeCell ref="H17:I17"/>
    <mergeCell ref="H11:I11"/>
    <mergeCell ref="A13:C13"/>
    <mergeCell ref="J11:K11"/>
    <mergeCell ref="J20:K20"/>
    <mergeCell ref="L20:M20"/>
    <mergeCell ref="H19:I19"/>
    <mergeCell ref="A15:C15"/>
    <mergeCell ref="J22:K22"/>
    <mergeCell ref="N13:O13"/>
    <mergeCell ref="L22:M22"/>
    <mergeCell ref="A24:C24"/>
    <mergeCell ref="F9:G9"/>
    <mergeCell ref="H12:I12"/>
    <mergeCell ref="J12:K12"/>
    <mergeCell ref="D15:E15"/>
    <mergeCell ref="D23:E23"/>
    <mergeCell ref="H5:I5"/>
    <mergeCell ref="H14:I14"/>
    <mergeCell ref="A16:C16"/>
    <mergeCell ref="N4:O4"/>
    <mergeCell ref="A18:C18"/>
    <mergeCell ref="F21:G21"/>
    <mergeCell ref="H21:I21"/>
    <mergeCell ref="J24:K24"/>
    <mergeCell ref="L24:M24"/>
    <mergeCell ref="A22:C22"/>
    <mergeCell ref="L18:M18"/>
    <mergeCell ref="C3:O3"/>
    <mergeCell ref="N18:O18"/>
    <mergeCell ref="L8:M8"/>
    <mergeCell ref="D17:E17"/>
    <mergeCell ref="A20:C20"/>
    <mergeCell ref="N8:O8"/>
    <mergeCell ref="F8:G8"/>
    <mergeCell ref="N17:O17"/>
    <mergeCell ref="H16:I16"/>
    <mergeCell ref="J16:K16"/>
    <mergeCell ref="N19:O19"/>
    <mergeCell ref="F22:G22"/>
    <mergeCell ref="H22:I22"/>
    <mergeCell ref="D12:E12"/>
    <mergeCell ref="A1:O1"/>
    <mergeCell ref="L11:M11"/>
    <mergeCell ref="D14:E14"/>
    <mergeCell ref="F14:G14"/>
    <mergeCell ref="F11:G11"/>
    <mergeCell ref="H20:I20"/>
    <mergeCell ref="J5:K5"/>
    <mergeCell ref="J14:K14"/>
    <mergeCell ref="J13:K13"/>
    <mergeCell ref="L13:M13"/>
    <mergeCell ref="D21:E21"/>
    <mergeCell ref="F12:G12"/>
    <mergeCell ref="N21:O21"/>
    <mergeCell ref="F24:G24"/>
    <mergeCell ref="A8:C8"/>
    <mergeCell ref="J15:K15"/>
    <mergeCell ref="L15:M15"/>
    <mergeCell ref="A17:C17"/>
    <mergeCell ref="L23:M23"/>
    <mergeCell ref="N23:O23"/>
    <mergeCell ref="A10:C10"/>
    <mergeCell ref="D16:E16"/>
    <mergeCell ref="A19:C19"/>
    <mergeCell ref="A9:C9"/>
    <mergeCell ref="D18:E18"/>
    <mergeCell ref="D8:E8"/>
    <mergeCell ref="A11:C11"/>
    <mergeCell ref="H24:I24"/>
    <mergeCell ref="H18:I18"/>
    <mergeCell ref="J18:K18"/>
    <mergeCell ref="J17:K17"/>
  </mergeCells>
  <dataValidations count="1">
    <dataValidation sqref="D11:J14 D16:E22 F16:J19 F20 F21:J22 H20:J20 L11:L14 L16:L22" showDropDown="0" showInputMessage="1"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0"/>
</worksheet>
</file>

<file path=xl/worksheets/sheet20.xml><?xml version="1.0" encoding="utf-8"?>
<worksheet xmlns="http://schemas.openxmlformats.org/spreadsheetml/2006/main">
  <sheetPr>
    <tabColor theme="4" tint="0.5999938962981048"/>
    <outlinePr summaryBelow="1" summaryRight="1"/>
    <pageSetUpPr fitToPage="1"/>
  </sheetPr>
  <dimension ref="A1:K26"/>
  <sheetViews>
    <sheetView showGridLines="0" topLeftCell="A4" workbookViewId="0">
      <selection activeCell="B14" sqref="B14"/>
    </sheetView>
  </sheetViews>
  <sheetFormatPr baseColWidth="10" defaultRowHeight="15"/>
  <cols>
    <col width="16.42578125" customWidth="1" style="1225" min="2" max="2"/>
    <col width="20.5703125" customWidth="1" style="1225" min="3" max="3"/>
    <col width="13.28515625" customWidth="1" style="1225" min="4" max="11"/>
  </cols>
  <sheetData>
    <row r="1">
      <c r="A1" s="1429" t="inlineStr">
        <is>
          <t>- 0 -</t>
        </is>
      </c>
    </row>
    <row r="2" ht="24.95" customHeight="1" s="1225">
      <c r="A2" s="1429" t="n"/>
      <c r="B2" s="1429" t="n"/>
      <c r="C2" s="1429" t="n"/>
      <c r="D2" s="1429" t="n"/>
      <c r="E2" s="1429" t="n"/>
      <c r="F2" s="1429" t="n"/>
      <c r="G2" s="1429" t="n"/>
      <c r="H2" s="1342" t="n"/>
      <c r="I2" s="1342" t="n"/>
      <c r="J2" s="1438" t="inlineStr">
        <is>
          <t>NOTE 3C BIS
SYSTEME NORMAL</t>
        </is>
      </c>
      <c r="K2" s="1411" t="n"/>
    </row>
    <row r="3">
      <c r="A3" s="1451" t="inlineStr">
        <is>
          <t>Dénomination sociale de l'entité :</t>
        </is>
      </c>
      <c r="B3" s="1451" t="n"/>
      <c r="C3" s="1276">
        <f>'NOTE 1'!C3</f>
        <v/>
      </c>
      <c r="D3" s="1277" t="n"/>
      <c r="E3" s="1277" t="n"/>
      <c r="F3" s="1277" t="n"/>
      <c r="G3" s="1277" t="n"/>
      <c r="H3" s="1277" t="n"/>
      <c r="I3" s="1277" t="n"/>
      <c r="J3" s="1277" t="n"/>
      <c r="K3" s="1277" t="n"/>
    </row>
    <row r="4">
      <c r="A4" s="1451" t="inlineStr">
        <is>
          <t>Adresse :</t>
        </is>
      </c>
      <c r="B4" s="1488">
        <f>'NOTE 1'!B4</f>
        <v/>
      </c>
      <c r="C4" s="1288" t="n"/>
      <c r="D4" s="1288" t="n"/>
      <c r="E4" s="1288" t="n"/>
      <c r="F4" s="1288" t="n"/>
      <c r="G4" s="1288" t="n"/>
      <c r="H4" s="1288" t="n"/>
      <c r="I4" s="1288" t="n"/>
      <c r="J4" s="1597" t="inlineStr">
        <is>
          <t>Sigle usuel :</t>
        </is>
      </c>
      <c r="K4" s="1285">
        <f>'NOTE 1'!I4</f>
        <v/>
      </c>
    </row>
    <row r="5">
      <c r="A5" s="1451" t="inlineStr">
        <is>
          <t>N° IFU :</t>
        </is>
      </c>
      <c r="B5" s="1451" t="n"/>
      <c r="C5" s="1276">
        <f>'NOTE 1'!C5</f>
        <v/>
      </c>
      <c r="D5" s="1277" t="n"/>
      <c r="E5" s="1457" t="inlineStr">
        <is>
          <t>Exercice clos le :</t>
        </is>
      </c>
      <c r="G5" s="1502" t="n"/>
      <c r="H5" s="1346" t="n"/>
      <c r="I5" s="1346" t="n"/>
      <c r="J5" s="1589" t="inlineStr">
        <is>
          <t>Durée (mois) :</t>
        </is>
      </c>
      <c r="K5" s="1285">
        <f>'NOTE 1'!I5</f>
        <v/>
      </c>
    </row>
    <row r="6">
      <c r="A6" s="1451" t="inlineStr">
        <is>
          <t>N° de télédéclarant (NES):</t>
        </is>
      </c>
      <c r="B6" s="1451" t="n"/>
      <c r="C6" s="1520">
        <f>'NOTE 1'!C6</f>
        <v/>
      </c>
      <c r="D6" s="1521" t="n"/>
      <c r="E6" s="254" t="n"/>
      <c r="F6" s="1634" t="n"/>
      <c r="G6" s="1970" t="n"/>
      <c r="H6" s="254" t="n"/>
      <c r="I6" s="254" t="n"/>
      <c r="J6" s="1970" t="n"/>
      <c r="K6" s="1970" t="n"/>
    </row>
    <row r="7" ht="35.1" customHeight="1" s="1225" thickBot="1">
      <c r="A7" s="1341" t="inlineStr">
        <is>
          <t>NOTE 3C BIS : IMMOBILISATIONS (DEPRECIATIONS)</t>
        </is>
      </c>
    </row>
    <row r="8">
      <c r="A8" s="1572" t="inlineStr">
        <is>
          <t>SITUATIONS ET MOUVEMENTS</t>
        </is>
      </c>
      <c r="B8" s="1475" t="n"/>
      <c r="C8" s="1573" t="n"/>
      <c r="D8" s="1580" t="inlineStr">
        <is>
          <t>A</t>
        </is>
      </c>
      <c r="E8" s="1562" t="n"/>
      <c r="F8" s="1580" t="inlineStr">
        <is>
          <t>B</t>
        </is>
      </c>
      <c r="G8" s="1562" t="n"/>
      <c r="H8" s="1580" t="inlineStr">
        <is>
          <t>C</t>
        </is>
      </c>
      <c r="I8" s="1562" t="n"/>
      <c r="J8" s="1580" t="inlineStr">
        <is>
          <t>D = A + B - C</t>
        </is>
      </c>
      <c r="K8" s="1562" t="n"/>
    </row>
    <row r="9">
      <c r="A9" s="1578" t="n"/>
      <c r="C9" s="1579" t="n"/>
      <c r="D9" s="1593" t="inlineStr">
        <is>
          <t>DEPRECIATIONS
CUMULES
A L'OUVERTURE
DE L'EXERCICE</t>
        </is>
      </c>
      <c r="E9" s="1583" t="n"/>
      <c r="F9" s="1593" t="inlineStr">
        <is>
          <t>AUGMENTATIONS:
DOTATIONS 
DE L'EXERCICE</t>
        </is>
      </c>
      <c r="G9" s="1583" t="n"/>
      <c r="H9" s="1593" t="inlineStr">
        <is>
          <t>DIMINUTIONS :
REPRISES
DE L'EXERCICE</t>
        </is>
      </c>
      <c r="I9" s="1583" t="n"/>
      <c r="J9" s="1593" t="inlineStr">
        <is>
          <t>CUMUL DES
DEPRECIATIONS
A LA CLOTURE
DE L'EXERCICE</t>
        </is>
      </c>
      <c r="K9" s="1583" t="n"/>
    </row>
    <row r="10" ht="46.5" customHeight="1" s="1225">
      <c r="A10" s="1576" t="inlineStr">
        <is>
          <t>RUBRIQUES</t>
        </is>
      </c>
      <c r="B10" s="1516" t="n"/>
      <c r="C10" s="1577" t="n"/>
      <c r="D10" s="1594" t="n"/>
      <c r="E10" s="1517" t="n"/>
      <c r="F10" s="1594" t="n"/>
      <c r="G10" s="1517" t="n"/>
      <c r="H10" s="1594" t="n"/>
      <c r="I10" s="1517" t="n"/>
      <c r="J10" s="1594" t="n"/>
      <c r="K10" s="1517" t="n"/>
    </row>
    <row r="11" ht="17.1" customHeight="1" s="1225">
      <c r="A11" s="1581" t="inlineStr">
        <is>
          <t xml:space="preserve">Frais de développement et de prospection </t>
        </is>
      </c>
      <c r="B11" s="1582" t="n"/>
      <c r="C11" s="1583" t="n"/>
      <c r="D11" s="1570" t="n"/>
      <c r="E11" s="1396" t="n"/>
      <c r="F11" s="1570" t="n"/>
      <c r="G11" s="1396" t="n"/>
      <c r="H11" s="1570" t="n"/>
      <c r="I11" s="1396" t="n"/>
      <c r="J11" s="1585">
        <f>D11+F11-H11</f>
        <v/>
      </c>
      <c r="K11" s="1532" t="n"/>
    </row>
    <row r="12" ht="17.1" customHeight="1" s="1225">
      <c r="A12" s="1575" t="inlineStr">
        <is>
          <t xml:space="preserve">Brevets, licences, logiciels et droits similaires </t>
        </is>
      </c>
      <c r="C12" s="1550" t="n"/>
      <c r="D12" s="1570" t="n"/>
      <c r="E12" s="1396" t="n"/>
      <c r="F12" s="1570" t="n"/>
      <c r="G12" s="1396" t="n"/>
      <c r="H12" s="1570" t="n"/>
      <c r="I12" s="1396" t="n"/>
      <c r="J12" s="1585">
        <f>D12+F12-H12</f>
        <v/>
      </c>
      <c r="K12" s="1532" t="n"/>
    </row>
    <row r="13" ht="17.1" customHeight="1" s="1225">
      <c r="A13" s="1575" t="inlineStr">
        <is>
          <t>Fonds commercial et droit au bail</t>
        </is>
      </c>
      <c r="C13" s="1550" t="n"/>
      <c r="D13" s="1570" t="n"/>
      <c r="E13" s="1396" t="n"/>
      <c r="F13" s="1570" t="n"/>
      <c r="G13" s="1396" t="n"/>
      <c r="H13" s="1570" t="n"/>
      <c r="I13" s="1396" t="n"/>
      <c r="J13" s="1585">
        <f>D13+F13-H13</f>
        <v/>
      </c>
      <c r="K13" s="1532" t="n"/>
    </row>
    <row r="14" ht="17.1" customHeight="1" s="1225">
      <c r="A14" s="1575" t="inlineStr">
        <is>
          <t>Autres immobilisations incorporelles</t>
        </is>
      </c>
      <c r="C14" s="1550" t="n"/>
      <c r="D14" s="1570" t="n"/>
      <c r="E14" s="1396" t="n"/>
      <c r="F14" s="1570" t="n"/>
      <c r="G14" s="1396" t="n"/>
      <c r="H14" s="1570" t="n"/>
      <c r="I14" s="1396" t="n"/>
      <c r="J14" s="1585">
        <f>D14+F14-H14</f>
        <v/>
      </c>
      <c r="K14" s="1532" t="n"/>
    </row>
    <row r="15" ht="17.1" customHeight="1" s="1225">
      <c r="A15" s="1525" t="inlineStr">
        <is>
          <t>IMMOBILISATIONS INCORPORELLES</t>
        </is>
      </c>
      <c r="B15" s="1420" t="n"/>
      <c r="C15" s="1411" t="n"/>
      <c r="D15" s="1574">
        <f>SUM(D11:E14)</f>
        <v/>
      </c>
      <c r="E15" s="1411" t="n"/>
      <c r="F15" s="1574">
        <f>SUM(F11:G14)</f>
        <v/>
      </c>
      <c r="G15" s="1411" t="n"/>
      <c r="H15" s="1574">
        <f>SUM(H11:I14)</f>
        <v/>
      </c>
      <c r="I15" s="1411" t="n"/>
      <c r="J15" s="1586">
        <f>SUM(J11:K14)</f>
        <v/>
      </c>
      <c r="K15" s="1532" t="n"/>
    </row>
    <row r="16" ht="17.1" customHeight="1" s="1225">
      <c r="A16" s="1575" t="inlineStr">
        <is>
          <t xml:space="preserve">Terrains hors immeuble de placement </t>
        </is>
      </c>
      <c r="C16" s="1550" t="n"/>
      <c r="D16" s="1570" t="n"/>
      <c r="E16" s="1396" t="n"/>
      <c r="F16" s="1570" t="n"/>
      <c r="G16" s="1396" t="n"/>
      <c r="H16" s="1570" t="n"/>
      <c r="I16" s="1396" t="n"/>
      <c r="J16" s="1585">
        <f>D16+F16-H16</f>
        <v/>
      </c>
      <c r="K16" s="1532" t="n"/>
    </row>
    <row r="17" ht="17.1" customHeight="1" s="1225">
      <c r="A17" s="1575" t="inlineStr">
        <is>
          <t xml:space="preserve">Terrains - immeuble de  placement  </t>
        </is>
      </c>
      <c r="C17" s="1550" t="n"/>
      <c r="D17" s="1570" t="n"/>
      <c r="E17" s="1396" t="n"/>
      <c r="F17" s="1570" t="n"/>
      <c r="G17" s="1396" t="n"/>
      <c r="H17" s="1570" t="n"/>
      <c r="I17" s="1396" t="n"/>
      <c r="J17" s="1585">
        <f>D17+F17-H17</f>
        <v/>
      </c>
      <c r="K17" s="1532" t="n"/>
    </row>
    <row r="18" ht="17.1" customHeight="1" s="1225">
      <c r="A18" s="1575" t="inlineStr">
        <is>
          <t xml:space="preserve">Bâtiments hors immeuble de placement </t>
        </is>
      </c>
      <c r="C18" s="1550" t="n"/>
      <c r="D18" s="1570" t="n"/>
      <c r="E18" s="1396" t="n"/>
      <c r="F18" s="1570" t="n"/>
      <c r="G18" s="1396" t="n"/>
      <c r="H18" s="1570" t="n"/>
      <c r="I18" s="1396" t="n"/>
      <c r="J18" s="1585">
        <f>D18+F18-H18</f>
        <v/>
      </c>
      <c r="K18" s="1532" t="n"/>
    </row>
    <row r="19" ht="17.1" customHeight="1" s="1225">
      <c r="A19" s="1575" t="inlineStr">
        <is>
          <t xml:space="preserve">Bâtiments - immeuble de placement </t>
        </is>
      </c>
      <c r="C19" s="1550" t="n"/>
      <c r="D19" s="1570" t="n"/>
      <c r="E19" s="1396" t="n"/>
      <c r="F19" s="1570" t="n"/>
      <c r="G19" s="1396" t="n"/>
      <c r="H19" s="1570" t="n"/>
      <c r="I19" s="1396" t="n"/>
      <c r="J19" s="1585">
        <f>D19+F19-H19</f>
        <v/>
      </c>
      <c r="K19" s="1532" t="n"/>
    </row>
    <row r="20" ht="17.1" customHeight="1" s="1225">
      <c r="A20" s="1575" t="inlineStr">
        <is>
          <t xml:space="preserve">Aménagements, agencements et installations </t>
        </is>
      </c>
      <c r="C20" s="1550" t="n"/>
      <c r="D20" s="1570" t="n"/>
      <c r="E20" s="1396" t="n"/>
      <c r="F20" s="1570" t="n"/>
      <c r="G20" s="1396" t="n"/>
      <c r="H20" s="1570" t="n"/>
      <c r="I20" s="1396" t="n"/>
      <c r="J20" s="1585">
        <f>D20+F20-H20</f>
        <v/>
      </c>
      <c r="K20" s="1532" t="n"/>
    </row>
    <row r="21" ht="17.1" customHeight="1" s="1225">
      <c r="A21" s="1575" t="inlineStr">
        <is>
          <t>Matériel, mobilier et actifs biologiques</t>
        </is>
      </c>
      <c r="C21" s="1550" t="n"/>
      <c r="D21" s="1570" t="n"/>
      <c r="E21" s="1396" t="n"/>
      <c r="F21" s="1570" t="n"/>
      <c r="G21" s="1396" t="n"/>
      <c r="H21" s="1570" t="n"/>
      <c r="I21" s="1396" t="n"/>
      <c r="J21" s="1585">
        <f>D21+F21-H21</f>
        <v/>
      </c>
      <c r="K21" s="1532" t="n"/>
    </row>
    <row r="22" ht="17.1" customHeight="1" s="1225">
      <c r="A22" s="1575" t="inlineStr">
        <is>
          <t>Matériel de transport</t>
        </is>
      </c>
      <c r="C22" s="1550" t="n"/>
      <c r="D22" s="1570" t="n"/>
      <c r="E22" s="1396" t="n"/>
      <c r="F22" s="1570" t="n"/>
      <c r="G22" s="1396" t="n"/>
      <c r="H22" s="1570" t="n"/>
      <c r="I22" s="1396" t="n"/>
      <c r="J22" s="1585">
        <f>D22+F22-H22</f>
        <v/>
      </c>
      <c r="K22" s="1532" t="n"/>
    </row>
    <row r="23" ht="17.1" customHeight="1" s="1225">
      <c r="A23" s="1525" t="inlineStr">
        <is>
          <t>IMMOBILISATIONS CORPORELLES</t>
        </is>
      </c>
      <c r="B23" s="1420" t="n"/>
      <c r="C23" s="1411" t="n"/>
      <c r="D23" s="1574">
        <f>SUM(D16:E22)</f>
        <v/>
      </c>
      <c r="E23" s="1411" t="n"/>
      <c r="F23" s="1574">
        <f>SUM(F16:G22)</f>
        <v/>
      </c>
      <c r="G23" s="1411" t="n"/>
      <c r="H23" s="1574">
        <f>SUM(H16:I22)</f>
        <v/>
      </c>
      <c r="I23" s="1411" t="n"/>
      <c r="J23" s="1586">
        <f>SUM(J16:K22)</f>
        <v/>
      </c>
      <c r="K23" s="1532" t="n"/>
    </row>
    <row r="24" ht="17.1" customHeight="1" s="1225" thickBot="1">
      <c r="A24" s="1595" t="inlineStr">
        <is>
          <t>TOTAL GENERAL</t>
        </is>
      </c>
      <c r="B24" s="1527" t="n"/>
      <c r="C24" s="1596" t="n"/>
      <c r="D24" s="1584">
        <f>D15+D23</f>
        <v/>
      </c>
      <c r="E24" s="1528" t="n"/>
      <c r="F24" s="1584">
        <f>F15+F23</f>
        <v/>
      </c>
      <c r="G24" s="1528" t="n"/>
      <c r="H24" s="1584">
        <f>H15+H23</f>
        <v/>
      </c>
      <c r="I24" s="1528" t="n"/>
      <c r="J24" s="1591">
        <f>J15+J23</f>
        <v/>
      </c>
      <c r="K24" s="1592" t="n"/>
    </row>
    <row r="25" ht="10.15" customFormat="1" customHeight="1" s="1356">
      <c r="A25" s="559" t="inlineStr">
        <is>
          <t>Commentaire :</t>
        </is>
      </c>
      <c r="B25" s="1680" t="n"/>
      <c r="C25" s="1680" t="n"/>
      <c r="D25" s="1680" t="n"/>
      <c r="E25" s="1680" t="n"/>
      <c r="F25" s="1680" t="n"/>
      <c r="G25" s="1680" t="n"/>
      <c r="H25" s="1680" t="n"/>
      <c r="I25" s="1680" t="n"/>
      <c r="J25" s="1680" t="n"/>
      <c r="K25" s="1680" t="n"/>
    </row>
    <row r="26" ht="10.15" customFormat="1" customHeight="1" s="1356">
      <c r="A26" s="616" t="inlineStr">
        <is>
          <t>●   Indiquer les événements et circonstances qui ont conduit à la dépréciation et à la reprise.</t>
        </is>
      </c>
      <c r="B26" s="1680" t="n"/>
      <c r="C26" s="1680" t="n"/>
      <c r="D26" s="1680" t="n"/>
      <c r="E26" s="1680" t="n"/>
      <c r="F26" s="1680" t="n"/>
      <c r="G26" s="1680" t="n"/>
      <c r="H26" s="1680" t="n"/>
      <c r="I26" s="1680" t="n"/>
      <c r="J26" s="1680" t="n"/>
      <c r="K26" s="1680" t="n"/>
    </row>
  </sheetData>
  <mergeCells count="90">
    <mergeCell ref="D20:E20"/>
    <mergeCell ref="C6:D6"/>
    <mergeCell ref="F16:G16"/>
    <mergeCell ref="J19:K19"/>
    <mergeCell ref="A21:C21"/>
    <mergeCell ref="D22:E22"/>
    <mergeCell ref="D9:E10"/>
    <mergeCell ref="F9:G10"/>
    <mergeCell ref="F15:G15"/>
    <mergeCell ref="A23:C23"/>
    <mergeCell ref="D13:E13"/>
    <mergeCell ref="A7:K7"/>
    <mergeCell ref="F23:G23"/>
    <mergeCell ref="C3:K3"/>
    <mergeCell ref="F13:G13"/>
    <mergeCell ref="H13:I13"/>
    <mergeCell ref="J21:K21"/>
    <mergeCell ref="D24:E24"/>
    <mergeCell ref="H15:I15"/>
    <mergeCell ref="H23:I23"/>
    <mergeCell ref="J23:K23"/>
    <mergeCell ref="D19:E19"/>
    <mergeCell ref="F19:G19"/>
    <mergeCell ref="C5:D5"/>
    <mergeCell ref="E5:F5"/>
    <mergeCell ref="A12:C12"/>
    <mergeCell ref="D11:E11"/>
    <mergeCell ref="A14:C14"/>
    <mergeCell ref="F20:G20"/>
    <mergeCell ref="F18:G18"/>
    <mergeCell ref="F17:G17"/>
    <mergeCell ref="H17:I17"/>
    <mergeCell ref="H11:I11"/>
    <mergeCell ref="A13:C13"/>
    <mergeCell ref="J11:K11"/>
    <mergeCell ref="J20:K20"/>
    <mergeCell ref="H19:I19"/>
    <mergeCell ref="A15:C15"/>
    <mergeCell ref="J22:K22"/>
    <mergeCell ref="A24:C24"/>
    <mergeCell ref="H12:I12"/>
    <mergeCell ref="J12:K12"/>
    <mergeCell ref="D15:E15"/>
    <mergeCell ref="D23:E23"/>
    <mergeCell ref="H14:I14"/>
    <mergeCell ref="A16:C16"/>
    <mergeCell ref="A18:C18"/>
    <mergeCell ref="A1:K1"/>
    <mergeCell ref="F21:G21"/>
    <mergeCell ref="H21:I21"/>
    <mergeCell ref="G5:I5"/>
    <mergeCell ref="J24:K24"/>
    <mergeCell ref="A22:C22"/>
    <mergeCell ref="D17:E17"/>
    <mergeCell ref="A20:C20"/>
    <mergeCell ref="F8:G8"/>
    <mergeCell ref="H16:I16"/>
    <mergeCell ref="J16:K16"/>
    <mergeCell ref="F22:G22"/>
    <mergeCell ref="H22:I22"/>
    <mergeCell ref="D12:E12"/>
    <mergeCell ref="H9:I10"/>
    <mergeCell ref="J9:K10"/>
    <mergeCell ref="J2:K2"/>
    <mergeCell ref="D14:E14"/>
    <mergeCell ref="F14:G14"/>
    <mergeCell ref="F11:G11"/>
    <mergeCell ref="H20:I20"/>
    <mergeCell ref="J14:K14"/>
    <mergeCell ref="J13:K13"/>
    <mergeCell ref="D21:E21"/>
    <mergeCell ref="F12:G12"/>
    <mergeCell ref="F24:G24"/>
    <mergeCell ref="A8:C8"/>
    <mergeCell ref="J15:K15"/>
    <mergeCell ref="A17:C17"/>
    <mergeCell ref="A10:C10"/>
    <mergeCell ref="D16:E16"/>
    <mergeCell ref="A19:C19"/>
    <mergeCell ref="A9:C9"/>
    <mergeCell ref="D18:E18"/>
    <mergeCell ref="D8:E8"/>
    <mergeCell ref="A11:C11"/>
    <mergeCell ref="H24:I24"/>
    <mergeCell ref="H18:I18"/>
    <mergeCell ref="J18:K18"/>
    <mergeCell ref="H8:I8"/>
    <mergeCell ref="J8:K8"/>
    <mergeCell ref="B4:I4"/>
    <mergeCell ref="J17:K17"/>
  </mergeCells>
  <dataValidations count="1">
    <dataValidation sqref="D11:I14 D16:I22" showDropDown="0" showInputMessage="1"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0"/>
</worksheet>
</file>

<file path=xl/worksheets/sheet21.xml><?xml version="1.0" encoding="utf-8"?>
<worksheet xmlns="http://schemas.openxmlformats.org/spreadsheetml/2006/main">
  <sheetPr codeName="Feuil20">
    <tabColor theme="4" tint="0.5999938962981048"/>
    <outlinePr summaryBelow="1" summaryRight="1"/>
    <pageSetUpPr fitToPage="1"/>
  </sheetPr>
  <dimension ref="A1:H26"/>
  <sheetViews>
    <sheetView showGridLines="0" topLeftCell="A13" zoomScaleNormal="100" workbookViewId="0">
      <selection activeCell="B14" sqref="B14"/>
    </sheetView>
  </sheetViews>
  <sheetFormatPr baseColWidth="10" defaultRowHeight="15"/>
  <cols>
    <col width="17" customWidth="1" style="1225" min="2" max="2"/>
    <col width="27.7109375" customWidth="1" style="1225" min="3" max="3"/>
    <col width="17.28515625" customWidth="1" style="1225" min="4" max="8"/>
  </cols>
  <sheetData>
    <row r="1">
      <c r="A1" s="1429" t="inlineStr">
        <is>
          <t>- 0 -</t>
        </is>
      </c>
    </row>
    <row r="2" ht="24.95" customHeight="1" s="1225">
      <c r="A2" s="1429" t="n"/>
      <c r="B2" s="1429" t="n"/>
      <c r="C2" s="1429" t="n"/>
      <c r="D2" s="1429" t="n"/>
      <c r="E2" s="1429" t="n"/>
      <c r="F2" s="1429" t="n"/>
      <c r="G2" s="1438" t="inlineStr">
        <is>
          <t>NOTE 3D
SYSTEME NORMAL</t>
        </is>
      </c>
      <c r="H2" s="1411" t="n"/>
    </row>
    <row r="3" ht="15" customFormat="1" customHeight="1" s="127">
      <c r="A3" s="1451" t="inlineStr">
        <is>
          <t>Dénomination sociale de l'entité :</t>
        </is>
      </c>
      <c r="B3" s="1451" t="n"/>
      <c r="C3" s="1276">
        <f>'NOTE 1'!C3</f>
        <v/>
      </c>
      <c r="D3" s="1277" t="n"/>
      <c r="E3" s="1277" t="n"/>
      <c r="F3" s="1277" t="n"/>
      <c r="G3" s="1277" t="n"/>
      <c r="H3" s="1277" t="n"/>
    </row>
    <row r="4" ht="15" customFormat="1" customHeight="1" s="127">
      <c r="A4" s="1451" t="inlineStr">
        <is>
          <t>Adresse :</t>
        </is>
      </c>
      <c r="B4" s="1276">
        <f>'NOTE 1'!B4</f>
        <v/>
      </c>
      <c r="C4" s="1277" t="n"/>
      <c r="D4" s="1277" t="n"/>
      <c r="E4" s="1277" t="n"/>
      <c r="F4" s="1277" t="n"/>
      <c r="G4" s="1589" t="inlineStr">
        <is>
          <t>Sigle usuel :</t>
        </is>
      </c>
      <c r="H4" s="1285">
        <f>'NOTE 1'!I4</f>
        <v/>
      </c>
    </row>
    <row r="5" ht="15" customFormat="1" customHeight="1" s="127">
      <c r="A5" s="1451" t="inlineStr">
        <is>
          <t>N° IFU :</t>
        </is>
      </c>
      <c r="B5" s="1451" t="n"/>
      <c r="C5" s="1276">
        <f>'NOTE 1'!C5</f>
        <v/>
      </c>
      <c r="D5" s="1457" t="inlineStr">
        <is>
          <t>Exercice clos le :</t>
        </is>
      </c>
      <c r="E5" s="1601" t="n"/>
      <c r="F5" s="1279" t="n"/>
      <c r="G5" s="1589" t="inlineStr">
        <is>
          <t>Durée (en mois) :</t>
        </is>
      </c>
      <c r="H5" s="1970">
        <f>'NOTE 1'!I5</f>
        <v/>
      </c>
    </row>
    <row r="6" ht="15" customFormat="1" customHeight="1" s="127">
      <c r="A6" s="1451" t="inlineStr">
        <is>
          <t xml:space="preserve">N° de télédéclarant (NES): </t>
        </is>
      </c>
      <c r="B6" s="1451" t="n"/>
      <c r="C6" s="1488">
        <f>'NOTE 1'!C6</f>
        <v/>
      </c>
      <c r="D6" s="253" t="n"/>
      <c r="E6" s="1634" t="n"/>
      <c r="F6" s="1634" t="n"/>
      <c r="G6" s="254" t="n"/>
      <c r="H6" s="1970" t="n"/>
    </row>
    <row r="7" ht="35.1" customHeight="1" s="1225" thickBot="1">
      <c r="A7" s="1341" t="inlineStr">
        <is>
          <t>NOTE 3D : IMMOBILISATIONS (PLUS-VALUES ET MOINS- VALUES DE CESSION)</t>
        </is>
      </c>
    </row>
    <row r="8" ht="37.5" customFormat="1" customHeight="1" s="1356">
      <c r="A8" s="1600" t="inlineStr">
        <is>
          <t>SITUATIONS ET MOUVEMENTS</t>
        </is>
      </c>
      <c r="B8" s="1300" t="n"/>
      <c r="C8" s="1514" t="n"/>
      <c r="D8" s="818" t="inlineStr">
        <is>
          <t>MONTANT BRUT</t>
        </is>
      </c>
      <c r="E8" s="818" t="inlineStr">
        <is>
          <t>AMORTISSEMENTS
PRATIQUES</t>
        </is>
      </c>
      <c r="F8" s="818" t="inlineStr">
        <is>
          <t>VALEUR
COMPTABLE
NETTE</t>
        </is>
      </c>
      <c r="G8" s="818" t="inlineStr">
        <is>
          <t>PRIX DE CESSION</t>
        </is>
      </c>
      <c r="H8" s="819" t="inlineStr">
        <is>
          <t>PLUS-VALUE OU
MOINS-VALUE</t>
        </is>
      </c>
    </row>
    <row r="9" ht="20.25" customFormat="1" customHeight="1" s="1356">
      <c r="A9" s="1545" t="inlineStr">
        <is>
          <t>RUBRIQUES</t>
        </is>
      </c>
      <c r="B9" s="1516" t="n"/>
      <c r="C9" s="1517" t="n"/>
      <c r="D9" s="1547" t="inlineStr">
        <is>
          <t>A</t>
        </is>
      </c>
      <c r="E9" s="1547" t="inlineStr">
        <is>
          <t>B</t>
        </is>
      </c>
      <c r="F9" s="1547" t="inlineStr">
        <is>
          <t>C = A - B</t>
        </is>
      </c>
      <c r="G9" s="1547" t="inlineStr">
        <is>
          <t>D</t>
        </is>
      </c>
      <c r="H9" s="1564" t="inlineStr">
        <is>
          <t>E = D - C</t>
        </is>
      </c>
    </row>
    <row r="10" ht="17.1" customFormat="1" customHeight="1" s="1590">
      <c r="A10" s="1575" t="inlineStr">
        <is>
          <t>Frais de développement et de prospection</t>
        </is>
      </c>
      <c r="C10" s="1550" t="n"/>
      <c r="D10" s="65" t="n"/>
      <c r="E10" s="65" t="n"/>
      <c r="F10" s="46">
        <f>D10-E10</f>
        <v/>
      </c>
      <c r="G10" s="65" t="n"/>
      <c r="H10" s="814">
        <f>G10-F10</f>
        <v/>
      </c>
    </row>
    <row r="11" ht="17.1" customFormat="1" customHeight="1" s="1590">
      <c r="A11" s="1575" t="inlineStr">
        <is>
          <t xml:space="preserve">Brevets, licences, logiciels et droits similaires </t>
        </is>
      </c>
      <c r="C11" s="1550" t="n"/>
      <c r="D11" s="65" t="n"/>
      <c r="E11" s="65" t="n"/>
      <c r="F11" s="46">
        <f>D11-E11</f>
        <v/>
      </c>
      <c r="G11" s="65" t="n"/>
      <c r="H11" s="814">
        <f>G11-F11</f>
        <v/>
      </c>
    </row>
    <row r="12" ht="17.1" customFormat="1" customHeight="1" s="1590">
      <c r="A12" s="1575" t="inlineStr">
        <is>
          <t>Fonds commercial et droit au bail</t>
        </is>
      </c>
      <c r="C12" s="1550" t="n"/>
      <c r="D12" s="65" t="n"/>
      <c r="E12" s="65" t="n"/>
      <c r="F12" s="46">
        <f>D12-E12</f>
        <v/>
      </c>
      <c r="G12" s="65" t="n"/>
      <c r="H12" s="814">
        <f>G12-F12</f>
        <v/>
      </c>
    </row>
    <row r="13" ht="17.1" customFormat="1" customHeight="1" s="1590">
      <c r="A13" s="1575" t="inlineStr">
        <is>
          <t>Autres immobilisations incorporelles</t>
        </is>
      </c>
      <c r="C13" s="1550" t="n"/>
      <c r="D13" s="65" t="n"/>
      <c r="E13" s="65" t="n"/>
      <c r="F13" s="46">
        <f>D13-E13</f>
        <v/>
      </c>
      <c r="G13" s="65" t="n"/>
      <c r="H13" s="814">
        <f>G13-F13</f>
        <v/>
      </c>
    </row>
    <row r="14" ht="17.1" customFormat="1" customHeight="1" s="1590">
      <c r="A14" s="1525" t="inlineStr">
        <is>
          <t>IMMOBILISATIONS INCORPORELLES</t>
        </is>
      </c>
      <c r="B14" s="1420" t="n"/>
      <c r="C14" s="1411" t="n"/>
      <c r="D14" s="130">
        <f>SUM(D10:D13)</f>
        <v/>
      </c>
      <c r="E14" s="130">
        <f>SUM(E10:E13)</f>
        <v/>
      </c>
      <c r="F14" s="130">
        <f>SUM(F10:F13)</f>
        <v/>
      </c>
      <c r="G14" s="130">
        <f>SUM(G10:G13)</f>
        <v/>
      </c>
      <c r="H14" s="821">
        <f>SUM(H10:H13)</f>
        <v/>
      </c>
    </row>
    <row r="15" ht="17.1" customFormat="1" customHeight="1" s="1590">
      <c r="A15" s="1575" t="inlineStr">
        <is>
          <t xml:space="preserve">Terrains </t>
        </is>
      </c>
      <c r="C15" s="1550" t="n"/>
      <c r="D15" s="65" t="n"/>
      <c r="E15" s="65" t="n"/>
      <c r="F15" s="46">
        <f>D15-E15</f>
        <v/>
      </c>
      <c r="G15" s="65" t="n"/>
      <c r="H15" s="814">
        <f>G15-F15</f>
        <v/>
      </c>
    </row>
    <row r="16" ht="17.1" customFormat="1" customHeight="1" s="1590">
      <c r="A16" s="1575" t="inlineStr">
        <is>
          <t>Bâtiments</t>
        </is>
      </c>
      <c r="C16" s="1550" t="n"/>
      <c r="D16" s="65" t="n"/>
      <c r="E16" s="65" t="n"/>
      <c r="F16" s="46">
        <f>D16-E16</f>
        <v/>
      </c>
      <c r="G16" s="65" t="n"/>
      <c r="H16" s="814">
        <f>G16-F16</f>
        <v/>
      </c>
    </row>
    <row r="17" ht="17.1" customFormat="1" customHeight="1" s="1590">
      <c r="A17" s="1575" t="inlineStr">
        <is>
          <t xml:space="preserve">Aménagements, agencements et installations </t>
        </is>
      </c>
      <c r="C17" s="1550" t="n"/>
      <c r="D17" s="65" t="n"/>
      <c r="E17" s="65" t="n"/>
      <c r="F17" s="46">
        <f>D17-E17</f>
        <v/>
      </c>
      <c r="G17" s="65" t="n"/>
      <c r="H17" s="814">
        <f>G17-F17</f>
        <v/>
      </c>
    </row>
    <row r="18" ht="17.1" customFormat="1" customHeight="1" s="1590">
      <c r="A18" s="1575" t="inlineStr">
        <is>
          <t>Matériel, mobilier et actifs biologiques</t>
        </is>
      </c>
      <c r="C18" s="1550" t="n"/>
      <c r="D18" s="65" t="n"/>
      <c r="E18" s="65" t="n"/>
      <c r="F18" s="46">
        <f>D18-E18</f>
        <v/>
      </c>
      <c r="G18" s="65" t="n"/>
      <c r="H18" s="814">
        <f>G18-F18</f>
        <v/>
      </c>
    </row>
    <row r="19" ht="17.1" customFormat="1" customHeight="1" s="1590">
      <c r="A19" s="1575" t="inlineStr">
        <is>
          <t>Matériel de transport</t>
        </is>
      </c>
      <c r="C19" s="1550" t="n"/>
      <c r="D19" s="65" t="n"/>
      <c r="E19" s="65" t="n"/>
      <c r="F19" s="46">
        <f>D19-E19</f>
        <v/>
      </c>
      <c r="G19" s="65" t="n"/>
      <c r="H19" s="814">
        <f>G19-F19</f>
        <v/>
      </c>
    </row>
    <row r="20" ht="17.1" customFormat="1" customHeight="1" s="1590">
      <c r="A20" s="1525" t="inlineStr">
        <is>
          <t>IMMOBILISATIONS CORPORELLES</t>
        </is>
      </c>
      <c r="B20" s="1420" t="n"/>
      <c r="C20" s="1411" t="n"/>
      <c r="D20" s="130">
        <f>SUM(D15:D19)</f>
        <v/>
      </c>
      <c r="E20" s="130">
        <f>SUM(E15:E19)</f>
        <v/>
      </c>
      <c r="F20" s="130">
        <f>SUM(F15:F19)</f>
        <v/>
      </c>
      <c r="G20" s="130">
        <f>SUM(G15:G19)</f>
        <v/>
      </c>
      <c r="H20" s="821">
        <f>SUM(H15:H19)</f>
        <v/>
      </c>
    </row>
    <row r="21" ht="17.1" customFormat="1" customHeight="1" s="1590">
      <c r="A21" s="1575" t="inlineStr">
        <is>
          <t>Titres de participations</t>
        </is>
      </c>
      <c r="C21" s="1550" t="n"/>
      <c r="D21" s="65" t="n"/>
      <c r="E21" s="65" t="n"/>
      <c r="F21" s="46">
        <f>D21-E21</f>
        <v/>
      </c>
      <c r="G21" s="65" t="n"/>
      <c r="H21" s="814">
        <f>G21-F21</f>
        <v/>
      </c>
    </row>
    <row r="22" ht="17.1" customFormat="1" customHeight="1" s="1590">
      <c r="A22" s="1575" t="inlineStr">
        <is>
          <t>Autres immobilisations financières</t>
        </is>
      </c>
      <c r="C22" s="1550" t="n"/>
      <c r="D22" s="65" t="n"/>
      <c r="E22" s="65" t="n"/>
      <c r="F22" s="46">
        <f>D22-E22</f>
        <v/>
      </c>
      <c r="G22" s="65" t="n"/>
      <c r="H22" s="814">
        <f>G22-F22</f>
        <v/>
      </c>
    </row>
    <row r="23" ht="17.1" customFormat="1" customHeight="1" s="1590">
      <c r="A23" s="1525" t="inlineStr">
        <is>
          <t>IMMOBILISATIONS FINANCIERES</t>
        </is>
      </c>
      <c r="B23" s="1420" t="n"/>
      <c r="C23" s="1411" t="n"/>
      <c r="D23" s="130">
        <f>SUM(D21:D22)</f>
        <v/>
      </c>
      <c r="E23" s="130">
        <f>SUM(E21:E22)</f>
        <v/>
      </c>
      <c r="F23" s="130">
        <f>SUM(F21:F22)</f>
        <v/>
      </c>
      <c r="G23" s="130">
        <f>SUM(G21:G22)</f>
        <v/>
      </c>
      <c r="H23" s="821">
        <f>SUM(H21:H22)</f>
        <v/>
      </c>
    </row>
    <row r="24" ht="16.5" customFormat="1" customHeight="1" s="1590" thickBot="1">
      <c r="A24" s="1539" t="inlineStr">
        <is>
          <t>TOTAL GENERAL</t>
        </is>
      </c>
      <c r="B24" s="1527" t="n"/>
      <c r="C24" s="1528" t="n"/>
      <c r="D24" s="816">
        <f>D14+D20+D23</f>
        <v/>
      </c>
      <c r="E24" s="816">
        <f>E14+E20+E23</f>
        <v/>
      </c>
      <c r="F24" s="816">
        <f>F14+F20+F23</f>
        <v/>
      </c>
      <c r="G24" s="816">
        <f>G14+G20+G23</f>
        <v/>
      </c>
      <c r="H24" s="817">
        <f>H14+H20+H23</f>
        <v/>
      </c>
    </row>
    <row r="25" ht="10.15" customFormat="1" customHeight="1" s="1356">
      <c r="A25" s="613" t="inlineStr">
        <is>
          <t>Commentaire :</t>
        </is>
      </c>
    </row>
    <row r="26" ht="10.15" customFormat="1" customHeight="1" s="1356">
      <c r="A26" s="554" t="inlineStr">
        <is>
          <t>●   Mentionner la justification de la cession ainsi que la date d'acquisition et la date de sortie.</t>
        </is>
      </c>
    </row>
  </sheetData>
  <mergeCells count="23">
    <mergeCell ref="B4:F4"/>
    <mergeCell ref="G2:H2"/>
    <mergeCell ref="E5:F5"/>
    <mergeCell ref="A18:C18"/>
    <mergeCell ref="A21:C21"/>
    <mergeCell ref="A1:H1"/>
    <mergeCell ref="A12:C12"/>
    <mergeCell ref="A7:H7"/>
    <mergeCell ref="A23:C23"/>
    <mergeCell ref="A8:C8"/>
    <mergeCell ref="A14:C14"/>
    <mergeCell ref="A22:C22"/>
    <mergeCell ref="A17:C17"/>
    <mergeCell ref="A20:C20"/>
    <mergeCell ref="A10:C10"/>
    <mergeCell ref="A19:C19"/>
    <mergeCell ref="A13:C13"/>
    <mergeCell ref="A9:C9"/>
    <mergeCell ref="C3:H3"/>
    <mergeCell ref="A15:C15"/>
    <mergeCell ref="A24:C24"/>
    <mergeCell ref="A11:C11"/>
    <mergeCell ref="A16:C16"/>
  </mergeCells>
  <dataValidations count="1">
    <dataValidation sqref="D10:E13 D15:E19 D21:E22 G10:G13 G15:G19 G21:G22" showDropDown="0" showInputMessage="1"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8"/>
</worksheet>
</file>

<file path=xl/worksheets/sheet22.xml><?xml version="1.0" encoding="utf-8"?>
<worksheet xmlns="http://schemas.openxmlformats.org/spreadsheetml/2006/main">
  <sheetPr codeName="Feuil21">
    <tabColor theme="4" tint="0.5999938962981048"/>
    <outlinePr summaryBelow="1" summaryRight="1"/>
    <pageSetUpPr fitToPage="1"/>
  </sheetPr>
  <dimension ref="A1:I23"/>
  <sheetViews>
    <sheetView showGridLines="0" topLeftCell="A10" workbookViewId="0">
      <selection activeCell="B14" sqref="B14"/>
    </sheetView>
  </sheetViews>
  <sheetFormatPr baseColWidth="10" defaultRowHeight="15"/>
  <cols>
    <col width="15.5703125" customWidth="1" style="1225" min="2" max="2"/>
    <col width="15.85546875" customWidth="1" style="1225" min="3" max="3"/>
    <col width="14.28515625" customWidth="1" style="1225" min="4" max="4"/>
    <col width="11.42578125" customWidth="1" style="1225" min="5" max="5"/>
    <col width="12.5703125" customWidth="1" style="1225" min="6" max="6"/>
    <col width="13" customWidth="1" style="1225" min="7" max="7"/>
    <col width="12.5703125" customWidth="1" style="1225" min="8" max="9"/>
  </cols>
  <sheetData>
    <row r="1">
      <c r="A1" s="1429" t="inlineStr">
        <is>
          <t>- 0 -</t>
        </is>
      </c>
    </row>
    <row r="2" ht="24.95" customHeight="1" s="1225">
      <c r="A2" s="1429" t="n"/>
      <c r="B2" s="1429" t="n"/>
      <c r="C2" s="1429" t="n"/>
      <c r="D2" s="1429" t="n"/>
      <c r="E2" s="1429" t="n"/>
      <c r="G2" s="29" t="n"/>
      <c r="H2" s="1328" t="inlineStr">
        <is>
          <t>NOTE 3E
SYSTEME NORMAL</t>
        </is>
      </c>
      <c r="I2" s="1274" t="n"/>
    </row>
    <row r="3" ht="15" customFormat="1" customHeight="1" s="127">
      <c r="A3" s="1451" t="inlineStr">
        <is>
          <t>Dénomination sociale de l'entité :</t>
        </is>
      </c>
      <c r="B3" s="1451" t="n"/>
      <c r="C3" s="1276">
        <f>'NOTE 1'!C3</f>
        <v/>
      </c>
      <c r="D3" s="1277" t="n"/>
      <c r="E3" s="1277" t="n"/>
      <c r="F3" s="1277" t="n"/>
      <c r="G3" s="1277" t="n"/>
      <c r="H3" s="1277" t="n"/>
      <c r="I3" s="1277" t="n"/>
    </row>
    <row r="4" ht="15" customFormat="1" customHeight="1" s="127">
      <c r="A4" s="1451" t="inlineStr">
        <is>
          <t>Adresse :</t>
        </is>
      </c>
      <c r="B4" s="1276">
        <f>'NOTE 1'!B4</f>
        <v/>
      </c>
      <c r="C4" s="1276" t="n"/>
      <c r="D4" s="1276" t="n"/>
      <c r="E4" s="1276" t="n"/>
      <c r="F4" s="296" t="n"/>
      <c r="G4" s="1993" t="n"/>
      <c r="H4" s="1589" t="inlineStr">
        <is>
          <t>Sigle usuel :</t>
        </is>
      </c>
      <c r="I4" s="1970">
        <f>'NOTE 1'!I4</f>
        <v/>
      </c>
    </row>
    <row r="5" ht="15" customFormat="1" customHeight="1" s="127">
      <c r="A5" s="1451" t="inlineStr">
        <is>
          <t>N° IFU :</t>
        </is>
      </c>
      <c r="B5" s="1451" t="n"/>
      <c r="C5" s="1280">
        <f>'NOTE 1'!C5</f>
        <v/>
      </c>
      <c r="D5" s="1457" t="inlineStr">
        <is>
          <t>Exercice clos le :</t>
        </is>
      </c>
      <c r="E5" s="1634" t="n"/>
      <c r="F5" s="295" t="n"/>
      <c r="G5" s="254" t="n"/>
      <c r="H5" s="1589" t="inlineStr">
        <is>
          <t>Durée (en mois) :</t>
        </is>
      </c>
      <c r="I5" s="111">
        <f>'NOTE 1'!I5</f>
        <v/>
      </c>
    </row>
    <row r="6" ht="15" customFormat="1" customHeight="1" s="127">
      <c r="A6" s="1451" t="inlineStr">
        <is>
          <t xml:space="preserve">N° de télédéclarant (NES): </t>
        </is>
      </c>
      <c r="B6" s="1451" t="n"/>
      <c r="C6" s="1488">
        <f>'NOTE 1'!C6</f>
        <v/>
      </c>
      <c r="D6" s="1288" t="n"/>
      <c r="E6" s="1634" t="n"/>
      <c r="F6" s="254" t="n"/>
      <c r="G6" s="254" t="n"/>
      <c r="H6" s="254" t="n"/>
      <c r="I6" s="1970" t="n"/>
    </row>
    <row r="7" ht="35.1" customHeight="1" s="1225" thickBot="1">
      <c r="A7" s="1341" t="inlineStr">
        <is>
          <t>NOTE 3E : INFORMATIONS SUR LES REEVALUATIONS EFFECTUEES PAR L'ENTITE</t>
        </is>
      </c>
    </row>
    <row r="8" ht="15" customHeight="1" s="1225">
      <c r="A8" s="1611" t="inlineStr">
        <is>
          <t>Nature et date des réévaluations :</t>
        </is>
      </c>
      <c r="B8" s="1300" t="n"/>
      <c r="C8" s="1300" t="n"/>
      <c r="D8" s="1300" t="n"/>
      <c r="E8" s="1300" t="n"/>
      <c r="F8" s="1300" t="n"/>
      <c r="G8" s="1300" t="n"/>
      <c r="H8" s="1300" t="n"/>
      <c r="I8" s="1301" t="n"/>
    </row>
    <row r="9" ht="108" customHeight="1" s="1225">
      <c r="A9" s="1607" t="n"/>
      <c r="B9" s="1608" t="n"/>
      <c r="C9" s="1608" t="n"/>
      <c r="D9" s="1608" t="n"/>
      <c r="E9" s="1608" t="n"/>
      <c r="F9" s="1608" t="n"/>
      <c r="G9" s="1608" t="n"/>
      <c r="H9" s="1608" t="n"/>
      <c r="I9" s="1609" t="n"/>
    </row>
    <row r="10" ht="42.75" customHeight="1" s="1225">
      <c r="A10" s="1610" t="inlineStr">
        <is>
          <t>Eléments réévalués par postes du bilan</t>
        </is>
      </c>
      <c r="B10" s="1420" t="n"/>
      <c r="C10" s="1420" t="n"/>
      <c r="D10" s="1420" t="n"/>
      <c r="E10" s="1411" t="n"/>
      <c r="F10" s="1547" t="inlineStr">
        <is>
          <t>Montants en
coûts
historiques</t>
        </is>
      </c>
      <c r="G10" s="1547" t="inlineStr">
        <is>
          <t>Montant réévalués</t>
        </is>
      </c>
      <c r="H10" s="1547" t="inlineStr">
        <is>
          <t>Ecarts de réévaluation</t>
        </is>
      </c>
      <c r="I10" s="1564" t="inlineStr">
        <is>
          <t>Amortissements
supplémentaires</t>
        </is>
      </c>
    </row>
    <row r="11" ht="15.75" customHeight="1" s="1225">
      <c r="A11" s="1603" t="n"/>
      <c r="B11" s="1395" t="n"/>
      <c r="C11" s="1395" t="n"/>
      <c r="D11" s="1395" t="n"/>
      <c r="E11" s="1396" t="n"/>
      <c r="F11" s="1570" t="n"/>
      <c r="G11" s="1570" t="n"/>
      <c r="H11" s="1570" t="n"/>
      <c r="I11" s="798" t="n"/>
    </row>
    <row r="12" ht="15.75" customHeight="1" s="1225">
      <c r="A12" s="1603" t="n"/>
      <c r="B12" s="1395" t="n"/>
      <c r="C12" s="1395" t="n"/>
      <c r="D12" s="1395" t="n"/>
      <c r="E12" s="1396" t="n"/>
      <c r="F12" s="1570" t="n"/>
      <c r="G12" s="1570" t="n"/>
      <c r="H12" s="1570" t="n"/>
      <c r="I12" s="798" t="n"/>
    </row>
    <row r="13" ht="15.75" customHeight="1" s="1225">
      <c r="A13" s="1603" t="n"/>
      <c r="B13" s="1395" t="n"/>
      <c r="C13" s="1395" t="n"/>
      <c r="D13" s="1395" t="n"/>
      <c r="E13" s="1396" t="n"/>
      <c r="F13" s="1570" t="n"/>
      <c r="G13" s="1570" t="n"/>
      <c r="H13" s="1570" t="n"/>
      <c r="I13" s="798" t="n"/>
    </row>
    <row r="14" ht="15.75" customHeight="1" s="1225">
      <c r="A14" s="1603" t="n"/>
      <c r="B14" s="1395" t="n"/>
      <c r="C14" s="1395" t="n"/>
      <c r="D14" s="1395" t="n"/>
      <c r="E14" s="1396" t="n"/>
      <c r="F14" s="1570" t="n"/>
      <c r="G14" s="1570" t="n"/>
      <c r="H14" s="1570" t="n"/>
      <c r="I14" s="798" t="n"/>
    </row>
    <row r="15" ht="15.75" customHeight="1" s="1225">
      <c r="A15" s="1603" t="n"/>
      <c r="B15" s="1395" t="n"/>
      <c r="C15" s="1395" t="n"/>
      <c r="D15" s="1395" t="n"/>
      <c r="E15" s="1396" t="n"/>
      <c r="F15" s="1570" t="n"/>
      <c r="G15" s="1570" t="n"/>
      <c r="H15" s="1570" t="n"/>
      <c r="I15" s="798" t="n"/>
    </row>
    <row r="16" ht="15.75" customHeight="1" s="1225">
      <c r="A16" s="1603" t="n"/>
      <c r="B16" s="1395" t="n"/>
      <c r="C16" s="1395" t="n"/>
      <c r="D16" s="1395" t="n"/>
      <c r="E16" s="1396" t="n"/>
      <c r="F16" s="1570" t="n"/>
      <c r="G16" s="1570" t="n"/>
      <c r="H16" s="1570" t="n"/>
      <c r="I16" s="798" t="n"/>
    </row>
    <row r="17" ht="15.75" customHeight="1" s="1225">
      <c r="A17" s="1603" t="n"/>
      <c r="B17" s="1395" t="n"/>
      <c r="C17" s="1395" t="n"/>
      <c r="D17" s="1395" t="n"/>
      <c r="E17" s="1396" t="n"/>
      <c r="F17" s="1570" t="n"/>
      <c r="G17" s="1570" t="n"/>
      <c r="H17" s="1570" t="n"/>
      <c r="I17" s="798" t="n"/>
    </row>
    <row r="18" ht="15.75" customHeight="1" s="1225">
      <c r="A18" s="1614" t="inlineStr">
        <is>
          <t>TOTAL GENERAL</t>
        </is>
      </c>
      <c r="B18" s="1395" t="n"/>
      <c r="C18" s="1395" t="n"/>
      <c r="D18" s="1395" t="n"/>
      <c r="E18" s="1396" t="n"/>
      <c r="F18" s="294">
        <f>SUM(F11:F17)</f>
        <v/>
      </c>
      <c r="G18" s="294">
        <f>SUM(G11:G17)</f>
        <v/>
      </c>
      <c r="H18" s="294">
        <f>SUM(H11:H17)</f>
        <v/>
      </c>
      <c r="I18" s="822">
        <f>SUM(I11:I17)</f>
        <v/>
      </c>
    </row>
    <row r="19" ht="15" customHeight="1" s="1225">
      <c r="A19" s="1605" t="inlineStr">
        <is>
          <t>Méthode de réévaluation utilisée :</t>
        </is>
      </c>
      <c r="B19" s="1582" t="n"/>
      <c r="C19" s="1582" t="n"/>
      <c r="D19" s="1582" t="n"/>
      <c r="E19" s="1582" t="n"/>
      <c r="F19" s="1582" t="n"/>
      <c r="G19" s="1582" t="n"/>
      <c r="H19" s="1582" t="n"/>
      <c r="I19" s="1606" t="n"/>
    </row>
    <row r="20" ht="108" customHeight="1" s="1225">
      <c r="A20" s="1613" t="n"/>
      <c r="B20" s="1608" t="n"/>
      <c r="C20" s="1608" t="n"/>
      <c r="D20" s="1608" t="n"/>
      <c r="E20" s="1608" t="n"/>
      <c r="F20" s="1608" t="n"/>
      <c r="G20" s="1608" t="n"/>
      <c r="H20" s="1608" t="n"/>
      <c r="I20" s="1609" t="n"/>
    </row>
    <row r="21" ht="15" customHeight="1" s="1225">
      <c r="A21" s="1605" t="inlineStr">
        <is>
          <t>Traitement fiscal de l'écart de réévaluation et des amortissements supplémentaires :</t>
        </is>
      </c>
      <c r="B21" s="1582" t="n"/>
      <c r="C21" s="1582" t="n"/>
      <c r="D21" s="1582" t="n"/>
      <c r="E21" s="1582" t="n"/>
      <c r="F21" s="1582" t="n"/>
      <c r="G21" s="1582" t="n"/>
      <c r="H21" s="1582" t="n"/>
      <c r="I21" s="1606" t="n"/>
    </row>
    <row r="22" ht="108" customHeight="1" s="1225">
      <c r="A22" s="1612" t="n"/>
      <c r="B22" s="1229" t="n"/>
      <c r="C22" s="1229" t="n"/>
      <c r="D22" s="1229" t="n"/>
      <c r="E22" s="1229" t="n"/>
      <c r="F22" s="1229" t="n"/>
      <c r="G22" s="1229" t="n"/>
      <c r="H22" s="1229" t="n"/>
      <c r="I22" s="1534" t="n"/>
    </row>
    <row r="23" ht="20.25" customHeight="1" s="1225" thickBot="1">
      <c r="A23" s="1604" t="inlineStr">
        <is>
          <t>Montant de l'écart incorporé au capital :</t>
        </is>
      </c>
      <c r="B23" s="1527" t="n"/>
      <c r="C23" s="1527" t="n"/>
      <c r="D23" s="1527" t="n"/>
      <c r="E23" s="1527" t="n"/>
      <c r="F23" s="1527" t="n"/>
      <c r="G23" s="1528" t="n"/>
      <c r="H23" s="1602" t="n"/>
      <c r="I23" s="1416" t="n"/>
    </row>
  </sheetData>
  <mergeCells count="22">
    <mergeCell ref="A7:I7"/>
    <mergeCell ref="C6:D6"/>
    <mergeCell ref="A15:E15"/>
    <mergeCell ref="A11:E11"/>
    <mergeCell ref="A21:I21"/>
    <mergeCell ref="A16:E16"/>
    <mergeCell ref="C3:I3"/>
    <mergeCell ref="A8:I8"/>
    <mergeCell ref="A22:I22"/>
    <mergeCell ref="A18:E18"/>
    <mergeCell ref="A20:I20"/>
    <mergeCell ref="A12:E12"/>
    <mergeCell ref="H2:I2"/>
    <mergeCell ref="A19:I19"/>
    <mergeCell ref="A9:I9"/>
    <mergeCell ref="A14:E14"/>
    <mergeCell ref="A17:E17"/>
    <mergeCell ref="A10:E10"/>
    <mergeCell ref="A1:I1"/>
    <mergeCell ref="H23:I23"/>
    <mergeCell ref="A13:E13"/>
    <mergeCell ref="A23:G23"/>
  </mergeCells>
  <dataValidations count="1">
    <dataValidation sqref="F11:I17 H23:I23"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81"/>
</worksheet>
</file>

<file path=xl/worksheets/sheet23.xml><?xml version="1.0" encoding="utf-8"?>
<worksheet xmlns="http://schemas.openxmlformats.org/spreadsheetml/2006/main">
  <sheetPr codeName="Feuil22">
    <tabColor theme="4" tint="0.5999938962981048"/>
    <outlinePr summaryBelow="1" summaryRight="1"/>
    <pageSetUpPr/>
  </sheetPr>
  <dimension ref="A1:K41"/>
  <sheetViews>
    <sheetView showGridLines="0" topLeftCell="A22" zoomScaleNormal="100" workbookViewId="0">
      <selection activeCell="B14" sqref="B14"/>
    </sheetView>
  </sheetViews>
  <sheetFormatPr baseColWidth="10" defaultColWidth="11.42578125" defaultRowHeight="15"/>
  <cols>
    <col width="12.28515625" customWidth="1" style="1225" min="2" max="2"/>
    <col width="10.7109375" customWidth="1" style="1225" min="3" max="3"/>
    <col width="13" customWidth="1" style="1225" min="4" max="4"/>
    <col width="20.42578125" customWidth="1" style="1225" min="5" max="5"/>
    <col width="16.140625" customWidth="1" style="1225" min="6" max="7"/>
    <col width="11.5703125" customWidth="1" style="1225" min="8" max="8"/>
    <col width="17.140625" customWidth="1" style="1225" min="9" max="11"/>
  </cols>
  <sheetData>
    <row r="1">
      <c r="A1" s="1275" t="inlineStr">
        <is>
          <t>- 0 -</t>
        </is>
      </c>
      <c r="B1" s="1229" t="n"/>
      <c r="C1" s="1229" t="n"/>
      <c r="D1" s="1229" t="n"/>
      <c r="E1" s="1229" t="n"/>
      <c r="F1" s="1229" t="n"/>
      <c r="G1" s="1229" t="n"/>
      <c r="H1" s="1229" t="n"/>
      <c r="I1" s="1229" t="n"/>
      <c r="J1" s="1229" t="n"/>
      <c r="K1" s="1229" t="n"/>
    </row>
    <row r="2" ht="24.95" customHeight="1" s="1225">
      <c r="A2" s="1429" t="n"/>
      <c r="B2" s="1429" t="n"/>
      <c r="C2" s="1429" t="n"/>
      <c r="D2" s="1429" t="n"/>
      <c r="E2" s="1429" t="n"/>
      <c r="F2" s="1429" t="n"/>
      <c r="G2" s="1429" t="n"/>
      <c r="J2" s="1438" t="inlineStr">
        <is>
          <t>NOTE 4
SYSTEME NORMAL</t>
        </is>
      </c>
      <c r="K2" s="1411" t="n"/>
    </row>
    <row r="3" ht="15" customFormat="1" customHeight="1" s="127">
      <c r="A3" s="1451" t="inlineStr">
        <is>
          <t>Dénomination sociale de l'entité :</t>
        </is>
      </c>
      <c r="B3" s="1451" t="n"/>
      <c r="C3" s="1625">
        <f>'NOTE 1'!C3</f>
        <v/>
      </c>
      <c r="D3" s="1229" t="n"/>
      <c r="E3" s="1229" t="n"/>
      <c r="F3" s="1229" t="n"/>
      <c r="G3" s="1229" t="n"/>
      <c r="H3" s="1229" t="n"/>
      <c r="I3" s="1229" t="n"/>
      <c r="J3" s="1229" t="n"/>
      <c r="K3" s="1229" t="n"/>
    </row>
    <row r="4" ht="15" customFormat="1" customHeight="1" s="127">
      <c r="A4" s="1451" t="inlineStr">
        <is>
          <t>Adresse :</t>
        </is>
      </c>
      <c r="B4" s="1622">
        <f>'NOTE 1'!B4</f>
        <v/>
      </c>
      <c r="C4" s="1352" t="n"/>
      <c r="D4" s="1352" t="n"/>
      <c r="E4" s="1352" t="n"/>
      <c r="F4" s="1352" t="n"/>
      <c r="G4" s="1352" t="n"/>
      <c r="H4" s="1352" t="n"/>
      <c r="I4" s="1589" t="inlineStr">
        <is>
          <t>Sigle usuel :</t>
        </is>
      </c>
      <c r="J4" s="1623">
        <f>'NOTE 1'!I4</f>
        <v/>
      </c>
      <c r="K4" s="1239" t="n"/>
    </row>
    <row r="5" ht="15" customFormat="1" customHeight="1" s="127">
      <c r="A5" s="1451" t="inlineStr">
        <is>
          <t>N° IFU :</t>
        </is>
      </c>
      <c r="B5" s="1451" t="n"/>
      <c r="C5" s="1622">
        <f>'NOTE 1'!C5</f>
        <v/>
      </c>
      <c r="D5" s="1352" t="n"/>
      <c r="E5" s="1352" t="n"/>
      <c r="F5" s="1457" t="inlineStr">
        <is>
          <t>Exercice clos le :</t>
        </is>
      </c>
      <c r="G5" s="1624">
        <f>'NOTE 1'!G5</f>
        <v/>
      </c>
      <c r="H5" s="1380" t="n"/>
      <c r="I5" s="1589" t="inlineStr">
        <is>
          <t>Durée (en mois) :</t>
        </is>
      </c>
      <c r="J5" s="1623">
        <f>'NOTE 1'!I5</f>
        <v/>
      </c>
      <c r="K5" s="1239" t="n"/>
    </row>
    <row r="6" ht="15" customFormat="1" customHeight="1" s="127">
      <c r="A6" s="1451" t="inlineStr">
        <is>
          <t xml:space="preserve">N° de télédéclarant (NES): </t>
        </is>
      </c>
      <c r="B6" s="1451" t="n"/>
      <c r="C6" s="1627">
        <f>'NOTE 1'!C6</f>
        <v/>
      </c>
      <c r="D6" s="1380" t="n"/>
      <c r="E6" s="1380" t="n"/>
      <c r="F6" s="253" t="n"/>
      <c r="G6" s="1634" t="n"/>
      <c r="H6" s="1634" t="n"/>
      <c r="I6" s="254" t="n"/>
      <c r="J6" s="1970" t="n"/>
      <c r="K6" s="295" t="n"/>
    </row>
    <row r="7" ht="27.75" customHeight="1" s="1225" thickBot="1">
      <c r="A7" s="1341" t="inlineStr">
        <is>
          <t>NOTE 4 : IMMOBILISATIONS FINANCIERES</t>
        </is>
      </c>
    </row>
    <row r="8" ht="46.5" customHeight="1" s="1225">
      <c r="A8" s="1626" t="inlineStr">
        <is>
          <t>Libellés</t>
        </is>
      </c>
      <c r="B8" s="1509" t="n"/>
      <c r="C8" s="1509" t="n"/>
      <c r="D8" s="1509" t="n"/>
      <c r="E8" s="1562" t="n"/>
      <c r="F8" s="1561" t="inlineStr">
        <is>
          <t>Année N</t>
        </is>
      </c>
      <c r="G8" s="1561" t="inlineStr">
        <is>
          <t>Année N-1</t>
        </is>
      </c>
      <c r="H8" s="1561" t="inlineStr">
        <is>
          <t>Variation en %</t>
        </is>
      </c>
      <c r="I8" s="1561" t="inlineStr">
        <is>
          <t>Créances 
à un an au plus</t>
        </is>
      </c>
      <c r="J8" s="1561" t="inlineStr">
        <is>
          <t>Créances
à plus d'un an et
à deux ans
au plus</t>
        </is>
      </c>
      <c r="K8" s="813" t="inlineStr">
        <is>
          <t>Créances
à plus de deux
ans</t>
        </is>
      </c>
    </row>
    <row r="9" ht="14.85" customHeight="1" s="1225">
      <c r="A9" s="1512" t="inlineStr">
        <is>
          <t>Titres de participation</t>
        </is>
      </c>
      <c r="B9" s="1420" t="n"/>
      <c r="C9" s="1420" t="n"/>
      <c r="D9" s="1411" t="n"/>
      <c r="E9" s="1411" t="n"/>
      <c r="F9" s="1570" t="n"/>
      <c r="G9" s="1570" t="n"/>
      <c r="H9" s="416">
        <f>IF(G9,(F9-G9)/ABS(G9),IF(ISBLANK(G9),"",IF(F9,IF( F9 &gt; 0,1,-1),"")))</f>
        <v/>
      </c>
      <c r="I9" s="1570" t="n"/>
      <c r="J9" s="1570" t="n"/>
      <c r="K9" s="798" t="n"/>
    </row>
    <row r="10" ht="14.85" customHeight="1" s="1225">
      <c r="A10" s="1512" t="inlineStr">
        <is>
          <t>Prêts et créances</t>
        </is>
      </c>
      <c r="B10" s="1420" t="n"/>
      <c r="C10" s="1420" t="n"/>
      <c r="D10" s="1411" t="n"/>
      <c r="E10" s="1411" t="n"/>
      <c r="F10" s="1570" t="n"/>
      <c r="G10" s="1570" t="n"/>
      <c r="H10" s="416">
        <f>IF(G10,(F10-G10)/ABS(G10),IF(ISBLANK(G10),"",IF(F10,IF( F10 &gt; 0,1,-1),"")))</f>
        <v/>
      </c>
      <c r="I10" s="1570" t="n"/>
      <c r="J10" s="1570" t="n"/>
      <c r="K10" s="798" t="n"/>
    </row>
    <row r="11" ht="14.85" customHeight="1" s="1225">
      <c r="A11" s="1512" t="inlineStr">
        <is>
          <t>Prêt au personnel</t>
        </is>
      </c>
      <c r="B11" s="1420" t="n"/>
      <c r="C11" s="1420" t="n"/>
      <c r="D11" s="1411" t="n"/>
      <c r="E11" s="1411" t="n"/>
      <c r="F11" s="1570" t="n"/>
      <c r="G11" s="1570" t="n"/>
      <c r="H11" s="416">
        <f>IF(G11,(F11-G11)/ABS(G11),IF(ISBLANK(G11),"",IF(F11,IF( F11 &gt; 0,1,-1),"")))</f>
        <v/>
      </c>
      <c r="I11" s="1570" t="n"/>
      <c r="J11" s="1570" t="n"/>
      <c r="K11" s="798" t="n"/>
    </row>
    <row r="12" ht="14.85" customHeight="1" s="1225">
      <c r="A12" s="1512" t="inlineStr">
        <is>
          <t>Créances sur l'état</t>
        </is>
      </c>
      <c r="B12" s="1420" t="n"/>
      <c r="C12" s="1420" t="n"/>
      <c r="D12" s="1411" t="n"/>
      <c r="E12" s="1411" t="n"/>
      <c r="F12" s="1570" t="n"/>
      <c r="G12" s="1570" t="n"/>
      <c r="H12" s="416">
        <f>IF(G12,(F12-G12)/ABS(G12),IF(ISBLANK(G12),"",IF(F12,IF( F12 &gt; 0,1,-1),"")))</f>
        <v/>
      </c>
      <c r="I12" s="1570" t="n"/>
      <c r="J12" s="1570" t="n"/>
      <c r="K12" s="798" t="n"/>
    </row>
    <row r="13" ht="14.85" customHeight="1" s="1225">
      <c r="A13" s="1512" t="inlineStr">
        <is>
          <t>Titres immobilisés</t>
        </is>
      </c>
      <c r="B13" s="1420" t="n"/>
      <c r="C13" s="1420" t="n"/>
      <c r="D13" s="1411" t="n"/>
      <c r="E13" s="1411" t="n"/>
      <c r="F13" s="1570" t="n"/>
      <c r="G13" s="1570" t="n"/>
      <c r="H13" s="416">
        <f>IF(G13,(F13-G13)/ABS(G13),IF(ISBLANK(G13),"",IF(F13,IF( F13 &gt; 0,1,-1),"")))</f>
        <v/>
      </c>
      <c r="I13" s="1570" t="n"/>
      <c r="J13" s="1570" t="n"/>
      <c r="K13" s="798" t="n"/>
    </row>
    <row r="14" ht="14.85" customHeight="1" s="1225">
      <c r="A14" s="1512" t="inlineStr">
        <is>
          <t>Dépôts et cautionnements</t>
        </is>
      </c>
      <c r="B14" s="1420" t="n"/>
      <c r="C14" s="1420" t="n"/>
      <c r="D14" s="1411" t="n"/>
      <c r="E14" s="1411" t="n"/>
      <c r="F14" s="1570" t="n"/>
      <c r="G14" s="1570" t="n"/>
      <c r="H14" s="416" t="n"/>
      <c r="I14" s="1570" t="n"/>
      <c r="J14" s="1992" t="n"/>
      <c r="K14" s="798" t="n"/>
    </row>
    <row r="15" ht="14.85" customHeight="1" s="1225">
      <c r="A15" s="1512" t="inlineStr">
        <is>
          <t>Intérêts courus</t>
        </is>
      </c>
      <c r="B15" s="1420" t="n"/>
      <c r="C15" s="1420" t="n"/>
      <c r="D15" s="1411" t="n"/>
      <c r="E15" s="1411" t="n"/>
      <c r="F15" s="1570" t="n"/>
      <c r="G15" s="1570" t="n"/>
      <c r="H15" s="416" t="n"/>
      <c r="I15" s="1570" t="n"/>
      <c r="J15" s="1570" t="n"/>
      <c r="K15" s="798" t="n"/>
    </row>
    <row r="16" ht="24" customHeight="1" s="1225">
      <c r="A16" s="1518" t="inlineStr">
        <is>
          <t>Créances rattachées à des avances et participations à des GIE</t>
        </is>
      </c>
      <c r="B16" s="1420" t="n"/>
      <c r="C16" s="1420" t="n"/>
      <c r="D16" s="1411" t="n"/>
      <c r="E16" s="1411" t="n"/>
      <c r="F16" s="1570" t="n"/>
      <c r="G16" s="1570" t="n"/>
      <c r="H16" s="416" t="n"/>
      <c r="I16" s="1570" t="n"/>
      <c r="J16" s="1570" t="n"/>
      <c r="K16" s="798" t="n"/>
    </row>
    <row r="17" ht="15" customHeight="1" s="1225">
      <c r="A17" s="1518" t="inlineStr">
        <is>
          <t>Immobilisations financières diverses</t>
        </is>
      </c>
      <c r="B17" s="1420" t="n"/>
      <c r="C17" s="1420" t="n"/>
      <c r="D17" s="1411" t="n"/>
      <c r="E17" s="1411" t="n"/>
      <c r="F17" s="1570" t="n"/>
      <c r="G17" s="1570" t="n"/>
      <c r="H17" s="416" t="n"/>
      <c r="I17" s="1570" t="n"/>
      <c r="J17" s="1570" t="n"/>
      <c r="K17" s="798" t="n"/>
    </row>
    <row r="18" ht="14.85" customHeight="1" s="1225">
      <c r="A18" s="1544" t="inlineStr">
        <is>
          <t>TOTAL BRUT</t>
        </is>
      </c>
      <c r="B18" s="1420" t="n"/>
      <c r="C18" s="1420" t="n"/>
      <c r="D18" s="1411" t="n"/>
      <c r="E18" s="587" t="n"/>
      <c r="F18" s="142" t="n"/>
      <c r="G18" s="142" t="n"/>
      <c r="H18" s="417" t="n"/>
      <c r="I18" s="588" t="n"/>
      <c r="J18" s="588" t="n"/>
      <c r="K18" s="825" t="n"/>
    </row>
    <row r="19" ht="14.85" customHeight="1" s="1225">
      <c r="A19" s="1512" t="inlineStr">
        <is>
          <t>Dépréciations des titres de participation</t>
        </is>
      </c>
      <c r="B19" s="1420" t="n"/>
      <c r="C19" s="1420" t="n"/>
      <c r="D19" s="1411" t="n"/>
      <c r="E19" s="1411" t="n"/>
      <c r="F19" s="1570" t="n"/>
      <c r="G19" s="1570" t="n"/>
      <c r="H19" s="416">
        <f>IF(G19,(F19-G19)/ABS(G19),IF(ISBLANK(G19),"",IF(F19,IF( F19 &gt; 0,1,-1),"")))</f>
        <v/>
      </c>
      <c r="I19" s="556" t="n"/>
      <c r="J19" s="556" t="n"/>
      <c r="K19" s="826" t="n"/>
    </row>
    <row r="20" ht="14.85" customHeight="1" s="1225">
      <c r="A20" s="1512" t="inlineStr">
        <is>
          <t>Dépréciations des autres immobilisations financières</t>
        </is>
      </c>
      <c r="B20" s="1420" t="n"/>
      <c r="C20" s="1420" t="n"/>
      <c r="D20" s="1411" t="n"/>
      <c r="E20" s="1411" t="n"/>
      <c r="F20" s="1570" t="n"/>
      <c r="G20" s="1570" t="n"/>
      <c r="H20" s="416">
        <f>IF(G20,(F20-G20)/ABS(G20),IF(ISBLANK(G20),"",IF(F20,IF( F20 &gt; 0,1,-1),"")))</f>
        <v/>
      </c>
      <c r="I20" s="556" t="n"/>
      <c r="J20" s="556" t="n"/>
      <c r="K20" s="826" t="n"/>
    </row>
    <row r="21" ht="14.85" customHeight="1" s="1225">
      <c r="A21" s="1544" t="inlineStr">
        <is>
          <t>TOTAL NET DE DEPRECIATION</t>
        </is>
      </c>
      <c r="B21" s="1420" t="n"/>
      <c r="C21" s="1420" t="n"/>
      <c r="D21" s="1411" t="n"/>
      <c r="E21" s="587" t="n"/>
      <c r="F21" s="66">
        <f>F18+F19+F20</f>
        <v/>
      </c>
      <c r="G21" s="66">
        <f>G18+G19+G20</f>
        <v/>
      </c>
      <c r="H21" s="417">
        <f>IF(G21,(F21-G21)/G21,IF(ISBLANK(G21),"",IF(F21,1,"")))</f>
        <v/>
      </c>
      <c r="I21" s="557" t="n"/>
      <c r="J21" s="557" t="n"/>
      <c r="K21" s="827" t="n"/>
    </row>
    <row r="22" ht="3" customHeight="1" s="1225">
      <c r="A22" s="755" t="n"/>
      <c r="B22" s="1458" t="n"/>
      <c r="C22" s="1458" t="n"/>
      <c r="D22" s="1458" t="n"/>
      <c r="E22" s="1458" t="n"/>
      <c r="F22" s="1458" t="n"/>
      <c r="G22" s="1458" t="n"/>
      <c r="H22" s="1458" t="n"/>
      <c r="I22" s="1458" t="n"/>
      <c r="J22" s="1458" t="n"/>
      <c r="K22" s="1408" t="n"/>
    </row>
    <row r="23">
      <c r="A23" s="1620" t="inlineStr">
        <is>
          <t>Liste des filiales et participations :</t>
        </is>
      </c>
      <c r="B23" s="1516" t="n"/>
      <c r="C23" s="1516" t="n"/>
      <c r="D23" s="1516" t="n"/>
      <c r="E23" s="1516" t="n"/>
      <c r="F23" s="1516" t="n"/>
      <c r="G23" s="1516" t="n"/>
      <c r="H23" s="1516" t="n"/>
      <c r="I23" s="1516" t="n"/>
      <c r="J23" s="1516" t="n"/>
      <c r="K23" s="1621" t="n"/>
    </row>
    <row r="24" ht="35.25" customHeight="1" s="1225">
      <c r="A24" s="1617" t="inlineStr">
        <is>
          <t>Dénomination sociale</t>
        </is>
      </c>
      <c r="B24" s="1420" t="n"/>
      <c r="C24" s="1420" t="n"/>
      <c r="D24" s="1411" t="n"/>
      <c r="E24" s="1547" t="inlineStr">
        <is>
          <t>Localisation
(ville / pays)</t>
        </is>
      </c>
      <c r="F24" s="1411" t="n"/>
      <c r="G24" s="1547" t="inlineStr">
        <is>
          <t>Valeur
d'acquisition</t>
        </is>
      </c>
      <c r="H24" s="1547" t="inlineStr">
        <is>
          <t>% Détenu</t>
        </is>
      </c>
      <c r="I24" s="1547" t="inlineStr">
        <is>
          <t>Montant des
capitaux propres
filiale</t>
        </is>
      </c>
      <c r="J24" s="1547" t="inlineStr">
        <is>
          <t>Résultat dernier exercice filiale
(1)</t>
        </is>
      </c>
      <c r="K24" s="1564" t="inlineStr">
        <is>
          <t>Part de bénéfice reçue de la filiale (2)</t>
        </is>
      </c>
    </row>
    <row r="25" ht="14.85" customHeight="1" s="1225">
      <c r="A25" s="1619" t="n"/>
      <c r="B25" s="1395" t="n"/>
      <c r="C25" s="1395" t="n"/>
      <c r="D25" s="1396" t="n"/>
      <c r="E25" s="1616" t="n"/>
      <c r="F25" s="1396" t="n"/>
      <c r="G25" s="348" t="n"/>
      <c r="H25" s="347" t="n"/>
      <c r="I25" s="1570" t="n"/>
      <c r="J25" s="1570" t="n"/>
      <c r="K25" s="798" t="n"/>
    </row>
    <row r="26" ht="14.85" customHeight="1" s="1225">
      <c r="A26" s="1619" t="n"/>
      <c r="B26" s="1395" t="n"/>
      <c r="C26" s="1395" t="n"/>
      <c r="D26" s="1396" t="n"/>
      <c r="E26" s="1616" t="n"/>
      <c r="F26" s="1396" t="n"/>
      <c r="G26" s="348" t="n"/>
      <c r="H26" s="347" t="n"/>
      <c r="I26" s="1570" t="n"/>
      <c r="J26" s="1570" t="n"/>
      <c r="K26" s="798" t="n"/>
    </row>
    <row r="27" ht="14.85" customHeight="1" s="1225">
      <c r="A27" s="1619" t="n"/>
      <c r="B27" s="1395" t="n"/>
      <c r="C27" s="1395" t="n"/>
      <c r="D27" s="1396" t="n"/>
      <c r="E27" s="1616" t="n"/>
      <c r="F27" s="1396" t="n"/>
      <c r="G27" s="348" t="n"/>
      <c r="H27" s="347" t="n"/>
      <c r="I27" s="1570" t="n"/>
      <c r="J27" s="1570" t="n"/>
      <c r="K27" s="798" t="n"/>
    </row>
    <row r="28" ht="14.85" customHeight="1" s="1225">
      <c r="A28" s="1619" t="n"/>
      <c r="B28" s="1395" t="n"/>
      <c r="C28" s="1395" t="n"/>
      <c r="D28" s="1396" t="n"/>
      <c r="E28" s="1616" t="n"/>
      <c r="F28" s="1396" t="n"/>
      <c r="G28" s="348" t="n"/>
      <c r="H28" s="347" t="n"/>
      <c r="I28" s="1570" t="n"/>
      <c r="J28" s="1570" t="n"/>
      <c r="K28" s="798" t="n"/>
    </row>
    <row r="29" ht="14.85" customHeight="1" s="1225">
      <c r="A29" s="1619" t="n"/>
      <c r="B29" s="1395" t="n"/>
      <c r="C29" s="1395" t="n"/>
      <c r="D29" s="1396" t="n"/>
      <c r="E29" s="1616" t="n"/>
      <c r="F29" s="1396" t="n"/>
      <c r="G29" s="348" t="n"/>
      <c r="H29" s="347" t="n"/>
      <c r="I29" s="1570" t="n"/>
      <c r="J29" s="1570" t="n"/>
      <c r="K29" s="798" t="n"/>
    </row>
    <row r="30" ht="14.85" customHeight="1" s="1225" thickBot="1">
      <c r="A30" s="1615" t="n"/>
      <c r="B30" s="1389" t="n"/>
      <c r="C30" s="1389" t="n"/>
      <c r="D30" s="1416" t="n"/>
      <c r="E30" s="1618" t="n"/>
      <c r="F30" s="1416" t="n"/>
      <c r="G30" s="828" t="n"/>
      <c r="H30" s="829" t="n"/>
      <c r="I30" s="830" t="n"/>
      <c r="J30" s="830" t="n"/>
      <c r="K30" s="831" t="n"/>
    </row>
    <row r="31" ht="11.25" customFormat="1" customHeight="1" s="1356">
      <c r="A31" s="1662" t="inlineStr">
        <is>
          <t>(1): Préciser s'il s'agit du résultat de l'exercice N ou du résultat de l'exercice N-1</t>
        </is>
      </c>
      <c r="B31" s="612" t="n"/>
      <c r="C31" s="612" t="n"/>
      <c r="D31" s="612" t="n"/>
      <c r="E31" s="824" t="inlineStr">
        <is>
          <t>(2): S'il s'agit du résultat de l'exercice n-1, renseigner la colonne "part du bénéfice reçue de la filiale"</t>
        </is>
      </c>
      <c r="F31" s="612" t="n"/>
      <c r="G31" s="612" t="n"/>
      <c r="H31" s="612" t="n"/>
      <c r="I31" s="612" t="n"/>
      <c r="J31" s="612" t="n"/>
    </row>
    <row r="32" ht="10.15" customFormat="1" customHeight="1" s="1356">
      <c r="A32" s="559" t="inlineStr">
        <is>
          <t>Commentaire :</t>
        </is>
      </c>
    </row>
    <row r="33" ht="10.5" customFormat="1" customHeight="1" s="1356">
      <c r="A33" s="610" t="inlineStr">
        <is>
          <t>●   Justifier toute variation significative.</t>
        </is>
      </c>
      <c r="F33" s="617" t="inlineStr">
        <is>
          <t>●   Indiquer le nombre et la date d'acquisition des actions ou parts propres.</t>
        </is>
      </c>
    </row>
    <row r="34" ht="10.5" customFormat="1" customHeight="1" s="1356">
      <c r="A34" s="610" t="inlineStr">
        <is>
          <t>●   Commenter toutes les créances anciennes.</t>
        </is>
      </c>
      <c r="F34" s="617" t="inlineStr">
        <is>
          <t>●   Dépréciation : indiquer les évènements et les circonstances qui ont motivé la dépréciation ou la reprise.</t>
        </is>
      </c>
    </row>
    <row r="35" ht="10.5" customFormat="1" customHeight="1" s="1356">
      <c r="A35" s="610" t="inlineStr">
        <is>
          <t>●   Pour les créances relatives à la concession, faire un descriptif de l'accord.</t>
        </is>
      </c>
    </row>
    <row r="36" ht="10.5" customFormat="1" customHeight="1" s="1356">
      <c r="A36" s="610" t="inlineStr">
        <is>
          <t>●   Indiquer :</t>
        </is>
      </c>
    </row>
    <row r="37" ht="10.5" customFormat="1" customHeight="1" s="1356">
      <c r="A37" s="611" t="inlineStr">
        <is>
          <t>-       la nature de la créance ;</t>
        </is>
      </c>
    </row>
    <row r="38" ht="10.5" customFormat="1" customHeight="1" s="1356">
      <c r="A38" s="611" t="inlineStr">
        <is>
          <t>-       la durée de la concession ;</t>
        </is>
      </c>
    </row>
    <row r="39" ht="10.5" customFormat="1" customHeight="1" s="1356">
      <c r="A39" s="611" t="inlineStr">
        <is>
          <t>-       l'échéance.</t>
        </is>
      </c>
    </row>
    <row r="40" ht="10.5" customHeight="1" s="1225">
      <c r="B40" s="1382" t="n"/>
      <c r="C40" s="1382" t="n"/>
      <c r="D40" s="1382" t="n"/>
      <c r="E40" s="1382" t="n"/>
    </row>
    <row r="41" ht="10.5" customHeight="1" s="1225">
      <c r="B41" s="1382" t="n"/>
      <c r="C41" s="1382" t="n"/>
      <c r="D41" s="1382" t="n"/>
      <c r="E41" s="1382" t="n"/>
    </row>
  </sheetData>
  <mergeCells count="39">
    <mergeCell ref="A17:D17"/>
    <mergeCell ref="J5:K5"/>
    <mergeCell ref="E24:F24"/>
    <mergeCell ref="A20:D20"/>
    <mergeCell ref="A29:D29"/>
    <mergeCell ref="A19:D19"/>
    <mergeCell ref="A10:D10"/>
    <mergeCell ref="A28:D28"/>
    <mergeCell ref="A1:K1"/>
    <mergeCell ref="A13:D13"/>
    <mergeCell ref="A9:D9"/>
    <mergeCell ref="E29:F29"/>
    <mergeCell ref="B4:H4"/>
    <mergeCell ref="A7:K7"/>
    <mergeCell ref="A30:D30"/>
    <mergeCell ref="E28:F28"/>
    <mergeCell ref="A15:D15"/>
    <mergeCell ref="A24:D24"/>
    <mergeCell ref="A11:D11"/>
    <mergeCell ref="J4:K4"/>
    <mergeCell ref="E30:F30"/>
    <mergeCell ref="G5:H5"/>
    <mergeCell ref="E27:F27"/>
    <mergeCell ref="A25:D25"/>
    <mergeCell ref="C3:K3"/>
    <mergeCell ref="A16:D16"/>
    <mergeCell ref="A8:E8"/>
    <mergeCell ref="E26:F26"/>
    <mergeCell ref="A23:K23"/>
    <mergeCell ref="C6:E6"/>
    <mergeCell ref="A18:D18"/>
    <mergeCell ref="A27:D27"/>
    <mergeCell ref="C5:E5"/>
    <mergeCell ref="A12:D12"/>
    <mergeCell ref="J2:K2"/>
    <mergeCell ref="E25:F25"/>
    <mergeCell ref="A26:D26"/>
    <mergeCell ref="A21:D21"/>
    <mergeCell ref="A14:D14"/>
  </mergeCells>
  <dataValidations count="1">
    <dataValidation sqref="F9:G17 F19:G20 G25:G30 I9:K13 I14 I15:J17 I19:K20 I25:K30 K14:K17" showDropDown="0" showInputMessage="1" showErrorMessage="1" allowBlank="1" errorTitle="Attention!" error="Valeur numérique attendue" type="whole">
      <formula1>-9999999999999</formula1>
      <formula2>9999999999999</formula2>
    </dataValidation>
  </dataValidations>
  <printOptions horizontalCentered="1"/>
  <pageMargins left="0.2362204724409449" right="0.2362204724409449" top="0.3543307086614174" bottom="0.3543307086614174" header="0.3149606299212598" footer="0.3149606299212598"/>
  <pageSetup orientation="landscape" paperSize="9" scale="85"/>
</worksheet>
</file>

<file path=xl/worksheets/sheet24.xml><?xml version="1.0" encoding="utf-8"?>
<worksheet xmlns="http://schemas.openxmlformats.org/spreadsheetml/2006/main">
  <sheetPr codeName="Feuil23">
    <tabColor theme="4" tint="0.5999938962981048"/>
    <outlinePr summaryBelow="1" summaryRight="1"/>
    <pageSetUpPr fitToPage="1"/>
  </sheetPr>
  <dimension ref="A1:I29"/>
  <sheetViews>
    <sheetView showGridLines="0" topLeftCell="A17" workbookViewId="0">
      <selection activeCell="B14" sqref="B14"/>
    </sheetView>
  </sheetViews>
  <sheetFormatPr baseColWidth="10" defaultRowHeight="15"/>
  <cols>
    <col width="11.28515625" customWidth="1" style="1225" min="1" max="1"/>
    <col width="16" customWidth="1" style="1225" min="2" max="2"/>
    <col width="9.7109375" customWidth="1" style="1225" min="3" max="3"/>
    <col width="3.5703125" customWidth="1" style="1225" min="4" max="4"/>
    <col width="15.28515625" customWidth="1" style="1225" min="5" max="5"/>
    <col width="7.5703125" customWidth="1" style="1225" min="6" max="6"/>
    <col width="5.5703125" customWidth="1" style="1225" min="7" max="7"/>
    <col width="15" customWidth="1" style="1225" min="8" max="8"/>
    <col width="18.28515625" customWidth="1" style="1225" min="9" max="9"/>
  </cols>
  <sheetData>
    <row r="1">
      <c r="A1" s="1429" t="inlineStr">
        <is>
          <t>- 0 -</t>
        </is>
      </c>
    </row>
    <row r="2" ht="24.95" customHeight="1" s="1225">
      <c r="A2" s="1429" t="n"/>
      <c r="B2" s="1429" t="n"/>
      <c r="C2" s="1429" t="n"/>
      <c r="D2" s="1429" t="n"/>
      <c r="E2" s="1429" t="n"/>
      <c r="F2" s="1429" t="n"/>
      <c r="G2" s="1429" t="n"/>
      <c r="H2" s="1438" t="inlineStr">
        <is>
          <t>NOTE 5
SYSTEME NORMAL</t>
        </is>
      </c>
      <c r="I2" s="1411" t="n"/>
    </row>
    <row r="3" ht="15" customFormat="1" customHeight="1" s="1590">
      <c r="A3" s="1451" t="inlineStr">
        <is>
          <t>Dénomination sociale de l'entité :</t>
        </is>
      </c>
      <c r="B3" s="1451" t="n"/>
      <c r="C3" s="1276">
        <f>'NOTE 1'!C3</f>
        <v/>
      </c>
      <c r="D3" s="1277" t="n"/>
      <c r="E3" s="1277" t="n"/>
      <c r="F3" s="1277" t="n"/>
      <c r="G3" s="1277" t="n"/>
      <c r="H3" s="1277" t="n"/>
      <c r="I3" s="1277" t="n"/>
    </row>
    <row r="4" ht="15" customFormat="1" customHeight="1" s="1590">
      <c r="A4" s="1451" t="inlineStr">
        <is>
          <t>Adresse :</t>
        </is>
      </c>
      <c r="B4" s="1276">
        <f>'NOTE 1'!B4</f>
        <v/>
      </c>
      <c r="C4" s="1277" t="n"/>
      <c r="D4" s="1277" t="n"/>
      <c r="E4" s="1277" t="n"/>
      <c r="F4" s="1277" t="n"/>
      <c r="G4" s="1277" t="n"/>
      <c r="H4" s="1589" t="inlineStr">
        <is>
          <t>Sigle usuel :</t>
        </is>
      </c>
      <c r="I4" s="1488">
        <f>'NOTE 1'!I4</f>
        <v/>
      </c>
    </row>
    <row r="5" ht="15" customFormat="1" customHeight="1" s="1590">
      <c r="A5" s="1451" t="inlineStr">
        <is>
          <t>N° IFU :</t>
        </is>
      </c>
      <c r="B5" s="1451" t="n"/>
      <c r="C5" s="1280">
        <f>'NOTE 1'!C5</f>
        <v/>
      </c>
      <c r="D5" s="1279" t="n"/>
      <c r="E5" s="1457" t="inlineStr">
        <is>
          <t>Exercice clos le :</t>
        </is>
      </c>
      <c r="F5" s="1601">
        <f>'NOTE 1'!G5</f>
        <v/>
      </c>
      <c r="G5" s="1279" t="n"/>
      <c r="H5" s="1589" t="inlineStr">
        <is>
          <t>Durée (en mois) :</t>
        </is>
      </c>
      <c r="I5" s="111">
        <f>'NOTE 1'!I5</f>
        <v/>
      </c>
    </row>
    <row r="6" ht="15" customFormat="1" customHeight="1" s="1590">
      <c r="A6" s="1451" t="inlineStr">
        <is>
          <t xml:space="preserve">N° de télédéclarant (NES): </t>
        </is>
      </c>
      <c r="B6" s="1451" t="n"/>
      <c r="C6" s="1520">
        <f>'NOTE 1'!C6</f>
        <v/>
      </c>
      <c r="D6" s="1521" t="n"/>
      <c r="E6" s="253" t="n"/>
      <c r="F6" s="1970" t="n"/>
      <c r="G6" s="1970" t="n"/>
      <c r="H6" s="254" t="n"/>
      <c r="I6" s="1970" t="n"/>
    </row>
    <row r="7" ht="35.1" customHeight="1" s="1225">
      <c r="A7" s="1341" t="inlineStr">
        <is>
          <t xml:space="preserve"> NOTE 5 : ACTIF CIRCULANT ET DETTES CIRCULANTES  HAO</t>
        </is>
      </c>
    </row>
    <row r="8" ht="31.5" customHeight="1" s="1225" thickBot="1">
      <c r="A8" s="1341" t="inlineStr">
        <is>
          <t xml:space="preserve"> ACTIF CIRCULANT HAO</t>
        </is>
      </c>
    </row>
    <row r="9" ht="31.5" customHeight="1" s="1225">
      <c r="A9" s="1630" t="inlineStr">
        <is>
          <t>Libellés</t>
        </is>
      </c>
      <c r="B9" s="1509" t="n"/>
      <c r="C9" s="1509" t="n"/>
      <c r="D9" s="1562" t="n"/>
      <c r="E9" s="1523" t="inlineStr">
        <is>
          <t>Année N</t>
        </is>
      </c>
      <c r="F9" s="1562" t="n"/>
      <c r="G9" s="1523" t="inlineStr">
        <is>
          <t>Année N-1</t>
        </is>
      </c>
      <c r="H9" s="1562" t="n"/>
      <c r="I9" s="1508" t="inlineStr">
        <is>
          <t>Variation
en %</t>
        </is>
      </c>
    </row>
    <row r="10" ht="17.1" customHeight="1" s="1225">
      <c r="A10" s="1512" t="inlineStr">
        <is>
          <t>Créances sur cessions d'immobilisations</t>
        </is>
      </c>
      <c r="B10" s="1420" t="n"/>
      <c r="C10" s="1420" t="n"/>
      <c r="D10" s="1411" t="n"/>
      <c r="E10" s="1570" t="n"/>
      <c r="F10" s="1396" t="n"/>
      <c r="G10" s="1570" t="n"/>
      <c r="H10" s="1396" t="n"/>
      <c r="I10" s="834">
        <f>IF(G10,(E10-G10)/G10,IF(ISBLANK(G10),"",IF(E10,IF( E10 &gt; 0,1,-1),"")))</f>
        <v/>
      </c>
    </row>
    <row r="11" ht="17.1" customHeight="1" s="1225">
      <c r="A11" s="1512" t="inlineStr">
        <is>
          <t>Autres créances hors activités ordinaires</t>
        </is>
      </c>
      <c r="B11" s="1420" t="n"/>
      <c r="C11" s="1420" t="n"/>
      <c r="D11" s="1411" t="n"/>
      <c r="E11" s="1570">
        <f>+BILAN!F27</f>
        <v/>
      </c>
      <c r="F11" s="1396" t="n"/>
      <c r="G11" s="1570" t="n">
        <v>0</v>
      </c>
      <c r="H11" s="1396" t="n"/>
      <c r="I11" s="834">
        <f>IF(G11,(E11-G11)/G11,IF(ISBLANK(G11),"",IF(E11,IF( E11 &gt; 0,1,-1),"")))</f>
        <v/>
      </c>
    </row>
    <row r="12" ht="17.1" customHeight="1" s="1225">
      <c r="A12" s="1544" t="inlineStr">
        <is>
          <t>TOTAL BRUT</t>
        </is>
      </c>
      <c r="B12" s="1420" t="n"/>
      <c r="C12" s="1420" t="n"/>
      <c r="D12" s="1411" t="n"/>
      <c r="E12" s="1631">
        <f>SUM(E10:F11)</f>
        <v/>
      </c>
      <c r="F12" s="1411" t="n"/>
      <c r="G12" s="1631">
        <f>SUM(G10:H11)</f>
        <v/>
      </c>
      <c r="H12" s="1411" t="n"/>
      <c r="I12" s="835">
        <f>IF(G12,(E12-G12)/G12,IF(ISBLANK(G12),"",IF(E12,IF( E12 &gt; 0,1,-1),"")))</f>
        <v/>
      </c>
    </row>
    <row r="13" ht="17.1" customHeight="1" s="1225">
      <c r="A13" s="1512" t="inlineStr">
        <is>
          <t>Dépréciations des créances HAO</t>
        </is>
      </c>
      <c r="B13" s="1420" t="n"/>
      <c r="C13" s="1420" t="n"/>
      <c r="D13" s="1411" t="n"/>
      <c r="E13" s="1570" t="n"/>
      <c r="F13" s="1396" t="n"/>
      <c r="G13" s="1570" t="n"/>
      <c r="H13" s="1396" t="n"/>
      <c r="I13" s="834">
        <f>IF(G13,(E13-G13)/G13,IF(ISBLANK(G13),"",IF(E13,IF( E13 &gt; 0,1,-1),"")))</f>
        <v/>
      </c>
    </row>
    <row r="14" ht="17.1" customHeight="1" s="1225" thickBot="1">
      <c r="A14" s="1629" t="inlineStr">
        <is>
          <t>TOTAL NET DE DEPRECIATIONS</t>
        </is>
      </c>
      <c r="B14" s="1527" t="n"/>
      <c r="C14" s="1527" t="n"/>
      <c r="D14" s="1528" t="n"/>
      <c r="E14" s="1628">
        <f>E12+E13</f>
        <v/>
      </c>
      <c r="F14" s="1528" t="n"/>
      <c r="G14" s="1628">
        <f>G12+G13</f>
        <v/>
      </c>
      <c r="H14" s="1528" t="n"/>
      <c r="I14" s="837">
        <f>IF(G14,(E14-G14)/G14,IF(ISBLANK(G14),"",IF(E14,IF( E14 &gt; 0,1,-1),"")))</f>
        <v/>
      </c>
    </row>
    <row r="15" ht="17.1" customFormat="1" customHeight="1" s="1382">
      <c r="A15" s="291" t="inlineStr">
        <is>
          <t>Commentaire:</t>
        </is>
      </c>
    </row>
    <row r="16" ht="12" customFormat="1" customHeight="1" s="1382">
      <c r="A16" s="292" t="inlineStr">
        <is>
          <t>•     Commenter toute variation significative.</t>
        </is>
      </c>
    </row>
    <row r="17" ht="15" customFormat="1" customHeight="1" s="1382">
      <c r="A17" s="292" t="inlineStr">
        <is>
          <t>•     Dépréciation : indiquer les évènements et les circonstances qui ont motivé la dépréciation ou la reprise.</t>
        </is>
      </c>
    </row>
    <row r="18" ht="15" customFormat="1" customHeight="1" s="1382">
      <c r="A18" s="292" t="n"/>
    </row>
    <row r="19" ht="16.5" customHeight="1" s="1225">
      <c r="A19" s="1341" t="inlineStr">
        <is>
          <t>DETTES  CIRCULANTES HAO</t>
        </is>
      </c>
    </row>
    <row r="20" ht="15" customHeight="1" s="1225" thickBot="1">
      <c r="A20" s="1451" t="n"/>
      <c r="B20" s="1451" t="n"/>
      <c r="C20" s="1451" t="n"/>
      <c r="D20" s="135" t="n"/>
      <c r="E20" s="1451" t="n"/>
      <c r="F20" s="1451" t="n"/>
      <c r="G20" s="1451" t="n"/>
      <c r="H20" s="1382" t="n"/>
      <c r="I20" s="1382" t="n"/>
    </row>
    <row r="21" ht="31.5" customHeight="1" s="1225">
      <c r="A21" s="1630" t="inlineStr">
        <is>
          <t>Libellés</t>
        </is>
      </c>
      <c r="B21" s="1509" t="n"/>
      <c r="C21" s="1509" t="n"/>
      <c r="D21" s="1562" t="n"/>
      <c r="E21" s="1523" t="inlineStr">
        <is>
          <t>Année N</t>
        </is>
      </c>
      <c r="F21" s="1562" t="n"/>
      <c r="G21" s="1523" t="inlineStr">
        <is>
          <t>Année N-1</t>
        </is>
      </c>
      <c r="H21" s="1562" t="n"/>
      <c r="I21" s="1508" t="inlineStr">
        <is>
          <t>Variation
en %</t>
        </is>
      </c>
    </row>
    <row r="22" ht="17.1" customHeight="1" s="1225">
      <c r="A22" s="1512" t="inlineStr">
        <is>
          <t>Fournisseurs d'investissements</t>
        </is>
      </c>
      <c r="B22" s="1420" t="n"/>
      <c r="C22" s="1420" t="n"/>
      <c r="D22" s="1411" t="n"/>
      <c r="E22" s="1570">
        <f>+BILAN!M27</f>
        <v/>
      </c>
      <c r="F22" s="1396" t="n"/>
      <c r="G22" s="1570" t="n"/>
      <c r="H22" s="1396" t="n"/>
      <c r="I22" s="834" t="n"/>
    </row>
    <row r="23" ht="17.1" customHeight="1" s="1225">
      <c r="A23" s="1512" t="inlineStr">
        <is>
          <t>Fournisseurs d'investissements effets à payer</t>
        </is>
      </c>
      <c r="B23" s="1420" t="n"/>
      <c r="C23" s="1420" t="n"/>
      <c r="D23" s="1411" t="n"/>
      <c r="E23" s="1570" t="n"/>
      <c r="F23" s="1396" t="n"/>
      <c r="G23" s="1570" t="n"/>
      <c r="H23" s="1396" t="n"/>
      <c r="I23" s="834" t="n"/>
    </row>
    <row r="24" ht="26.25" customHeight="1" s="1225">
      <c r="A24" s="1512" t="inlineStr">
        <is>
          <t>Versements restant à effectuer sur titres de
participation et titres immobilisés non libérés</t>
        </is>
      </c>
      <c r="B24" s="1420" t="n"/>
      <c r="C24" s="1420" t="n"/>
      <c r="D24" s="1411" t="n"/>
      <c r="E24" s="1570" t="n"/>
      <c r="F24" s="1396" t="n"/>
      <c r="G24" s="1570" t="n"/>
      <c r="H24" s="1396" t="n"/>
      <c r="I24" s="834">
        <f>IF(G24,(E24-G24)/G24,IF(ISBLANK(G24),"",IF(E24,IF( E24 &gt; 0,1,-1),"")))</f>
        <v/>
      </c>
    </row>
    <row r="25" ht="17.1" customHeight="1" s="1225">
      <c r="A25" s="1512" t="inlineStr">
        <is>
          <t>Autres dettes hors activités ordinaires</t>
        </is>
      </c>
      <c r="B25" s="1420" t="n"/>
      <c r="C25" s="1420" t="n"/>
      <c r="D25" s="1411" t="n"/>
      <c r="E25" s="1570" t="n"/>
      <c r="F25" s="1396" t="n"/>
      <c r="G25" s="1570" t="n"/>
      <c r="H25" s="1396" t="n"/>
      <c r="I25" s="834">
        <f>IF(G25,(E25-G25)/G25,IF(ISBLANK(G25),"",IF(E25,IF( E25 &gt; 0,1,-1),"")))</f>
        <v/>
      </c>
    </row>
    <row r="26" ht="17.1" customHeight="1" s="1225" thickBot="1">
      <c r="A26" s="1629" t="inlineStr">
        <is>
          <t>TOTAL</t>
        </is>
      </c>
      <c r="B26" s="1527" t="n"/>
      <c r="C26" s="1527" t="n"/>
      <c r="D26" s="1528" t="n"/>
      <c r="E26" s="1628">
        <f>SUM(E22:F25)</f>
        <v/>
      </c>
      <c r="F26" s="1528" t="n"/>
      <c r="G26" s="1628">
        <f>SUM(G22:H25)</f>
        <v/>
      </c>
      <c r="H26" s="1528" t="n"/>
      <c r="I26" s="837">
        <f>IF(G26,(E26-G26)/G26,IF(ISBLANK(G26),"",IF(E26,IF( E26 &gt; 0,1,-1),"")))</f>
        <v/>
      </c>
    </row>
    <row r="27" ht="17.1" customFormat="1" customHeight="1" s="1356">
      <c r="A27" s="559" t="inlineStr">
        <is>
          <t>Commentaire:</t>
        </is>
      </c>
    </row>
    <row r="28" ht="10.15" customFormat="1" customHeight="1" s="1356">
      <c r="A28" s="614" t="inlineStr">
        <is>
          <t>●   Indiquer la date de cession et la nature de l'immobilisation achetée et/ou cédée.</t>
        </is>
      </c>
    </row>
    <row r="29" ht="15" customFormat="1" customHeight="1" s="1356">
      <c r="A29" s="614" t="inlineStr">
        <is>
          <t>●   Expliciter toute variation significative.</t>
        </is>
      </c>
    </row>
  </sheetData>
  <mergeCells count="46">
    <mergeCell ref="A7:I7"/>
    <mergeCell ref="E12:F12"/>
    <mergeCell ref="G21:H21"/>
    <mergeCell ref="G12:H12"/>
    <mergeCell ref="C6:D6"/>
    <mergeCell ref="A23:D23"/>
    <mergeCell ref="A22:D22"/>
    <mergeCell ref="E24:F24"/>
    <mergeCell ref="G11:H11"/>
    <mergeCell ref="C5:D5"/>
    <mergeCell ref="E23:F23"/>
    <mergeCell ref="A14:D14"/>
    <mergeCell ref="E14:F14"/>
    <mergeCell ref="G23:H23"/>
    <mergeCell ref="A10:D10"/>
    <mergeCell ref="A13:D13"/>
    <mergeCell ref="A9:D9"/>
    <mergeCell ref="E10:F10"/>
    <mergeCell ref="C3:I3"/>
    <mergeCell ref="G10:H10"/>
    <mergeCell ref="F5:G5"/>
    <mergeCell ref="E13:F13"/>
    <mergeCell ref="A24:D24"/>
    <mergeCell ref="A8:I8"/>
    <mergeCell ref="G13:H13"/>
    <mergeCell ref="A11:D11"/>
    <mergeCell ref="E9:F9"/>
    <mergeCell ref="A19:I19"/>
    <mergeCell ref="H2:I2"/>
    <mergeCell ref="G24:H24"/>
    <mergeCell ref="E11:F11"/>
    <mergeCell ref="B4:G4"/>
    <mergeCell ref="A25:D25"/>
    <mergeCell ref="G14:H14"/>
    <mergeCell ref="E26:F26"/>
    <mergeCell ref="G26:H26"/>
    <mergeCell ref="A12:D12"/>
    <mergeCell ref="E25:F25"/>
    <mergeCell ref="A26:D26"/>
    <mergeCell ref="A21:D21"/>
    <mergeCell ref="G25:H25"/>
    <mergeCell ref="A1:I1"/>
    <mergeCell ref="E22:F22"/>
    <mergeCell ref="G22:H22"/>
    <mergeCell ref="G9:H9"/>
    <mergeCell ref="E21:F21"/>
  </mergeCells>
  <dataValidations count="1">
    <dataValidation sqref="E10:H11 E13:H13 E22:H25"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5"/>
</worksheet>
</file>

<file path=xl/worksheets/sheet25.xml><?xml version="1.0" encoding="utf-8"?>
<worksheet xmlns="http://schemas.openxmlformats.org/spreadsheetml/2006/main">
  <sheetPr codeName="Feuil24">
    <tabColor theme="4" tint="0.5999938962981048"/>
    <outlinePr summaryBelow="1" summaryRight="1"/>
    <pageSetUpPr fitToPage="1"/>
  </sheetPr>
  <dimension ref="A1:M24"/>
  <sheetViews>
    <sheetView showGridLines="0" topLeftCell="A11" workbookViewId="0">
      <selection activeCell="B14" sqref="B14"/>
    </sheetView>
  </sheetViews>
  <sheetFormatPr baseColWidth="10" defaultRowHeight="15"/>
  <cols>
    <col width="15.140625" customWidth="1" style="1225" min="2" max="2"/>
    <col width="8.42578125" customWidth="1" style="1225" min="4" max="4"/>
    <col width="14.42578125" customWidth="1" style="1225" min="5" max="5"/>
    <col width="5" customWidth="1" style="1225" min="6" max="6"/>
    <col width="9.85546875" customWidth="1" style="1225" min="7" max="7"/>
    <col width="9.140625" customWidth="1" style="1225" min="8" max="8"/>
    <col width="17.140625" customWidth="1" style="1225" min="9" max="9"/>
    <col width="19.140625" customWidth="1" style="1225" min="10" max="10"/>
    <col width="12.28515625" bestFit="1" customWidth="1" style="1225" min="12" max="12"/>
  </cols>
  <sheetData>
    <row r="1">
      <c r="A1" s="1429" t="inlineStr">
        <is>
          <t>- 0 -</t>
        </is>
      </c>
    </row>
    <row r="2" ht="24.95" customHeight="1" s="1225">
      <c r="A2" s="1429" t="n"/>
      <c r="B2" s="1429" t="n"/>
      <c r="C2" s="1429" t="n"/>
      <c r="D2" s="1429" t="n"/>
      <c r="E2" s="1429" t="n"/>
      <c r="F2" s="1429" t="n"/>
      <c r="G2" s="1429" t="n"/>
      <c r="I2" s="1438" t="inlineStr">
        <is>
          <t>NOTE 6
SYSTEME NORMAL</t>
        </is>
      </c>
      <c r="J2" s="1411" t="n"/>
    </row>
    <row r="3" ht="15" customFormat="1" customHeight="1" s="127">
      <c r="A3" s="1451" t="inlineStr">
        <is>
          <t>Dénomination sociale de l'entité :</t>
        </is>
      </c>
      <c r="B3" s="1451" t="n"/>
      <c r="C3" s="1276">
        <f>'NOTE 1'!C3</f>
        <v/>
      </c>
      <c r="D3" s="1277" t="n"/>
      <c r="E3" s="1277" t="n"/>
      <c r="F3" s="1277" t="n"/>
      <c r="G3" s="1277" t="n"/>
      <c r="H3" s="1277" t="n"/>
      <c r="I3" s="1277" t="n"/>
      <c r="J3" s="1277" t="n"/>
    </row>
    <row r="4" ht="15" customFormat="1" customHeight="1" s="127">
      <c r="A4" s="1451" t="inlineStr">
        <is>
          <t>Adresse :</t>
        </is>
      </c>
      <c r="B4" s="1503">
        <f>'NOTE 1'!B4</f>
        <v/>
      </c>
      <c r="C4" s="1346" t="n"/>
      <c r="D4" s="1346" t="n"/>
      <c r="E4" s="1346" t="n"/>
      <c r="F4" s="1346" t="n"/>
      <c r="G4" s="1346" t="n"/>
      <c r="H4" s="1346" t="n"/>
      <c r="I4" s="1589" t="inlineStr">
        <is>
          <t>Sigle usuel :</t>
        </is>
      </c>
      <c r="J4" s="1970">
        <f>'NOTE 1'!I4</f>
        <v/>
      </c>
    </row>
    <row r="5" ht="15" customFormat="1" customHeight="1" s="127">
      <c r="A5" s="1451" t="inlineStr">
        <is>
          <t>N° IFU :</t>
        </is>
      </c>
      <c r="B5" s="1451" t="n"/>
      <c r="C5" s="1276">
        <f>'NOTE 1'!C5</f>
        <v/>
      </c>
      <c r="D5" s="1277" t="n"/>
      <c r="E5" s="1457" t="inlineStr">
        <is>
          <t>Exercice clos le :</t>
        </is>
      </c>
      <c r="F5" s="1634">
        <f>'NOTE 1'!G5</f>
        <v/>
      </c>
      <c r="G5" s="1288" t="n"/>
      <c r="H5" s="1288" t="n"/>
      <c r="I5" s="1589" t="inlineStr">
        <is>
          <t>Durée (en mois) :</t>
        </is>
      </c>
      <c r="J5" s="111">
        <f>'NOTE 1'!I5</f>
        <v/>
      </c>
    </row>
    <row r="6" ht="15" customFormat="1" customHeight="1" s="127">
      <c r="A6" s="1451" t="inlineStr">
        <is>
          <t xml:space="preserve">N° de télédéclarant (NES): </t>
        </is>
      </c>
      <c r="B6" s="1451" t="n"/>
      <c r="C6" s="1520">
        <f>'NOTE 1'!C6</f>
        <v/>
      </c>
      <c r="D6" s="1521" t="n"/>
      <c r="E6" s="253" t="n"/>
      <c r="F6" s="1970" t="n"/>
      <c r="G6" s="1970" t="n"/>
      <c r="H6" s="254" t="n"/>
      <c r="I6" s="254" t="n"/>
      <c r="J6" s="1970" t="n"/>
    </row>
    <row r="7" ht="35.1" customHeight="1" s="1225" thickBot="1">
      <c r="A7" s="1341" t="inlineStr">
        <is>
          <t>NOTE 6 : STOCKS ET EN COURS (1)</t>
        </is>
      </c>
    </row>
    <row r="8" ht="33.75" customHeight="1" s="1225">
      <c r="A8" s="1630" t="inlineStr">
        <is>
          <t>Libellés</t>
        </is>
      </c>
      <c r="B8" s="1509" t="n"/>
      <c r="C8" s="1509" t="n"/>
      <c r="D8" s="1562" t="n"/>
      <c r="E8" s="1523" t="inlineStr">
        <is>
          <t>Année N</t>
        </is>
      </c>
      <c r="F8" s="1562" t="n"/>
      <c r="G8" s="1523" t="inlineStr">
        <is>
          <t>Année N-1</t>
        </is>
      </c>
      <c r="H8" s="1562" t="n"/>
      <c r="I8" s="1523" t="inlineStr">
        <is>
          <t>Variation de stock
en valeur absolue</t>
        </is>
      </c>
      <c r="J8" s="1508" t="inlineStr">
        <is>
          <t>Variation
en %</t>
        </is>
      </c>
    </row>
    <row r="9" ht="17.1" customFormat="1" customHeight="1" s="1590">
      <c r="A9" s="1512" t="inlineStr">
        <is>
          <t>Marchandises</t>
        </is>
      </c>
      <c r="B9" s="1420" t="n"/>
      <c r="C9" s="1420" t="n"/>
      <c r="D9" s="1411" t="n"/>
      <c r="E9" s="1570" t="n"/>
      <c r="F9" s="1396" t="n"/>
      <c r="G9" s="1570" t="n"/>
      <c r="H9" s="1396" t="n"/>
      <c r="I9" s="109">
        <f>ABS(E9-G9)</f>
        <v/>
      </c>
      <c r="J9" s="834">
        <f>IF(G9,(E9-G9)/G9,IF(ISBLANK(G9),"",IF(E9,IF( E9 &gt; 0,1,-1),"")))</f>
        <v/>
      </c>
    </row>
    <row r="10" ht="17.1" customFormat="1" customHeight="1" s="1590">
      <c r="A10" s="1512" t="inlineStr">
        <is>
          <t>Matières premières et fournitures liées</t>
        </is>
      </c>
      <c r="B10" s="1420" t="n"/>
      <c r="C10" s="1420" t="n"/>
      <c r="D10" s="1411" t="n"/>
      <c r="E10" s="1570" t="n"/>
      <c r="F10" s="1396" t="n"/>
      <c r="G10" s="1570" t="n"/>
      <c r="H10" s="1396" t="n"/>
      <c r="I10" s="109" t="n"/>
      <c r="J10" s="834" t="n"/>
    </row>
    <row r="11" ht="17.1" customFormat="1" customHeight="1" s="1590">
      <c r="A11" s="1512" t="inlineStr">
        <is>
          <t>Autres approvisionnements</t>
        </is>
      </c>
      <c r="B11" s="1420" t="n"/>
      <c r="C11" s="1420" t="n"/>
      <c r="D11" s="1411" t="n"/>
      <c r="E11" s="1570" t="n"/>
      <c r="F11" s="1396" t="n"/>
      <c r="G11" s="1570" t="n"/>
      <c r="H11" s="1396" t="n"/>
      <c r="I11" s="109" t="n"/>
      <c r="J11" s="834" t="n"/>
    </row>
    <row r="12" ht="17.1" customFormat="1" customHeight="1" s="1590">
      <c r="A12" s="1512" t="inlineStr">
        <is>
          <t>Produits en cours</t>
        </is>
      </c>
      <c r="B12" s="1420" t="n"/>
      <c r="C12" s="1420" t="n"/>
      <c r="D12" s="1411" t="n"/>
      <c r="E12" s="1570" t="n"/>
      <c r="F12" s="1396" t="n"/>
      <c r="G12" s="1570" t="n"/>
      <c r="H12" s="1396" t="n"/>
      <c r="I12" s="109" t="n"/>
      <c r="J12" s="834" t="n"/>
    </row>
    <row r="13" ht="17.1" customFormat="1" customHeight="1" s="1590">
      <c r="A13" s="1512" t="inlineStr">
        <is>
          <t>Services en cours</t>
        </is>
      </c>
      <c r="B13" s="1420" t="n"/>
      <c r="C13" s="1420" t="n"/>
      <c r="D13" s="1411" t="n"/>
      <c r="E13" s="1570" t="n"/>
      <c r="F13" s="1396" t="n"/>
      <c r="G13" s="1570" t="n"/>
      <c r="H13" s="1396" t="n"/>
      <c r="I13" s="109" t="n"/>
      <c r="J13" s="834" t="n"/>
    </row>
    <row r="14" ht="17.1" customFormat="1" customHeight="1" s="1590">
      <c r="A14" s="1512" t="inlineStr">
        <is>
          <t>Produits finis</t>
        </is>
      </c>
      <c r="B14" s="1420" t="n"/>
      <c r="C14" s="1420" t="n"/>
      <c r="D14" s="1411" t="n"/>
      <c r="E14" s="1570" t="n"/>
      <c r="F14" s="1396" t="n"/>
      <c r="G14" s="1570" t="n"/>
      <c r="H14" s="1396" t="n"/>
      <c r="I14" s="109" t="n"/>
      <c r="J14" s="834" t="n"/>
    </row>
    <row r="15" ht="17.1" customFormat="1" customHeight="1" s="1590">
      <c r="A15" s="1512" t="inlineStr">
        <is>
          <t>Produits intermédiaires</t>
        </is>
      </c>
      <c r="B15" s="1420" t="n"/>
      <c r="C15" s="1420" t="n"/>
      <c r="D15" s="1411" t="n"/>
      <c r="E15" s="1570" t="n"/>
      <c r="F15" s="1396" t="n"/>
      <c r="G15" s="1570" t="n"/>
      <c r="H15" s="1396" t="n"/>
      <c r="I15" s="109" t="n"/>
      <c r="J15" s="834" t="n"/>
    </row>
    <row r="16" ht="17.1" customFormat="1" customHeight="1" s="1590">
      <c r="A16" s="1512" t="inlineStr">
        <is>
          <t>Stocks en cours de route, en consignation ou en dépôt</t>
        </is>
      </c>
      <c r="B16" s="1420" t="n"/>
      <c r="C16" s="1420" t="n"/>
      <c r="D16" s="1411" t="n"/>
      <c r="E16" s="1570" t="n"/>
      <c r="F16" s="1396" t="n"/>
      <c r="G16" s="1570" t="n"/>
      <c r="H16" s="1396" t="n"/>
      <c r="I16" s="109" t="n"/>
      <c r="J16" s="834" t="n"/>
    </row>
    <row r="17" ht="17.1" customFormat="1" customHeight="1" s="1590">
      <c r="A17" s="1525" t="inlineStr">
        <is>
          <t>TOTAL BRUT STOCKS ET EN COURS</t>
        </is>
      </c>
      <c r="B17" s="1420" t="n"/>
      <c r="C17" s="1420" t="n"/>
      <c r="D17" s="1411" t="n"/>
      <c r="E17" s="1574">
        <f>SUM(E9:F16)</f>
        <v/>
      </c>
      <c r="F17" s="1411" t="n"/>
      <c r="G17" s="1574">
        <f>SUM(G9:H16)</f>
        <v/>
      </c>
      <c r="H17" s="1411" t="n"/>
      <c r="I17" s="142">
        <f>ABS(E17-G17)</f>
        <v/>
      </c>
      <c r="J17" s="835">
        <f>IF(G17,(E17-G17)/G17,IF(ISBLANK(G17),"",IF(E17,IF( E17 &gt; 0,1,-1),"")))</f>
        <v/>
      </c>
    </row>
    <row r="18" ht="23.25" customFormat="1" customHeight="1" s="1590">
      <c r="A18" s="1512" t="inlineStr">
        <is>
          <t>Dépréciations des stocks</t>
        </is>
      </c>
      <c r="B18" s="1420" t="n"/>
      <c r="C18" s="1420" t="n"/>
      <c r="D18" s="1411" t="n"/>
      <c r="E18" s="1570" t="n"/>
      <c r="F18" s="1396" t="n"/>
      <c r="G18" s="1570" t="n"/>
      <c r="H18" s="1396" t="n"/>
      <c r="I18" s="109">
        <f>ABS(E18-G18)</f>
        <v/>
      </c>
      <c r="J18" s="834">
        <f>IF(G18,(E18-G18)/G18,IF(ISBLANK(G18),"",IF(E18,IF( E18 &gt; 0,1,-1),"")))</f>
        <v/>
      </c>
    </row>
    <row r="19" ht="17.1" customFormat="1" customHeight="1" s="1590" thickBot="1">
      <c r="A19" s="1633" t="inlineStr">
        <is>
          <t>TOTAL NET DE DEPRECIATIONS</t>
        </is>
      </c>
      <c r="B19" s="1527" t="n"/>
      <c r="C19" s="1527" t="n"/>
      <c r="D19" s="1528" t="n"/>
      <c r="E19" s="1632">
        <f>E17+E18</f>
        <v/>
      </c>
      <c r="F19" s="1528" t="n"/>
      <c r="G19" s="1632">
        <f>G17+G18</f>
        <v/>
      </c>
      <c r="H19" s="1528" t="n"/>
      <c r="I19" s="839">
        <f>ABS(E19-G19)</f>
        <v/>
      </c>
      <c r="J19" s="837">
        <f>IF(G19,(E19-G19)/G19,IF(ISBLANK(G19),"",IF(E19,IF( E19 &gt; 0,1,-1),"")))</f>
        <v/>
      </c>
    </row>
    <row r="20" ht="19.5" customFormat="1" customHeight="1" s="1356">
      <c r="A20" s="1495" t="inlineStr">
        <is>
          <t>(1) Les stocks H.A.O. seront inscrits dans l'actif circulant H.A.O. que lorsque leur montant total est significatif (supérieur à 5 % du total de l'actif circulant).</t>
        </is>
      </c>
      <c r="K20" s="1590" t="n"/>
      <c r="L20" s="1590" t="n"/>
      <c r="M20" s="1590" t="n"/>
    </row>
    <row r="21" customFormat="1" s="1356">
      <c r="A21" s="559" t="inlineStr">
        <is>
          <t>Commentaire :</t>
        </is>
      </c>
      <c r="B21" s="1680" t="n"/>
      <c r="C21" s="1680" t="n"/>
      <c r="D21" s="1680" t="n"/>
      <c r="E21" s="1680" t="n"/>
      <c r="F21" s="1680" t="n"/>
      <c r="G21" s="1680" t="n"/>
      <c r="H21" s="1680" t="n"/>
      <c r="I21" s="1680" t="n"/>
      <c r="J21" s="1680" t="n"/>
      <c r="K21" s="1590" t="n"/>
      <c r="L21" s="1590" t="n"/>
      <c r="M21" s="1590" t="n"/>
    </row>
    <row r="22" ht="12.75" customFormat="1" customHeight="1" s="1356">
      <c r="A22" s="610" t="inlineStr">
        <is>
          <t>●   Indiquer la date de prise d'inventaire et décrire brièvement la procédure, les méthodes comptables adoptées pour évaluer le stock.</t>
        </is>
      </c>
      <c r="K22" s="1590" t="n"/>
      <c r="L22" s="1590" t="n"/>
      <c r="M22" s="1590" t="n"/>
    </row>
    <row r="23" ht="12.75" customFormat="1" customHeight="1" s="1356">
      <c r="A23" s="610" t="inlineStr">
        <is>
          <t>●   Commenter toute variation significative des stocks.</t>
        </is>
      </c>
      <c r="K23" s="1590" t="n"/>
      <c r="L23" s="1590" t="n"/>
      <c r="M23" s="1590" t="n"/>
    </row>
    <row r="24" ht="12.75" customFormat="1" customHeight="1" s="1356">
      <c r="A24" s="610" t="inlineStr">
        <is>
          <t>●   Indiquer le détail des stocks dépréciés et les évènements et circonstances qui ont conduit à la dépréciation et à la reprise.</t>
        </is>
      </c>
      <c r="K24" s="1590" t="n"/>
      <c r="L24" s="1590" t="n"/>
      <c r="M24" s="1590" t="n"/>
    </row>
  </sheetData>
  <mergeCells count="45">
    <mergeCell ref="E12:F12"/>
    <mergeCell ref="A17:D17"/>
    <mergeCell ref="C3:J3"/>
    <mergeCell ref="G12:H12"/>
    <mergeCell ref="A8:D8"/>
    <mergeCell ref="F5:H5"/>
    <mergeCell ref="C6:D6"/>
    <mergeCell ref="I2:J2"/>
    <mergeCell ref="G11:H11"/>
    <mergeCell ref="C5:D5"/>
    <mergeCell ref="A20:J20"/>
    <mergeCell ref="A19:D19"/>
    <mergeCell ref="E14:F14"/>
    <mergeCell ref="G8:H8"/>
    <mergeCell ref="E17:F17"/>
    <mergeCell ref="A10:D10"/>
    <mergeCell ref="G17:H17"/>
    <mergeCell ref="E8:F8"/>
    <mergeCell ref="A13:D13"/>
    <mergeCell ref="A9:D9"/>
    <mergeCell ref="E10:F10"/>
    <mergeCell ref="B4:H4"/>
    <mergeCell ref="G10:H10"/>
    <mergeCell ref="E19:F19"/>
    <mergeCell ref="G19:H19"/>
    <mergeCell ref="A15:D15"/>
    <mergeCell ref="E13:F13"/>
    <mergeCell ref="A11:D11"/>
    <mergeCell ref="G13:H13"/>
    <mergeCell ref="G18:H18"/>
    <mergeCell ref="E9:F9"/>
    <mergeCell ref="A1:J1"/>
    <mergeCell ref="E15:F15"/>
    <mergeCell ref="G15:H15"/>
    <mergeCell ref="E11:F11"/>
    <mergeCell ref="A7:J7"/>
    <mergeCell ref="G14:H14"/>
    <mergeCell ref="A16:D16"/>
    <mergeCell ref="A18:D18"/>
    <mergeCell ref="E16:F16"/>
    <mergeCell ref="G16:H16"/>
    <mergeCell ref="A12:D12"/>
    <mergeCell ref="G9:H9"/>
    <mergeCell ref="E18:F18"/>
    <mergeCell ref="A14:D14"/>
  </mergeCells>
  <dataValidations count="1">
    <dataValidation sqref="E9:I16 E18:H18 I17:I19"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80"/>
</worksheet>
</file>

<file path=xl/worksheets/sheet26.xml><?xml version="1.0" encoding="utf-8"?>
<worksheet xmlns="http://schemas.openxmlformats.org/spreadsheetml/2006/main">
  <sheetPr codeName="Feuil25">
    <tabColor theme="4" tint="0.5999938962981048"/>
    <outlinePr summaryBelow="1" summaryRight="1"/>
    <pageSetUpPr fitToPage="1"/>
  </sheetPr>
  <dimension ref="A1:J28"/>
  <sheetViews>
    <sheetView showGridLines="0" topLeftCell="A12" zoomScaleNormal="100" workbookViewId="0">
      <selection activeCell="B14" sqref="B14"/>
    </sheetView>
  </sheetViews>
  <sheetFormatPr baseColWidth="10" defaultColWidth="11.42578125" defaultRowHeight="15"/>
  <cols>
    <col width="16.28515625" customWidth="1" style="1225" min="2" max="2"/>
    <col width="15.7109375" customWidth="1" style="1225" min="5" max="6"/>
    <col width="15.7109375" customWidth="1" style="1225" min="8" max="10"/>
  </cols>
  <sheetData>
    <row r="1">
      <c r="A1" s="1275" t="inlineStr">
        <is>
          <t>- 0 -</t>
        </is>
      </c>
      <c r="B1" s="1229" t="n"/>
      <c r="C1" s="1229" t="n"/>
      <c r="D1" s="1229" t="n"/>
      <c r="E1" s="1229" t="n"/>
      <c r="F1" s="1229" t="n"/>
      <c r="G1" s="1229" t="n"/>
      <c r="H1" s="1229" t="n"/>
      <c r="I1" s="1229" t="n"/>
      <c r="J1" s="1229" t="n"/>
    </row>
    <row r="2" ht="24.95" customHeight="1" s="1225">
      <c r="A2" s="1429" t="n"/>
      <c r="B2" s="1429" t="n"/>
      <c r="C2" s="1429" t="n"/>
      <c r="D2" s="1429" t="n"/>
      <c r="E2" s="1429" t="n"/>
      <c r="F2" s="1429" t="n"/>
      <c r="G2" s="1429" t="n"/>
      <c r="I2" s="1438" t="inlineStr">
        <is>
          <t>NOTE 7
SYSTEME NORMAL</t>
        </is>
      </c>
      <c r="J2" s="1411" t="n"/>
    </row>
    <row r="3" ht="15" customFormat="1" customHeight="1" s="127">
      <c r="A3" s="1451" t="inlineStr">
        <is>
          <t>Dénomination sociale de l'entité :</t>
        </is>
      </c>
      <c r="B3" s="1451" t="n"/>
      <c r="C3" s="1622">
        <f>'NOTE 1'!C3</f>
        <v/>
      </c>
      <c r="D3" s="1352" t="n"/>
      <c r="E3" s="1352" t="n"/>
      <c r="F3" s="1352" t="n"/>
      <c r="G3" s="1352" t="n"/>
      <c r="H3" s="1352" t="n"/>
      <c r="I3" s="1352" t="n"/>
      <c r="J3" s="1352" t="n"/>
    </row>
    <row r="4" ht="15" customFormat="1" customHeight="1" s="127">
      <c r="A4" s="1451" t="inlineStr">
        <is>
          <t>Adresse :</t>
        </is>
      </c>
      <c r="B4" s="1622">
        <f>'NOTE 1'!B4</f>
        <v/>
      </c>
      <c r="C4" s="1352" t="n"/>
      <c r="D4" s="1352" t="n"/>
      <c r="E4" s="1352" t="n"/>
      <c r="F4" s="1352" t="n"/>
      <c r="G4" s="1352" t="n"/>
      <c r="H4" s="1352" t="n"/>
      <c r="I4" s="1589" t="inlineStr">
        <is>
          <t>Sigle usuel :</t>
        </is>
      </c>
      <c r="J4" s="589">
        <f>'NOTE 1'!I4</f>
        <v/>
      </c>
    </row>
    <row r="5" ht="15" customFormat="1" customHeight="1" s="127">
      <c r="A5" s="1451" t="inlineStr">
        <is>
          <t>N° IFU :</t>
        </is>
      </c>
      <c r="B5" s="1451" t="n"/>
      <c r="C5" s="1622">
        <f>'NOTE 1'!C5</f>
        <v/>
      </c>
      <c r="D5" s="1352" t="n"/>
      <c r="E5" s="1352" t="n"/>
      <c r="F5" s="1457" t="inlineStr">
        <is>
          <t>Exercice clos le :</t>
        </is>
      </c>
      <c r="G5" s="1624">
        <f>'NOTE 1'!G5</f>
        <v/>
      </c>
      <c r="H5" s="1380" t="n"/>
      <c r="I5" s="1589" t="inlineStr">
        <is>
          <t>Durée (en mois) :</t>
        </is>
      </c>
      <c r="J5" s="1623">
        <f>'NOTE 1'!I5</f>
        <v/>
      </c>
    </row>
    <row r="6" ht="15" customFormat="1" customHeight="1" s="127">
      <c r="A6" s="1451" t="inlineStr">
        <is>
          <t xml:space="preserve">N° de télédéclarant (NES): </t>
        </is>
      </c>
      <c r="B6" s="1451" t="n"/>
      <c r="C6" s="1627">
        <f>'NOTE 1'!C6</f>
        <v/>
      </c>
      <c r="D6" s="1380" t="n"/>
      <c r="E6" s="1380" t="n"/>
      <c r="F6" s="253" t="n"/>
      <c r="G6" s="1970" t="n"/>
      <c r="H6" s="1970" t="n"/>
      <c r="I6" s="254" t="n"/>
      <c r="J6" s="1970" t="n"/>
    </row>
    <row r="7" ht="35.1" customHeight="1" s="1225" thickBot="1">
      <c r="A7" s="1341" t="inlineStr">
        <is>
          <t>NOTE 7 : CLIENTS</t>
        </is>
      </c>
    </row>
    <row r="8" ht="59.25" customHeight="1" s="1225">
      <c r="A8" s="1630" t="inlineStr">
        <is>
          <t>Libellés</t>
        </is>
      </c>
      <c r="B8" s="1509" t="n"/>
      <c r="C8" s="1509" t="n"/>
      <c r="D8" s="1562" t="n"/>
      <c r="E8" s="1523" t="inlineStr">
        <is>
          <t>Année N</t>
        </is>
      </c>
      <c r="F8" s="1523" t="inlineStr">
        <is>
          <t>Année N-1</t>
        </is>
      </c>
      <c r="G8" s="1523" t="inlineStr">
        <is>
          <t>Variation
en %</t>
        </is>
      </c>
      <c r="H8" s="1523" t="inlineStr">
        <is>
          <t>Créances
à un an
au plus</t>
        </is>
      </c>
      <c r="I8" s="1523" t="inlineStr">
        <is>
          <t>Créances
à plus d'un an et
à deux ans
au plus</t>
        </is>
      </c>
      <c r="J8" s="1508" t="inlineStr">
        <is>
          <t>Créances
à plus de deux
ans</t>
        </is>
      </c>
    </row>
    <row r="9" ht="15.95" customHeight="1" s="1225">
      <c r="A9" s="1512" t="inlineStr">
        <is>
          <t>Clients (hors réserves de propriété et Groupe)</t>
        </is>
      </c>
      <c r="B9" s="1420" t="n"/>
      <c r="C9" s="1420" t="n"/>
      <c r="D9" s="1411" t="n"/>
      <c r="E9" s="1570">
        <f>+BILAN!F31</f>
        <v/>
      </c>
      <c r="F9" s="1570" t="n">
        <v>0</v>
      </c>
      <c r="G9" s="416">
        <f>IF(F9,(E9-F9)/F9,IF(ISBLANK(F9),"",IF(E9,IF( E9 &gt; 0,1,-1),"")))</f>
        <v/>
      </c>
      <c r="H9" s="1570" t="n"/>
      <c r="I9" s="1570" t="n"/>
      <c r="J9" s="798" t="n"/>
    </row>
    <row r="10" ht="24.75" customHeight="1" s="1225">
      <c r="A10" s="1512" t="inlineStr">
        <is>
          <t>Clients effets à recevoir 
(hors réserves de propriété et groupe)</t>
        </is>
      </c>
      <c r="B10" s="1420" t="n"/>
      <c r="C10" s="1420" t="n"/>
      <c r="D10" s="1411" t="n"/>
      <c r="E10" s="1570" t="n"/>
      <c r="F10" s="1570" t="n"/>
      <c r="G10" s="416">
        <f>IF(F10,(E10-F10)/F10,IF(ISBLANK(F10),"",IF(E10,IF( E10 &gt; 0,1,-1),"")))</f>
        <v/>
      </c>
      <c r="H10" s="1570" t="n"/>
      <c r="I10" s="1570" t="n"/>
      <c r="J10" s="798" t="n"/>
    </row>
    <row r="11" ht="15.95" customHeight="1" s="1225">
      <c r="A11" s="1512" t="inlineStr">
        <is>
          <t>Clients avec réserves de propriété</t>
        </is>
      </c>
      <c r="B11" s="1420" t="n"/>
      <c r="C11" s="1420" t="n"/>
      <c r="D11" s="1411" t="n"/>
      <c r="E11" s="1570" t="n"/>
      <c r="F11" s="1570" t="n"/>
      <c r="G11" s="416">
        <f>IF(F11,(E11-F11)/F11,IF(ISBLANK(F11),"",IF(E11,IF( E11 &gt; 0,1,-1),"")))</f>
        <v/>
      </c>
      <c r="H11" s="1570" t="n"/>
      <c r="I11" s="1570" t="n"/>
      <c r="J11" s="798" t="n"/>
    </row>
    <row r="12" ht="15.95" customHeight="1" s="1225">
      <c r="A12" s="1512" t="inlineStr">
        <is>
          <t>Clients et effets à recevoir Groupe</t>
        </is>
      </c>
      <c r="B12" s="1420" t="n"/>
      <c r="C12" s="1420" t="n"/>
      <c r="D12" s="1411" t="n"/>
      <c r="E12" s="1570" t="n"/>
      <c r="F12" s="1570" t="n"/>
      <c r="G12" s="416">
        <f>IF(F12,(E12-F12)/F12,IF(ISBLANK(F12),"",IF(E12,IF( E12 &gt; 0,1,-1),"")))</f>
        <v/>
      </c>
      <c r="H12" s="1570" t="n"/>
      <c r="I12" s="1570" t="n"/>
      <c r="J12" s="798" t="n"/>
    </row>
    <row r="13" ht="15.95" customHeight="1" s="1225">
      <c r="A13" s="1512" t="inlineStr">
        <is>
          <t>Créances sur cession d'immobilisations</t>
        </is>
      </c>
      <c r="B13" s="1420" t="n"/>
      <c r="C13" s="1420" t="n"/>
      <c r="D13" s="1411" t="n"/>
      <c r="E13" s="1570" t="n"/>
      <c r="F13" s="1570" t="n"/>
      <c r="G13" s="416">
        <f>IF(F13,(E13-F13)/F13,IF(ISBLANK(F13),"",IF(E13,IF( E13 &gt; 0,1,-1),"")))</f>
        <v/>
      </c>
      <c r="H13" s="1570" t="n"/>
      <c r="I13" s="1570" t="n"/>
      <c r="J13" s="798" t="n"/>
    </row>
    <row r="14" ht="15.95" customHeight="1" s="1225">
      <c r="A14" s="1512" t="inlineStr">
        <is>
          <t>Clients effets escomptés et non échus</t>
        </is>
      </c>
      <c r="B14" s="1420" t="n"/>
      <c r="C14" s="1420" t="n"/>
      <c r="D14" s="1411" t="n"/>
      <c r="E14" s="1570" t="n"/>
      <c r="F14" s="1570" t="n"/>
      <c r="G14" s="416">
        <f>IF(F14,(E14-F14)/F14,IF(ISBLANK(F14),"",IF(E14,IF( E14 &gt; 0,1,-1),"")))</f>
        <v/>
      </c>
      <c r="H14" s="1570" t="n"/>
      <c r="I14" s="1570" t="n"/>
      <c r="J14" s="798" t="n"/>
    </row>
    <row r="15" ht="15.95" customHeight="1" s="1225">
      <c r="A15" s="1512" t="inlineStr">
        <is>
          <t>Créances litigieuses ou douteuses</t>
        </is>
      </c>
      <c r="B15" s="1420" t="n"/>
      <c r="C15" s="1420" t="n"/>
      <c r="D15" s="1411" t="n"/>
      <c r="E15" s="1570" t="n"/>
      <c r="F15" s="1570" t="n"/>
      <c r="G15" s="416">
        <f>IF(F15,(E15-F15)/F15,IF(ISBLANK(F15),"",IF(E15,IF( E15 &gt; 0,1,-1),"")))</f>
        <v/>
      </c>
      <c r="H15" s="1570" t="n"/>
      <c r="I15" s="1570" t="n"/>
      <c r="J15" s="798" t="n"/>
    </row>
    <row r="16" ht="15.95" customHeight="1" s="1225">
      <c r="A16" s="1512" t="inlineStr">
        <is>
          <t>Clients produits à recevoir</t>
        </is>
      </c>
      <c r="B16" s="1420" t="n"/>
      <c r="C16" s="1420" t="n"/>
      <c r="D16" s="1411" t="n"/>
      <c r="E16" s="1570" t="n"/>
      <c r="F16" s="1570" t="n"/>
      <c r="G16" s="416">
        <f>IF(F16,(E16-F16)/F16,IF(ISBLANK(F16),"",IF(E16,IF( E16 &gt; 0,1,-1),"")))</f>
        <v/>
      </c>
      <c r="H16" s="1570" t="n"/>
      <c r="I16" s="1570" t="n"/>
      <c r="J16" s="798" t="n"/>
    </row>
    <row r="17" ht="15.95" customHeight="1" s="1225">
      <c r="A17" s="1544" t="inlineStr">
        <is>
          <t>TOTAL BRUT CLIENTS</t>
        </is>
      </c>
      <c r="B17" s="1420" t="n"/>
      <c r="C17" s="1420" t="n"/>
      <c r="D17" s="1411" t="n"/>
      <c r="E17" s="1631">
        <f>SUM(E9:E16)</f>
        <v/>
      </c>
      <c r="F17" s="1631">
        <f>SUM(F9:F16)</f>
        <v/>
      </c>
      <c r="G17" s="417">
        <f>IF(F17,(E17-F17)/F17,IF(ISBLANK(F17),"",IF(E17,IF( E17 &gt; 0,1,-1),"")))</f>
        <v/>
      </c>
      <c r="H17" s="1631">
        <f>SUM(H9:H16)</f>
        <v/>
      </c>
      <c r="I17" s="1631">
        <f>SUM(I9:I16)</f>
        <v/>
      </c>
      <c r="J17" s="840">
        <f>SUM(J9:J16)</f>
        <v/>
      </c>
    </row>
    <row r="18" ht="15.95" customHeight="1" s="1225">
      <c r="A18" s="1512" t="inlineStr">
        <is>
          <t>Dépréciations des comptes clients</t>
        </is>
      </c>
      <c r="B18" s="1420" t="n"/>
      <c r="C18" s="1420" t="n"/>
      <c r="D18" s="1411" t="n"/>
      <c r="E18" s="1570" t="n"/>
      <c r="F18" s="1570" t="n"/>
      <c r="G18" s="416">
        <f>IF(F18,(E18-F18)/F18,IF(ISBLANK(F18),"",IF(E18,IF( E18 &gt; 0,1,-1),"")))</f>
        <v/>
      </c>
      <c r="H18" s="556" t="n"/>
      <c r="I18" s="556" t="n"/>
      <c r="J18" s="826" t="n"/>
    </row>
    <row r="19" ht="15" customHeight="1" s="1225">
      <c r="A19" s="1544" t="inlineStr">
        <is>
          <t>TOTAL NET DE DEPRECIATIONS</t>
        </is>
      </c>
      <c r="B19" s="1420" t="n"/>
      <c r="C19" s="1420" t="n"/>
      <c r="D19" s="1411" t="n"/>
      <c r="E19" s="1631">
        <f>E17-E18</f>
        <v/>
      </c>
      <c r="F19" s="1631">
        <f>F17-F18</f>
        <v/>
      </c>
      <c r="G19" s="417">
        <f>IF(F19,(E19-F19)/F19,IF(ISBLANK(F19),"",IF(E19,IF( E19 &gt; 0,1,-1),"")))</f>
        <v/>
      </c>
      <c r="H19" s="560" t="n"/>
      <c r="I19" s="560" t="n"/>
      <c r="J19" s="841" t="n"/>
    </row>
    <row r="20" ht="15.95" customHeight="1" s="1225">
      <c r="A20" s="1512" t="inlineStr">
        <is>
          <t>Clients, avances reçues hors groupe</t>
        </is>
      </c>
      <c r="B20" s="1420" t="n"/>
      <c r="C20" s="1420" t="n"/>
      <c r="D20" s="1411" t="n"/>
      <c r="E20" s="1570" t="n"/>
      <c r="F20" s="1570" t="n"/>
      <c r="G20" s="416">
        <f>IF(F20,(E20-F20)/F20,IF(ISBLANK(F20),"",IF(E20,IF( E20 &gt; 0,1,-1),"")))</f>
        <v/>
      </c>
      <c r="H20" s="1570" t="n"/>
      <c r="I20" s="1570" t="n"/>
      <c r="J20" s="798" t="n"/>
    </row>
    <row r="21" ht="15.95" customHeight="1" s="1225">
      <c r="A21" s="1512" t="inlineStr">
        <is>
          <t>Clients, avances reçues groupe</t>
        </is>
      </c>
      <c r="B21" s="1420" t="n"/>
      <c r="C21" s="1420" t="n"/>
      <c r="D21" s="1411" t="n"/>
      <c r="E21" s="1570" t="n"/>
      <c r="F21" s="1570" t="n"/>
      <c r="G21" s="416">
        <f>IF(F21,(E21-F21)/F21,IF(ISBLANK(F21),"",IF(E21,IF( E21 &gt; 0,1,-1),"")))</f>
        <v/>
      </c>
      <c r="H21" s="1570" t="n"/>
      <c r="I21" s="1570" t="n"/>
      <c r="J21" s="798" t="n"/>
    </row>
    <row r="22" ht="15.95" customHeight="1" s="1225">
      <c r="A22" s="1512" t="inlineStr">
        <is>
          <t>Autres clients créditeurs</t>
        </is>
      </c>
      <c r="B22" s="1420" t="n"/>
      <c r="C22" s="1420" t="n"/>
      <c r="D22" s="1411" t="n"/>
      <c r="E22" s="1570" t="n"/>
      <c r="F22" s="1570" t="n"/>
      <c r="G22" s="416">
        <f>IF(F22,(E22-F22)/F22,IF(ISBLANK(F22),"",IF(E22,IF( E22 &gt; 0,1,-1),"")))</f>
        <v/>
      </c>
      <c r="H22" s="1570" t="n"/>
      <c r="I22" s="1570" t="n"/>
      <c r="J22" s="798" t="n"/>
    </row>
    <row r="23" ht="15.95" customHeight="1" s="1225" thickBot="1">
      <c r="A23" s="1629" t="inlineStr">
        <is>
          <t>TOTAL CLIENTS CREDITEURS</t>
        </is>
      </c>
      <c r="B23" s="1527" t="n"/>
      <c r="C23" s="1527" t="n"/>
      <c r="D23" s="1528" t="n"/>
      <c r="E23" s="1628">
        <f>SUM(E20:E22)</f>
        <v/>
      </c>
      <c r="F23" s="1628">
        <f>SUM(F20:F22)</f>
        <v/>
      </c>
      <c r="G23" s="842">
        <f>IF(F23,(E23-F23)/F23,IF(ISBLANK(F23),"",IF(E23,IF( E23 &gt; 0,1,-1),"")))</f>
        <v/>
      </c>
      <c r="H23" s="1628">
        <f>SUM(H20:H22)</f>
        <v/>
      </c>
      <c r="I23" s="1628">
        <f>SUM(I20:I22)</f>
        <v/>
      </c>
      <c r="J23" s="843">
        <f>SUM(J20:J22)</f>
        <v/>
      </c>
    </row>
    <row r="24" ht="10.15" customFormat="1" customHeight="1" s="1356">
      <c r="A24" s="559" t="inlineStr">
        <is>
          <t>Commentaire :</t>
        </is>
      </c>
    </row>
    <row r="25" ht="12.75" customFormat="1" customHeight="1" s="1356">
      <c r="A25" s="610" t="inlineStr">
        <is>
          <t>●   Commenter toutes variations significatives.</t>
        </is>
      </c>
      <c r="F25" s="1101" t="n"/>
    </row>
    <row r="26" ht="12.75" customFormat="1" customHeight="1" s="1356">
      <c r="A26" s="610" t="inlineStr">
        <is>
          <t>●   Indiquer pour les créances du groupe, le nom de la société du groupe et le % de titres détenues.</t>
        </is>
      </c>
    </row>
    <row r="27" ht="12.75" customFormat="1" customHeight="1" s="1356">
      <c r="A27" s="610" t="inlineStr">
        <is>
          <t>●   Commenter les créances anciennes.</t>
        </is>
      </c>
    </row>
    <row r="28" ht="12.75" customFormat="1" customHeight="1" s="1356">
      <c r="A28" s="610" t="inlineStr">
        <is>
          <t>●   Indiquer les événements et circonstances qui ont conduit à la dépréciation et à la reprise.</t>
        </is>
      </c>
    </row>
  </sheetData>
  <mergeCells count="24">
    <mergeCell ref="A23:D23"/>
    <mergeCell ref="C3:J3"/>
    <mergeCell ref="A17:D17"/>
    <mergeCell ref="A8:D8"/>
    <mergeCell ref="A22:D22"/>
    <mergeCell ref="I2:J2"/>
    <mergeCell ref="A20:D20"/>
    <mergeCell ref="A19:D19"/>
    <mergeCell ref="A10:D10"/>
    <mergeCell ref="A13:D13"/>
    <mergeCell ref="A9:D9"/>
    <mergeCell ref="B4:H4"/>
    <mergeCell ref="A15:D15"/>
    <mergeCell ref="A11:D11"/>
    <mergeCell ref="A1:J1"/>
    <mergeCell ref="G5:H5"/>
    <mergeCell ref="A7:J7"/>
    <mergeCell ref="A16:D16"/>
    <mergeCell ref="C6:E6"/>
    <mergeCell ref="A18:D18"/>
    <mergeCell ref="C5:E5"/>
    <mergeCell ref="A12:D12"/>
    <mergeCell ref="A21:D21"/>
    <mergeCell ref="A14:D14"/>
  </mergeCells>
  <dataValidations count="1">
    <dataValidation sqref="E9:F16 E18:F18 E20:F22 H9:J16 H18:J18 H20:J22"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worksheet>
</file>

<file path=xl/worksheets/sheet27.xml><?xml version="1.0" encoding="utf-8"?>
<worksheet xmlns="http://schemas.openxmlformats.org/spreadsheetml/2006/main">
  <sheetPr codeName="Feuil26">
    <tabColor theme="4" tint="0.5999938962981048"/>
    <outlinePr summaryBelow="1" summaryRight="1"/>
    <pageSetUpPr fitToPage="1"/>
  </sheetPr>
  <dimension ref="A1:J27"/>
  <sheetViews>
    <sheetView showGridLines="0" topLeftCell="A13" workbookViewId="0">
      <selection activeCell="B14" sqref="B14"/>
    </sheetView>
  </sheetViews>
  <sheetFormatPr baseColWidth="10" defaultRowHeight="15"/>
  <cols>
    <col width="16.140625" customWidth="1" style="1225" min="2" max="2"/>
    <col width="15.42578125" customWidth="1" style="1225" min="5" max="6"/>
    <col width="15.42578125" customWidth="1" style="1225" min="8" max="10"/>
  </cols>
  <sheetData>
    <row r="1">
      <c r="A1" s="1429" t="inlineStr">
        <is>
          <t>- 0 -</t>
        </is>
      </c>
    </row>
    <row r="2" ht="24.95" customHeight="1" s="1225">
      <c r="A2" s="1429" t="n"/>
      <c r="B2" s="1429" t="n"/>
      <c r="C2" s="1429" t="n"/>
      <c r="D2" s="1429" t="n"/>
      <c r="E2" s="1429" t="n"/>
      <c r="F2" s="1429" t="n"/>
      <c r="G2" s="1429" t="n"/>
      <c r="I2" s="1438" t="inlineStr">
        <is>
          <t>NOTE 8
SYSTEME NORMAL</t>
        </is>
      </c>
      <c r="J2" s="1411" t="n"/>
    </row>
    <row r="3" ht="15" customFormat="1" customHeight="1" s="127">
      <c r="A3" s="1451" t="inlineStr">
        <is>
          <t>Dénomination sociale de l'entité :</t>
        </is>
      </c>
      <c r="B3" s="1451" t="n"/>
      <c r="C3" s="1276">
        <f>'NOTE 1'!C3</f>
        <v/>
      </c>
      <c r="D3" s="1277" t="n"/>
      <c r="E3" s="1277" t="n"/>
      <c r="F3" s="1277" t="n"/>
      <c r="G3" s="1277" t="n"/>
      <c r="H3" s="1277" t="n"/>
      <c r="I3" s="1277" t="n"/>
      <c r="J3" s="1277" t="n"/>
    </row>
    <row r="4" ht="15" customFormat="1" customHeight="1" s="127">
      <c r="A4" s="1451" t="inlineStr">
        <is>
          <t>Adresse :</t>
        </is>
      </c>
      <c r="B4" s="1276">
        <f>'NOTE 1'!B4</f>
        <v/>
      </c>
      <c r="C4" s="1277" t="n"/>
      <c r="D4" s="1277" t="n"/>
      <c r="E4" s="1277" t="n"/>
      <c r="F4" s="1277" t="n"/>
      <c r="G4" s="1277" t="n"/>
      <c r="H4" s="1277" t="n"/>
      <c r="I4" s="1589" t="inlineStr">
        <is>
          <t>Sigle usuel :</t>
        </is>
      </c>
      <c r="J4" s="1285">
        <f>'NOTE 1'!I4</f>
        <v/>
      </c>
    </row>
    <row r="5" ht="15" customFormat="1" customHeight="1" s="127">
      <c r="A5" s="1451" t="inlineStr">
        <is>
          <t>N° IFU :</t>
        </is>
      </c>
      <c r="B5" s="1451" t="n"/>
      <c r="C5" s="1276">
        <f>'NOTE 1'!C5</f>
        <v/>
      </c>
      <c r="D5" s="1277" t="n"/>
      <c r="E5" s="1277" t="n"/>
      <c r="F5" s="1457" t="inlineStr">
        <is>
          <t>Exercice clos le :</t>
        </is>
      </c>
      <c r="G5" s="1548">
        <f>'NOTE 1'!G5</f>
        <v/>
      </c>
      <c r="H5" s="1521" t="n"/>
      <c r="I5" s="1589" t="inlineStr">
        <is>
          <t>Durée (en mois) :</t>
        </is>
      </c>
      <c r="J5" s="1970">
        <f>'NOTE 1'!I5</f>
        <v/>
      </c>
    </row>
    <row r="6" ht="15" customFormat="1" customHeight="1" s="127">
      <c r="A6" s="1451" t="inlineStr">
        <is>
          <t xml:space="preserve">N° de télédéclarant (NES): </t>
        </is>
      </c>
      <c r="B6" s="1451" t="n"/>
      <c r="C6" s="1520">
        <f>'NOTE 1'!C6</f>
        <v/>
      </c>
      <c r="D6" s="1521" t="n"/>
      <c r="E6" s="1521" t="n"/>
      <c r="F6" s="253" t="n"/>
      <c r="G6" s="1970" t="n"/>
      <c r="H6" s="1970" t="n"/>
      <c r="I6" s="254" t="n"/>
      <c r="J6" s="1970" t="n"/>
    </row>
    <row r="7" ht="35.1" customHeight="1" s="1225" thickBot="1">
      <c r="A7" s="1341" t="inlineStr">
        <is>
          <t>NOTE 8 : AUTRES CREANCES</t>
        </is>
      </c>
    </row>
    <row r="8" ht="59.25" customHeight="1" s="1225">
      <c r="A8" s="1635" t="inlineStr">
        <is>
          <t>Libellés</t>
        </is>
      </c>
      <c r="B8" s="1475" t="n"/>
      <c r="C8" s="1475" t="n"/>
      <c r="D8" s="1560" t="n"/>
      <c r="E8" s="795" t="inlineStr">
        <is>
          <t>Année N</t>
        </is>
      </c>
      <c r="F8" s="795" t="inlineStr">
        <is>
          <t>Année N-1</t>
        </is>
      </c>
      <c r="G8" s="795" t="inlineStr">
        <is>
          <t>Variation
en %</t>
        </is>
      </c>
      <c r="H8" s="795" t="inlineStr">
        <is>
          <t>Créances
à un an
au plus</t>
        </is>
      </c>
      <c r="I8" s="795" t="inlineStr">
        <is>
          <t>Créances
à plus d'un an et
à deux ans
au plus</t>
        </is>
      </c>
      <c r="J8" s="844" t="inlineStr">
        <is>
          <t>Créances
à plus de deux
ans</t>
        </is>
      </c>
    </row>
    <row r="9" ht="17.1" customHeight="1" s="1225">
      <c r="A9" s="1512" t="inlineStr">
        <is>
          <t>Personnel</t>
        </is>
      </c>
      <c r="B9" s="1420" t="n"/>
      <c r="C9" s="1420" t="n"/>
      <c r="D9" s="1411" t="n"/>
      <c r="E9" s="1570" t="n"/>
      <c r="F9" s="1570" t="n"/>
      <c r="G9" s="416" t="n"/>
      <c r="H9" s="1570" t="n"/>
      <c r="I9" s="1570" t="n"/>
      <c r="J9" s="798" t="n"/>
    </row>
    <row r="10" ht="17.1" customHeight="1" s="1225">
      <c r="A10" s="1512" t="inlineStr">
        <is>
          <t>Organismes sociaux</t>
        </is>
      </c>
      <c r="B10" s="1420" t="n"/>
      <c r="C10" s="1420" t="n"/>
      <c r="D10" s="1411" t="n"/>
      <c r="E10" s="1570" t="n"/>
      <c r="F10" s="1570" t="n"/>
      <c r="G10" s="416" t="n"/>
      <c r="H10" s="1570" t="n"/>
      <c r="I10" s="1570" t="n"/>
      <c r="J10" s="798" t="n"/>
    </row>
    <row r="11" ht="17.1" customHeight="1" s="1225">
      <c r="A11" s="1512" t="inlineStr">
        <is>
          <t>Etat et Collectivités publiques</t>
        </is>
      </c>
      <c r="B11" s="1420" t="n"/>
      <c r="C11" s="1420" t="n"/>
      <c r="D11" s="1411" t="n"/>
      <c r="E11" s="71" t="n"/>
      <c r="F11" s="1570" t="n"/>
      <c r="G11" s="416" t="n"/>
      <c r="H11" s="1570" t="n"/>
      <c r="I11" s="1570" t="n"/>
      <c r="J11" s="798" t="n"/>
    </row>
    <row r="12" ht="17.1" customHeight="1" s="1225">
      <c r="A12" s="1512" t="inlineStr">
        <is>
          <t>Organismes internationaux</t>
        </is>
      </c>
      <c r="B12" s="1420" t="n"/>
      <c r="C12" s="1420" t="n"/>
      <c r="D12" s="1411" t="n"/>
      <c r="E12" s="1570" t="n"/>
      <c r="F12" s="1570" t="n"/>
      <c r="G12" s="416" t="n"/>
      <c r="H12" s="1570" t="n"/>
      <c r="I12" s="1570" t="n"/>
      <c r="J12" s="798" t="n"/>
    </row>
    <row r="13" ht="17.1" customHeight="1" s="1225">
      <c r="A13" s="1512" t="inlineStr">
        <is>
          <t>Apporteurs, associés et groupe</t>
        </is>
      </c>
      <c r="B13" s="1420" t="n"/>
      <c r="C13" s="1420" t="n"/>
      <c r="D13" s="1411" t="n"/>
      <c r="E13" s="1570" t="n"/>
      <c r="F13" s="1570" t="n"/>
      <c r="G13" s="416" t="n"/>
      <c r="H13" s="1570" t="n"/>
      <c r="I13" s="1570" t="n"/>
      <c r="J13" s="798" t="n"/>
    </row>
    <row r="14" ht="27" customHeight="1" s="1225">
      <c r="A14" s="1512" t="inlineStr">
        <is>
          <t>Compte transitoire ajustement spécial lié à la révision du
SYSCOHADA (Voir Notes 8A &amp; 8C)</t>
        </is>
      </c>
      <c r="B14" s="1420" t="n"/>
      <c r="C14" s="1420" t="n"/>
      <c r="D14" s="1411" t="n"/>
      <c r="E14" s="1570" t="n"/>
      <c r="F14" s="1570" t="n"/>
      <c r="G14" s="416" t="n"/>
      <c r="H14" s="1570" t="n"/>
      <c r="I14" s="1570" t="n"/>
      <c r="J14" s="798" t="n"/>
    </row>
    <row r="15" ht="17.1" customHeight="1" s="1225">
      <c r="A15" s="1512" t="inlineStr">
        <is>
          <t>Autres débiteurs divers</t>
        </is>
      </c>
      <c r="B15" s="1420" t="n"/>
      <c r="C15" s="1420" t="n"/>
      <c r="D15" s="1411" t="n"/>
      <c r="E15" s="1570" t="n"/>
      <c r="F15" s="1570" t="n"/>
      <c r="G15" s="416" t="n"/>
      <c r="H15" s="1570" t="n"/>
      <c r="I15" s="1570" t="n"/>
      <c r="J15" s="798" t="n"/>
    </row>
    <row r="16" ht="27" customHeight="1" s="1225">
      <c r="A16" s="1512" t="inlineStr">
        <is>
          <t>Comptes permanents non bloqués des établissements et des succursales</t>
        </is>
      </c>
      <c r="B16" s="1420" t="n"/>
      <c r="C16" s="1420" t="n"/>
      <c r="D16" s="1411" t="n"/>
      <c r="E16" s="1570" t="n"/>
      <c r="F16" s="1570" t="n"/>
      <c r="G16" s="416" t="n"/>
      <c r="H16" s="1570" t="n"/>
      <c r="I16" s="1570" t="n"/>
      <c r="J16" s="798" t="n"/>
    </row>
    <row r="17" ht="17.1" customHeight="1" s="1225">
      <c r="A17" s="1512" t="inlineStr">
        <is>
          <t>Comptes de liaison charges et produits</t>
        </is>
      </c>
      <c r="B17" s="1420" t="n"/>
      <c r="C17" s="1420" t="n"/>
      <c r="D17" s="1411" t="n"/>
      <c r="E17" s="1570" t="n"/>
      <c r="F17" s="1570" t="n"/>
      <c r="G17" s="416" t="n"/>
      <c r="H17" s="1570" t="n"/>
      <c r="I17" s="1570" t="n"/>
      <c r="J17" s="798" t="n"/>
    </row>
    <row r="18" ht="17.1" customHeight="1" s="1225">
      <c r="A18" s="1512" t="inlineStr">
        <is>
          <t>Comptes de liaison des sociétés en participation</t>
        </is>
      </c>
      <c r="B18" s="1420" t="n"/>
      <c r="C18" s="1420" t="n"/>
      <c r="D18" s="1411" t="n"/>
      <c r="E18" s="1570" t="n"/>
      <c r="F18" s="1570" t="n"/>
      <c r="G18" s="416" t="n"/>
      <c r="H18" s="1570" t="n"/>
      <c r="I18" s="1570" t="n"/>
      <c r="J18" s="798" t="n"/>
    </row>
    <row r="19" ht="16.5" customHeight="1" s="1225">
      <c r="A19" s="1544" t="inlineStr">
        <is>
          <t>TOTAL BRUT AUTRES CREANCES</t>
        </is>
      </c>
      <c r="B19" s="1420" t="n"/>
      <c r="C19" s="1420" t="n"/>
      <c r="D19" s="1411" t="n"/>
      <c r="E19" s="1631">
        <f>SUM(E9:E18)</f>
        <v/>
      </c>
      <c r="F19" s="1631">
        <f>SUM(F9:F18)</f>
        <v/>
      </c>
      <c r="G19" s="417">
        <f>IF(F19,(E19-F19)/F19,IF(ISBLANK(F19),"",IF(E19,IF( E19 &gt; 0,1,-1),"")))</f>
        <v/>
      </c>
      <c r="H19" s="1631">
        <f>SUM(H9:H18)</f>
        <v/>
      </c>
      <c r="I19" s="1631">
        <f>SUM(I9:I18)</f>
        <v/>
      </c>
      <c r="J19" s="840">
        <f>SUM(J9:J18)</f>
        <v/>
      </c>
    </row>
    <row r="20" ht="17.1" customHeight="1" s="1225">
      <c r="A20" s="1512" t="inlineStr">
        <is>
          <t>Dépréciations des autres créances</t>
        </is>
      </c>
      <c r="B20" s="1420" t="n"/>
      <c r="C20" s="1420" t="n"/>
      <c r="D20" s="1411" t="n"/>
      <c r="E20" s="1570" t="n"/>
      <c r="F20" s="1570" t="n"/>
      <c r="G20" s="416">
        <f>IF(F20,(E20-F20)/F20,IF(ISBLANK(F20),"",IF(E20,IF( E20 &gt; 0,1,-1),"")))</f>
        <v/>
      </c>
      <c r="H20" s="561" t="n"/>
      <c r="I20" s="561" t="n"/>
      <c r="J20" s="845" t="n"/>
    </row>
    <row r="21" ht="17.1" customHeight="1" s="1225" thickBot="1">
      <c r="A21" s="1629" t="inlineStr">
        <is>
          <t>TOTAL NET DE DEPRECIATIONS</t>
        </is>
      </c>
      <c r="B21" s="1527" t="n"/>
      <c r="C21" s="1527" t="n"/>
      <c r="D21" s="1528" t="n"/>
      <c r="E21" s="1628">
        <f>E19-E20</f>
        <v/>
      </c>
      <c r="F21" s="1628">
        <f>F19-F20</f>
        <v/>
      </c>
      <c r="G21" s="842">
        <f>IF(F21,(E21-F21)/F21,IF(ISBLANK(F21),"",IF(E21,IF( E21 &gt; 0,1,-1),"")))</f>
        <v/>
      </c>
      <c r="H21" s="846" t="n"/>
      <c r="I21" s="846" t="n"/>
      <c r="J21" s="847" t="n"/>
    </row>
    <row r="22" ht="10.15" customFormat="1" customHeight="1" s="1356">
      <c r="A22" s="559" t="inlineStr">
        <is>
          <t>Commentaire :</t>
        </is>
      </c>
    </row>
    <row r="23" ht="10.15" customFormat="1" customHeight="1" s="1356">
      <c r="A23" s="614" t="inlineStr">
        <is>
          <t>●   Justifier toute variation significative.</t>
        </is>
      </c>
      <c r="E23" s="1101" t="n"/>
    </row>
    <row r="24" ht="10.15" customFormat="1" customHeight="1" s="1356">
      <c r="A24" s="614" t="inlineStr">
        <is>
          <t>●   Détailler les créances dont le montant est significatif.</t>
        </is>
      </c>
    </row>
    <row r="25" ht="10.15" customFormat="1" customHeight="1" s="1356">
      <c r="A25" s="614" t="inlineStr">
        <is>
          <t>●   Justifier les créances anciennes.</t>
        </is>
      </c>
    </row>
    <row r="26" ht="10.15" customFormat="1" customHeight="1" s="1356">
      <c r="A26" s="614" t="inlineStr">
        <is>
          <t>●   Indiquer les événements et circonstances qui ont conduit à la dépréciation et à la reprise.</t>
        </is>
      </c>
    </row>
    <row r="27" ht="10.15" customFormat="1" customHeight="1" s="1356">
      <c r="A27" s="614" t="inlineStr">
        <is>
          <t>●   Compte transitoire ajustement spécial, indiquer le détail du compte et la durée restant pour l'apurement.</t>
        </is>
      </c>
    </row>
  </sheetData>
  <mergeCells count="22">
    <mergeCell ref="C3:J3"/>
    <mergeCell ref="A17:D17"/>
    <mergeCell ref="A8:D8"/>
    <mergeCell ref="I2:J2"/>
    <mergeCell ref="A20:D20"/>
    <mergeCell ref="A19:D19"/>
    <mergeCell ref="A10:D10"/>
    <mergeCell ref="A13:D13"/>
    <mergeCell ref="A9:D9"/>
    <mergeCell ref="B4:H4"/>
    <mergeCell ref="A15:D15"/>
    <mergeCell ref="A11:D11"/>
    <mergeCell ref="A1:J1"/>
    <mergeCell ref="G5:H5"/>
    <mergeCell ref="A7:J7"/>
    <mergeCell ref="A16:D16"/>
    <mergeCell ref="C6:E6"/>
    <mergeCell ref="A18:D18"/>
    <mergeCell ref="C5:E5"/>
    <mergeCell ref="A12:D12"/>
    <mergeCell ref="A21:D21"/>
    <mergeCell ref="A14:D14"/>
  </mergeCells>
  <dataValidations count="2">
    <dataValidation sqref="E9:E10 E12:E18 E20:F20 F9:F18 H9:J18 H20:J20" showDropDown="0" showInputMessage="1" showErrorMessage="1" allowBlank="1" errorTitle="Attention!" error="Valeur numérique attendue" type="whole">
      <formula1>-9999999999999</formula1>
      <formula2>9999999999999</formula2>
    </dataValidation>
    <dataValidation sqref="E11" showDropDown="0" showInputMessage="0" showErrorMessage="1" allowBlank="1" errorTitle="Attention !"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worksheet>
</file>

<file path=xl/worksheets/sheet28.xml><?xml version="1.0" encoding="utf-8"?>
<worksheet xmlns="http://schemas.openxmlformats.org/spreadsheetml/2006/main">
  <sheetPr codeName="Feuil27">
    <tabColor theme="4" tint="0.5999938962981048"/>
    <outlinePr summaryBelow="1" summaryRight="1"/>
    <pageSetUpPr fitToPage="1"/>
  </sheetPr>
  <dimension ref="A1:J29"/>
  <sheetViews>
    <sheetView showGridLines="0" topLeftCell="A16" workbookViewId="0">
      <selection activeCell="B14" sqref="B14"/>
    </sheetView>
  </sheetViews>
  <sheetFormatPr baseColWidth="10" defaultColWidth="11.42578125" defaultRowHeight="15"/>
  <cols>
    <col width="15.85546875" customWidth="1" style="1225" min="2" max="2"/>
    <col width="14.42578125" customWidth="1" style="1225" min="5" max="5"/>
    <col width="15.85546875" customWidth="1" style="1225" min="6" max="6"/>
    <col width="14.42578125" customWidth="1" style="1225" min="7" max="7"/>
    <col width="15.85546875" customWidth="1" style="1225" min="8" max="8"/>
    <col width="14.42578125" customWidth="1" style="1225" min="9" max="9"/>
    <col width="15.85546875" customWidth="1" style="1225" min="10" max="10"/>
  </cols>
  <sheetData>
    <row r="1">
      <c r="A1" s="1429" t="inlineStr">
        <is>
          <t>- 0 -</t>
        </is>
      </c>
    </row>
    <row r="2" ht="24.95" customHeight="1" s="1225">
      <c r="A2" s="1429" t="n"/>
      <c r="B2" s="1429" t="n"/>
      <c r="C2" s="1429" t="n"/>
      <c r="D2" s="1429" t="n"/>
      <c r="E2" s="1429" t="n"/>
      <c r="F2" s="1429" t="n"/>
      <c r="G2" s="1429" t="n"/>
      <c r="I2" s="1438" t="inlineStr">
        <is>
          <t>NOTE 8A
SYSTEME NORMAL</t>
        </is>
      </c>
      <c r="J2" s="1411" t="n"/>
    </row>
    <row r="3" ht="15" customFormat="1" customHeight="1" s="1382">
      <c r="A3" s="1451" t="inlineStr">
        <is>
          <t>Dénomination sociale de l'entité :</t>
        </is>
      </c>
      <c r="B3" s="1451" t="n"/>
      <c r="C3" s="1276">
        <f>'NOTE 1'!C3</f>
        <v/>
      </c>
      <c r="D3" s="1277" t="n"/>
      <c r="E3" s="1277" t="n"/>
      <c r="F3" s="1277" t="n"/>
      <c r="G3" s="1277" t="n"/>
      <c r="H3" s="1277" t="n"/>
      <c r="I3" s="1277" t="n"/>
      <c r="J3" s="1277" t="n"/>
    </row>
    <row r="4" ht="15" customFormat="1" customHeight="1" s="1382">
      <c r="A4" s="1451" t="inlineStr">
        <is>
          <t>Adresse :</t>
        </is>
      </c>
      <c r="B4" s="1276">
        <f>'NOTE 1'!B4</f>
        <v/>
      </c>
      <c r="C4" s="1277" t="n"/>
      <c r="D4" s="1277" t="n"/>
      <c r="E4" s="1277" t="n"/>
      <c r="F4" s="1277" t="n"/>
      <c r="G4" s="1277" t="n"/>
      <c r="H4" s="1277" t="n"/>
      <c r="I4" s="1589" t="inlineStr">
        <is>
          <t>Sigle usuel :</t>
        </is>
      </c>
      <c r="J4" s="1285">
        <f>'NOTE 1'!I4</f>
        <v/>
      </c>
    </row>
    <row r="5" ht="15" customFormat="1" customHeight="1" s="1382">
      <c r="A5" s="1451" t="inlineStr">
        <is>
          <t>N° d'identification fiscale :</t>
        </is>
      </c>
      <c r="B5" s="1451" t="n"/>
      <c r="C5" s="1276">
        <f>'NOTE 1'!C5</f>
        <v/>
      </c>
      <c r="D5" s="1277" t="n"/>
      <c r="E5" s="1277" t="n"/>
      <c r="F5" s="1457" t="inlineStr">
        <is>
          <t>Exercice clos le :</t>
        </is>
      </c>
      <c r="G5" s="1548">
        <f>'NOTE 1'!G5</f>
        <v/>
      </c>
      <c r="H5" s="1521" t="n"/>
      <c r="I5" s="1589" t="inlineStr">
        <is>
          <t>Durée (en mois) :</t>
        </is>
      </c>
      <c r="J5" s="1970">
        <f>'NOTE 1'!I5</f>
        <v/>
      </c>
    </row>
    <row r="6" ht="15" customFormat="1" customHeight="1" s="1382">
      <c r="A6" s="1451" t="inlineStr">
        <is>
          <t xml:space="preserve">N° de télédéclarant (NTD): </t>
        </is>
      </c>
      <c r="B6" s="1451" t="n"/>
      <c r="C6" s="1520">
        <f>'NOTE 1'!C6</f>
        <v/>
      </c>
      <c r="D6" s="1521" t="n"/>
      <c r="E6" s="1521" t="n"/>
      <c r="F6" s="253" t="n"/>
      <c r="G6" s="1970" t="n"/>
      <c r="H6" s="1970" t="n"/>
      <c r="I6" s="254" t="n"/>
      <c r="J6" s="1970" t="n"/>
    </row>
    <row r="7" ht="35.1" customHeight="1" s="1225">
      <c r="A7" s="1341" t="inlineStr">
        <is>
          <t>NOTE 8A : TABLEAU D’ETALEMENT DES CHARGES IMMOBILISEES</t>
        </is>
      </c>
    </row>
    <row r="8" ht="36" customHeight="1" s="1225">
      <c r="A8" s="1593" t="inlineStr">
        <is>
          <t>Libellés</t>
        </is>
      </c>
      <c r="B8" s="1420" t="n"/>
      <c r="C8" s="1420" t="n"/>
      <c r="D8" s="1411" t="n"/>
      <c r="E8" s="1593" t="inlineStr">
        <is>
          <t>Frais d'établissement</t>
        </is>
      </c>
      <c r="F8" s="1411" t="n"/>
      <c r="G8" s="1593" t="inlineStr">
        <is>
          <t>Charges à repartir
sur plusieurs exercices</t>
        </is>
      </c>
      <c r="H8" s="1411" t="n"/>
      <c r="I8" s="1593" t="inlineStr">
        <is>
          <t>Primes de remboursement
des obligations</t>
        </is>
      </c>
      <c r="J8" s="1411" t="n"/>
    </row>
    <row r="9" ht="25.5" customHeight="1" s="1225">
      <c r="A9" s="1642" t="inlineStr">
        <is>
          <t>Compte transitoire à solder: 4751 compte transitoire, ajustement lié à la révision du SYSCOHADA, compte-actif</t>
        </is>
      </c>
      <c r="B9" s="1420" t="n"/>
      <c r="C9" s="1420" t="n"/>
      <c r="D9" s="1420" t="n"/>
      <c r="E9" s="1420" t="n"/>
      <c r="F9" s="1420" t="n"/>
      <c r="G9" s="1420" t="n"/>
      <c r="H9" s="1420" t="n"/>
      <c r="I9" s="1420" t="n"/>
      <c r="J9" s="1411" t="n"/>
    </row>
    <row r="10" ht="15" customHeight="1" s="1225">
      <c r="A10" s="1643" t="inlineStr">
        <is>
          <t>Montant global à étaler au 1er janvier 2018</t>
        </is>
      </c>
      <c r="B10" s="1420" t="n"/>
      <c r="C10" s="1420" t="n"/>
      <c r="D10" s="1411" t="n"/>
      <c r="E10" s="1638" t="n"/>
      <c r="F10" s="1396" t="n"/>
      <c r="G10" s="1638" t="n"/>
      <c r="H10" s="1396" t="n"/>
      <c r="I10" s="1638" t="n"/>
      <c r="J10" s="1396" t="n"/>
    </row>
    <row r="11" ht="15" customHeight="1" s="1225">
      <c r="A11" s="1643" t="inlineStr">
        <is>
          <t>Durée d'étalement retenue</t>
        </is>
      </c>
      <c r="B11" s="1420" t="n"/>
      <c r="C11" s="1420" t="n"/>
      <c r="D11" s="1411" t="n"/>
      <c r="E11" s="1636" t="n"/>
      <c r="F11" s="1396" t="n"/>
      <c r="G11" s="1636" t="n"/>
      <c r="H11" s="1396" t="n"/>
      <c r="I11" s="1636" t="n"/>
      <c r="J11" s="1396" t="n"/>
    </row>
    <row r="12" ht="18.95" customHeight="1" s="1225">
      <c r="A12" s="1640" t="inlineStr">
        <is>
          <t>Exercice 2018</t>
        </is>
      </c>
      <c r="B12" s="1582" t="n"/>
      <c r="C12" s="1582" t="n"/>
      <c r="D12" s="1583" t="n"/>
      <c r="E12" s="1593" t="inlineStr">
        <is>
          <t>Comptes</t>
        </is>
      </c>
      <c r="F12" s="1593" t="inlineStr">
        <is>
          <t>Montants</t>
        </is>
      </c>
      <c r="G12" s="1593" t="inlineStr">
        <is>
          <t>Comptes</t>
        </is>
      </c>
      <c r="H12" s="1593" t="inlineStr">
        <is>
          <t>Montants</t>
        </is>
      </c>
      <c r="I12" s="1593" t="inlineStr">
        <is>
          <t>Comptes</t>
        </is>
      </c>
      <c r="J12" s="1593" t="inlineStr">
        <is>
          <t>Montants</t>
        </is>
      </c>
    </row>
    <row r="13" ht="15.95" customHeight="1" s="1225">
      <c r="A13" s="1641" t="n"/>
      <c r="D13" s="1550" t="n"/>
      <c r="E13" s="568" t="inlineStr">
        <is>
          <t>60...</t>
        </is>
      </c>
      <c r="F13" s="1570" t="n"/>
      <c r="G13" s="568" t="inlineStr">
        <is>
          <t>60...</t>
        </is>
      </c>
      <c r="H13" s="1570" t="n"/>
      <c r="I13" s="568" t="n">
        <v>6714</v>
      </c>
      <c r="J13" s="1570" t="n"/>
    </row>
    <row r="14" ht="15.95" customHeight="1" s="1225">
      <c r="A14" s="1641" t="n"/>
      <c r="D14" s="1550" t="n"/>
      <c r="E14" s="568" t="inlineStr">
        <is>
          <t>61...</t>
        </is>
      </c>
      <c r="F14" s="1570" t="n"/>
      <c r="G14" s="568" t="inlineStr">
        <is>
          <t>61...</t>
        </is>
      </c>
      <c r="H14" s="1570" t="n"/>
      <c r="I14" s="546" t="n"/>
      <c r="J14" s="546" t="n"/>
    </row>
    <row r="15" ht="15.95" customHeight="1" s="1225">
      <c r="A15" s="1641" t="n"/>
      <c r="D15" s="1550" t="n"/>
      <c r="E15" s="568" t="inlineStr">
        <is>
          <t>62...</t>
        </is>
      </c>
      <c r="F15" s="1570" t="n"/>
      <c r="G15" s="568" t="inlineStr">
        <is>
          <t>62...</t>
        </is>
      </c>
      <c r="H15" s="1570" t="n"/>
      <c r="I15" s="546" t="n"/>
      <c r="J15" s="546" t="n"/>
    </row>
    <row r="16" ht="15.95" customHeight="1" s="1225">
      <c r="A16" s="1641" t="n"/>
      <c r="D16" s="1550" t="n"/>
      <c r="E16" s="568" t="inlineStr">
        <is>
          <t>63...</t>
        </is>
      </c>
      <c r="F16" s="1570" t="n"/>
      <c r="G16" s="568" t="inlineStr">
        <is>
          <t>63...</t>
        </is>
      </c>
      <c r="H16" s="1570" t="n"/>
      <c r="I16" s="546" t="n"/>
      <c r="J16" s="546" t="n"/>
    </row>
    <row r="17" ht="15.95" customHeight="1" s="1225">
      <c r="A17" s="1641" t="n"/>
      <c r="D17" s="1550" t="n"/>
      <c r="E17" s="568" t="n"/>
      <c r="F17" s="1570" t="n"/>
      <c r="G17" s="568" t="n"/>
      <c r="H17" s="1570" t="n"/>
      <c r="I17" s="546" t="n"/>
      <c r="J17" s="546" t="n"/>
    </row>
    <row r="18" ht="15.95" customHeight="1" s="1225">
      <c r="A18" s="1641" t="n"/>
      <c r="D18" s="1550" t="n"/>
      <c r="E18" s="568" t="n"/>
      <c r="F18" s="1570" t="n"/>
      <c r="G18" s="568" t="n"/>
      <c r="H18" s="1570" t="n"/>
      <c r="I18" s="546" t="n"/>
      <c r="J18" s="546" t="n"/>
    </row>
    <row r="19" ht="15.95" customHeight="1" s="1225">
      <c r="A19" s="1641" t="n"/>
      <c r="D19" s="1550" t="n"/>
      <c r="E19" s="568" t="n"/>
      <c r="F19" s="1570" t="n"/>
      <c r="G19" s="568" t="n"/>
      <c r="H19" s="1570" t="n"/>
      <c r="I19" s="546" t="n"/>
      <c r="J19" s="546" t="n"/>
    </row>
    <row r="20" ht="15.95" customHeight="1" s="1225">
      <c r="A20" s="1641" t="n"/>
      <c r="D20" s="1550" t="n"/>
      <c r="E20" s="568" t="n"/>
      <c r="F20" s="1570" t="n"/>
      <c r="G20" s="568" t="n"/>
      <c r="H20" s="1570" t="n"/>
      <c r="I20" s="546" t="n"/>
      <c r="J20" s="546" t="n"/>
    </row>
    <row r="21" ht="15.95" customHeight="1" s="1225">
      <c r="A21" s="1641" t="n"/>
      <c r="D21" s="1550" t="n"/>
      <c r="E21" s="568" t="n"/>
      <c r="F21" s="1570" t="n"/>
      <c r="G21" s="568" t="n"/>
      <c r="H21" s="1570" t="n"/>
      <c r="I21" s="546" t="n"/>
      <c r="J21" s="546" t="n"/>
    </row>
    <row r="22" ht="15.95" customHeight="1" s="1225">
      <c r="A22" s="1594" t="n"/>
      <c r="B22" s="1516" t="n"/>
      <c r="C22" s="1516" t="n"/>
      <c r="D22" s="1517" t="n"/>
      <c r="E22" s="568" t="inlineStr">
        <is>
          <t>...</t>
        </is>
      </c>
      <c r="F22" s="1570" t="n"/>
      <c r="G22" s="568" t="inlineStr">
        <is>
          <t>...</t>
        </is>
      </c>
      <c r="H22" s="1570" t="n"/>
      <c r="I22" s="546" t="n"/>
      <c r="J22" s="546" t="n"/>
    </row>
    <row r="23" ht="15.95" customHeight="1" s="1225">
      <c r="A23" s="1637" t="inlineStr">
        <is>
          <t>Total exercice 2018</t>
        </is>
      </c>
      <c r="B23" s="1420" t="n"/>
      <c r="C23" s="1420" t="n"/>
      <c r="D23" s="1411" t="n"/>
      <c r="E23" s="546" t="n"/>
      <c r="F23" s="139" t="n"/>
      <c r="G23" s="546" t="n"/>
      <c r="H23" s="139" t="n"/>
      <c r="I23" s="546" t="n"/>
      <c r="J23" s="1570" t="n"/>
    </row>
    <row r="24" ht="15.95" customHeight="1" s="1225">
      <c r="A24" s="1637" t="inlineStr">
        <is>
          <t>Total exercice 2019</t>
        </is>
      </c>
      <c r="B24" s="1420" t="n"/>
      <c r="C24" s="1420" t="n"/>
      <c r="D24" s="1411" t="n"/>
      <c r="E24" s="546" t="n"/>
      <c r="F24" s="139" t="n"/>
      <c r="G24" s="546" t="n"/>
      <c r="H24" s="139" t="n"/>
      <c r="I24" s="546" t="n"/>
      <c r="J24" s="1570" t="n"/>
    </row>
    <row r="25" ht="15.95" customHeight="1" s="1225">
      <c r="A25" s="1637" t="inlineStr">
        <is>
          <t>Total exercice 2020</t>
        </is>
      </c>
      <c r="B25" s="1420" t="n"/>
      <c r="C25" s="1420" t="n"/>
      <c r="D25" s="1411" t="n"/>
      <c r="E25" s="546" t="n"/>
      <c r="F25" s="139" t="n"/>
      <c r="G25" s="546" t="n"/>
      <c r="H25" s="139" t="n"/>
      <c r="I25" s="546" t="n"/>
      <c r="J25" s="1570" t="n"/>
    </row>
    <row r="26" ht="15.95" customHeight="1" s="1225">
      <c r="A26" s="1637" t="inlineStr">
        <is>
          <t>Total exercice 2021</t>
        </is>
      </c>
      <c r="B26" s="1420" t="n"/>
      <c r="C26" s="1420" t="n"/>
      <c r="D26" s="1411" t="n"/>
      <c r="E26" s="546" t="n"/>
      <c r="F26" s="139" t="n"/>
      <c r="G26" s="546" t="n"/>
      <c r="H26" s="139" t="n"/>
      <c r="I26" s="546" t="n"/>
      <c r="J26" s="1570" t="n"/>
    </row>
    <row r="27" ht="15.95" customHeight="1" s="1225">
      <c r="A27" s="1637" t="inlineStr">
        <is>
          <t>Total exercice 2022</t>
        </is>
      </c>
      <c r="B27" s="1420" t="n"/>
      <c r="C27" s="1420" t="n"/>
      <c r="D27" s="1411" t="n"/>
      <c r="E27" s="546" t="n"/>
      <c r="F27" s="139" t="n"/>
      <c r="G27" s="546" t="n"/>
      <c r="H27" s="139" t="n"/>
      <c r="I27" s="546" t="n"/>
      <c r="J27" s="1570" t="n"/>
    </row>
    <row r="28" ht="15.95" customHeight="1" s="1225">
      <c r="A28" s="1639" t="inlineStr">
        <is>
          <t>TOTAL GENERAL</t>
        </is>
      </c>
      <c r="B28" s="1420" t="n"/>
      <c r="C28" s="1420" t="n"/>
      <c r="D28" s="1411" t="n"/>
      <c r="E28" s="591" t="n"/>
      <c r="F28" s="340">
        <f>SUM(F23:F27)</f>
        <v/>
      </c>
      <c r="G28" s="546" t="n"/>
      <c r="H28" s="340">
        <f>SUM(H23:H27)</f>
        <v/>
      </c>
      <c r="I28" s="546" t="n"/>
      <c r="J28" s="340">
        <f>SUM(J23:J27)</f>
        <v/>
      </c>
    </row>
    <row r="29">
      <c r="F29" s="1992" t="n"/>
    </row>
  </sheetData>
  <mergeCells count="28">
    <mergeCell ref="A23:D23"/>
    <mergeCell ref="C3:J3"/>
    <mergeCell ref="A8:D8"/>
    <mergeCell ref="I2:J2"/>
    <mergeCell ref="G11:H11"/>
    <mergeCell ref="I11:J11"/>
    <mergeCell ref="G8:H8"/>
    <mergeCell ref="A10:D10"/>
    <mergeCell ref="A28:D28"/>
    <mergeCell ref="E8:F8"/>
    <mergeCell ref="A12:D22"/>
    <mergeCell ref="E10:F10"/>
    <mergeCell ref="B4:H4"/>
    <mergeCell ref="G10:H10"/>
    <mergeCell ref="A9:J9"/>
    <mergeCell ref="A24:D24"/>
    <mergeCell ref="A11:D11"/>
    <mergeCell ref="A1:J1"/>
    <mergeCell ref="E11:F11"/>
    <mergeCell ref="G5:H5"/>
    <mergeCell ref="A7:J7"/>
    <mergeCell ref="A25:D25"/>
    <mergeCell ref="I8:J8"/>
    <mergeCell ref="C6:E6"/>
    <mergeCell ref="A27:D27"/>
    <mergeCell ref="C5:E5"/>
    <mergeCell ref="I10:J10"/>
    <mergeCell ref="A26:D26"/>
  </mergeCells>
  <dataValidations count="1">
    <dataValidation sqref="E10:J10 F13:F27 H13:H27 J13 J23:J27"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9"/>
</worksheet>
</file>

<file path=xl/worksheets/sheet29.xml><?xml version="1.0" encoding="utf-8"?>
<worksheet xmlns="http://schemas.openxmlformats.org/spreadsheetml/2006/main">
  <sheetPr codeName="Feuil28">
    <tabColor theme="4" tint="0.5999938962981048"/>
    <outlinePr summaryBelow="1" summaryRight="1"/>
    <pageSetUpPr/>
  </sheetPr>
  <dimension ref="A1:I19"/>
  <sheetViews>
    <sheetView showGridLines="0" topLeftCell="A10" workbookViewId="0">
      <selection activeCell="B14" sqref="B14"/>
    </sheetView>
  </sheetViews>
  <sheetFormatPr baseColWidth="10" defaultColWidth="11.42578125" defaultRowHeight="15"/>
  <cols>
    <col width="16.85546875" customWidth="1" style="1225" min="2" max="2"/>
    <col width="4.5703125" customWidth="1" style="1225" min="4" max="4"/>
    <col width="14.140625" customWidth="1" style="1225" min="5" max="5"/>
    <col width="7.42578125" customWidth="1" style="1225" min="6" max="6"/>
    <col width="7" customWidth="1" style="1225" min="7" max="7"/>
    <col width="15.5703125" customWidth="1" style="1225" min="8" max="8"/>
    <col width="13.42578125" customWidth="1" style="1225" min="9" max="9"/>
  </cols>
  <sheetData>
    <row r="1">
      <c r="A1" s="1429" t="inlineStr">
        <is>
          <t>- 0 -</t>
        </is>
      </c>
    </row>
    <row r="2" ht="24.95" customHeight="1" s="1225">
      <c r="A2" s="1429" t="n"/>
      <c r="B2" s="1429" t="n"/>
      <c r="C2" s="1429" t="n"/>
      <c r="D2" s="1429" t="n"/>
      <c r="E2" s="1429" t="n"/>
      <c r="F2" s="1429" t="n"/>
      <c r="G2" s="1429" t="n"/>
      <c r="H2" s="1438" t="inlineStr">
        <is>
          <t>NOTE 8B
SYSTEME NORMAL</t>
        </is>
      </c>
      <c r="I2" s="1411" t="n"/>
    </row>
    <row r="3" ht="15" customFormat="1" customHeight="1" s="127">
      <c r="A3" s="1451" t="inlineStr">
        <is>
          <t>Dénomination sociale de l'entité :</t>
        </is>
      </c>
      <c r="B3" s="1451" t="n"/>
      <c r="C3" s="1488">
        <f>'NOTE 1'!C3</f>
        <v/>
      </c>
      <c r="D3" s="1288" t="n"/>
      <c r="E3" s="1288" t="n"/>
      <c r="F3" s="1288" t="n"/>
      <c r="G3" s="1288" t="n"/>
      <c r="H3" s="1288" t="n"/>
      <c r="I3" s="295" t="n"/>
    </row>
    <row r="4" ht="15" customFormat="1" customHeight="1" s="127">
      <c r="A4" s="1451" t="inlineStr">
        <is>
          <t>Adresse :</t>
        </is>
      </c>
      <c r="B4" s="1276">
        <f>'NOTE 1'!B4</f>
        <v/>
      </c>
      <c r="C4" s="1277" t="n"/>
      <c r="D4" s="1277" t="n"/>
      <c r="E4" s="1277" t="n"/>
      <c r="F4" s="1277" t="n"/>
      <c r="G4" s="1277" t="n"/>
      <c r="H4" s="1589" t="inlineStr">
        <is>
          <t>Sigle usuel :</t>
        </is>
      </c>
      <c r="I4" s="1970">
        <f>'NOTE 1'!I4</f>
        <v/>
      </c>
    </row>
    <row r="5" ht="15" customFormat="1" customHeight="1" s="127">
      <c r="A5" s="1451" t="inlineStr">
        <is>
          <t>N° d'identification fiscale :</t>
        </is>
      </c>
      <c r="B5" s="1451" t="n"/>
      <c r="C5" s="1280">
        <f>'NOTE 1'!C5</f>
        <v/>
      </c>
      <c r="D5" s="1279" t="n"/>
      <c r="E5" s="1457" t="inlineStr">
        <is>
          <t>Exercice clos le :</t>
        </is>
      </c>
      <c r="F5" s="1601" t="n"/>
      <c r="G5" s="1279" t="n"/>
      <c r="H5" s="1589" t="inlineStr">
        <is>
          <t>Durée (en mois) :</t>
        </is>
      </c>
      <c r="I5" s="111">
        <f>'NOTE 1'!I5</f>
        <v/>
      </c>
    </row>
    <row r="6" ht="15" customFormat="1" customHeight="1" s="127">
      <c r="A6" s="259" t="inlineStr">
        <is>
          <t xml:space="preserve">N° de télédéclarant (NTD): </t>
        </is>
      </c>
      <c r="B6" s="1451" t="n"/>
      <c r="C6" s="1520">
        <f>'NOTE 1'!C6</f>
        <v/>
      </c>
      <c r="D6" s="1521" t="n"/>
      <c r="E6" s="253" t="n"/>
      <c r="F6" s="1970" t="n"/>
      <c r="G6" s="1970" t="n"/>
      <c r="H6" s="254" t="n"/>
      <c r="I6" s="1970" t="n"/>
    </row>
    <row r="7" ht="35.1" customHeight="1" s="1225">
      <c r="A7" s="1650" t="inlineStr">
        <is>
          <t>NOTE 8B : TABLEAU D’ETALEMENT DE PROVISIONS POUR CHARGES A REPARTIR</t>
        </is>
      </c>
      <c r="B7" s="1516" t="n"/>
      <c r="C7" s="1516" t="n"/>
      <c r="D7" s="1516" t="n"/>
      <c r="E7" s="1516" t="n"/>
      <c r="F7" s="1516" t="n"/>
      <c r="G7" s="1516" t="n"/>
      <c r="H7" s="1516" t="n"/>
      <c r="I7" s="1516" t="n"/>
    </row>
    <row r="8" ht="36" customHeight="1" s="1225">
      <c r="A8" s="1593" t="inlineStr">
        <is>
          <t>LIBELLES</t>
        </is>
      </c>
      <c r="B8" s="1420" t="n"/>
      <c r="C8" s="1420" t="n"/>
      <c r="D8" s="1411" t="n"/>
      <c r="E8" s="1593" t="inlineStr">
        <is>
          <t>PROVISIONS POUR CHARGES A REPARTIR</t>
        </is>
      </c>
      <c r="F8" s="1420" t="n"/>
      <c r="G8" s="1420" t="n"/>
      <c r="H8" s="1420" t="n"/>
      <c r="I8" s="1411" t="n"/>
    </row>
    <row r="9" ht="35.25" customHeight="1" s="1225">
      <c r="A9" s="1648" t="inlineStr">
        <is>
          <t>Compte transitoire à solder: 4752 compte transitoire
ajustement spécial lié à la révision du SYSCOHADA, compte-passif</t>
        </is>
      </c>
      <c r="B9" s="1420" t="n"/>
      <c r="C9" s="1420" t="n"/>
      <c r="D9" s="1420" t="n"/>
      <c r="E9" s="1420" t="n"/>
      <c r="F9" s="1420" t="n"/>
      <c r="G9" s="1420" t="n"/>
      <c r="H9" s="1420" t="n"/>
      <c r="I9" s="1411" t="n"/>
    </row>
    <row r="10" ht="18" customHeight="1" s="1225">
      <c r="A10" s="1643" t="inlineStr">
        <is>
          <t>Montant global à étaler au 1er janvier 2018</t>
        </is>
      </c>
      <c r="B10" s="1420" t="n"/>
      <c r="C10" s="1420" t="n"/>
      <c r="D10" s="1411" t="n"/>
      <c r="E10" s="1638" t="n"/>
      <c r="F10" s="1395" t="n"/>
      <c r="G10" s="1395" t="n"/>
      <c r="H10" s="1395" t="n"/>
      <c r="I10" s="1396" t="n"/>
    </row>
    <row r="11" ht="18" customHeight="1" s="1225">
      <c r="A11" s="1643" t="inlineStr">
        <is>
          <t>Durée d'étalement retenue</t>
        </is>
      </c>
      <c r="B11" s="1420" t="n"/>
      <c r="C11" s="1420" t="n"/>
      <c r="D11" s="1411" t="n"/>
      <c r="E11" s="1646" t="n"/>
      <c r="F11" s="1395" t="n"/>
      <c r="G11" s="1395" t="n"/>
      <c r="H11" s="1395" t="n"/>
      <c r="I11" s="1396" t="n"/>
    </row>
    <row r="12" ht="18.95" customHeight="1" s="1225">
      <c r="A12" s="593" t="n"/>
      <c r="B12" s="594" t="n"/>
      <c r="C12" s="594" t="n"/>
      <c r="D12" s="595" t="n"/>
      <c r="E12" s="1593" t="inlineStr">
        <is>
          <t>Comptes</t>
        </is>
      </c>
      <c r="F12" s="1420" t="n"/>
      <c r="G12" s="1411" t="n"/>
      <c r="H12" s="1649" t="inlineStr">
        <is>
          <t>Montants</t>
        </is>
      </c>
      <c r="I12" s="1411" t="n"/>
    </row>
    <row r="13" ht="30" customHeight="1" s="1225">
      <c r="A13" s="596" t="n"/>
      <c r="B13" s="597" t="n"/>
      <c r="C13" s="597" t="n"/>
      <c r="D13" s="598" t="n"/>
      <c r="E13" s="1651" t="inlineStr">
        <is>
          <t>791 Reprises de provisions et dépréciations d'exploitation</t>
        </is>
      </c>
      <c r="F13" s="1516" t="n"/>
      <c r="G13" s="1517" t="n"/>
      <c r="H13" s="1645" t="n"/>
      <c r="I13" s="1396" t="n"/>
    </row>
    <row r="14" ht="17.85" customHeight="1" s="1225">
      <c r="A14" s="1637" t="inlineStr">
        <is>
          <t>Total exercice 2018</t>
        </is>
      </c>
      <c r="B14" s="1420" t="n"/>
      <c r="C14" s="1420" t="n"/>
      <c r="D14" s="1411" t="n"/>
      <c r="E14" s="1644" t="n"/>
      <c r="F14" s="1420" t="n"/>
      <c r="G14" s="1411" t="n"/>
      <c r="H14" s="1645" t="n"/>
      <c r="I14" s="1396" t="n"/>
    </row>
    <row r="15" ht="17.85" customHeight="1" s="1225">
      <c r="A15" s="1637" t="inlineStr">
        <is>
          <t>Total exercice 2019</t>
        </is>
      </c>
      <c r="B15" s="1420" t="n"/>
      <c r="C15" s="1420" t="n"/>
      <c r="D15" s="1411" t="n"/>
      <c r="E15" s="1644" t="n"/>
      <c r="F15" s="1420" t="n"/>
      <c r="G15" s="1411" t="n"/>
      <c r="H15" s="1645" t="n"/>
      <c r="I15" s="1396" t="n"/>
    </row>
    <row r="16" ht="17.85" customHeight="1" s="1225">
      <c r="A16" s="1637" t="inlineStr">
        <is>
          <t>Total exercice 2020</t>
        </is>
      </c>
      <c r="B16" s="1420" t="n"/>
      <c r="C16" s="1420" t="n"/>
      <c r="D16" s="1411" t="n"/>
      <c r="E16" s="1644" t="n"/>
      <c r="F16" s="1420" t="n"/>
      <c r="G16" s="1411" t="n"/>
      <c r="H16" s="1645" t="n"/>
      <c r="I16" s="1396" t="n"/>
    </row>
    <row r="17" ht="17.85" customHeight="1" s="1225">
      <c r="A17" s="1637" t="inlineStr">
        <is>
          <t>Total exercice 2021</t>
        </is>
      </c>
      <c r="B17" s="1420" t="n"/>
      <c r="C17" s="1420" t="n"/>
      <c r="D17" s="1411" t="n"/>
      <c r="E17" s="1644" t="n"/>
      <c r="F17" s="1420" t="n"/>
      <c r="G17" s="1411" t="n"/>
      <c r="H17" s="1645" t="n"/>
      <c r="I17" s="1396" t="n"/>
    </row>
    <row r="18" ht="17.85" customHeight="1" s="1225">
      <c r="A18" s="1637" t="inlineStr">
        <is>
          <t>Total exercice 2022</t>
        </is>
      </c>
      <c r="B18" s="1420" t="n"/>
      <c r="C18" s="1420" t="n"/>
      <c r="D18" s="1411" t="n"/>
      <c r="E18" s="1644" t="n"/>
      <c r="F18" s="1420" t="n"/>
      <c r="G18" s="1411" t="n"/>
      <c r="H18" s="1645" t="n"/>
      <c r="I18" s="1396" t="n"/>
    </row>
    <row r="19" ht="17.85" customHeight="1" s="1225">
      <c r="A19" s="1639" t="inlineStr">
        <is>
          <t>TOTAL GENERAL</t>
        </is>
      </c>
      <c r="B19" s="1420" t="n"/>
      <c r="C19" s="1420" t="n"/>
      <c r="D19" s="1411" t="n"/>
      <c r="E19" s="1644" t="n"/>
      <c r="F19" s="1420" t="n"/>
      <c r="G19" s="1411" t="n"/>
      <c r="H19" s="1647">
        <f>SUM(H14:I18)</f>
        <v/>
      </c>
      <c r="I19" s="1411" t="n"/>
    </row>
  </sheetData>
  <mergeCells count="37">
    <mergeCell ref="A7:I7"/>
    <mergeCell ref="A17:D17"/>
    <mergeCell ref="A8:D8"/>
    <mergeCell ref="E19:G19"/>
    <mergeCell ref="E13:G13"/>
    <mergeCell ref="C6:D6"/>
    <mergeCell ref="C5:D5"/>
    <mergeCell ref="A19:D19"/>
    <mergeCell ref="E8:I8"/>
    <mergeCell ref="A10:D10"/>
    <mergeCell ref="E15:G15"/>
    <mergeCell ref="E10:I10"/>
    <mergeCell ref="F5:G5"/>
    <mergeCell ref="A15:D15"/>
    <mergeCell ref="A11:D11"/>
    <mergeCell ref="H17:I17"/>
    <mergeCell ref="E16:G16"/>
    <mergeCell ref="H2:I2"/>
    <mergeCell ref="H16:I16"/>
    <mergeCell ref="A9:I9"/>
    <mergeCell ref="E18:G18"/>
    <mergeCell ref="H19:I19"/>
    <mergeCell ref="E12:G12"/>
    <mergeCell ref="B4:G4"/>
    <mergeCell ref="C3:H3"/>
    <mergeCell ref="E11:I11"/>
    <mergeCell ref="A16:D16"/>
    <mergeCell ref="H13:I13"/>
    <mergeCell ref="A18:D18"/>
    <mergeCell ref="H12:I12"/>
    <mergeCell ref="E14:G14"/>
    <mergeCell ref="H18:I18"/>
    <mergeCell ref="H15:I15"/>
    <mergeCell ref="A1:I1"/>
    <mergeCell ref="E17:G17"/>
    <mergeCell ref="H14:I14"/>
    <mergeCell ref="A14:D14"/>
  </mergeCells>
  <dataValidations count="1">
    <dataValidation sqref="E10:I10 H13:I18"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0"/>
</worksheet>
</file>

<file path=xl/worksheets/sheet30.xml><?xml version="1.0" encoding="utf-8"?>
<worksheet xmlns="http://schemas.openxmlformats.org/spreadsheetml/2006/main">
  <sheetPr codeName="Feuil29">
    <tabColor theme="4" tint="0.5999938962981048"/>
    <outlinePr summaryBelow="1" summaryRight="1"/>
    <pageSetUpPr fitToPage="1"/>
  </sheetPr>
  <dimension ref="A1:I19"/>
  <sheetViews>
    <sheetView showGridLines="0" topLeftCell="A10" workbookViewId="0">
      <selection activeCell="B14" sqref="B14"/>
    </sheetView>
  </sheetViews>
  <sheetFormatPr baseColWidth="10" defaultColWidth="11.42578125" defaultRowHeight="15"/>
  <cols>
    <col width="16.28515625" customWidth="1" style="1225" min="2" max="2"/>
    <col width="5.85546875" customWidth="1" style="1225" min="4" max="4"/>
    <col width="13.85546875" customWidth="1" style="1225" min="5" max="5"/>
    <col width="5" customWidth="1" style="1225" min="7" max="7"/>
    <col width="15.7109375" customWidth="1" style="1225" min="8" max="8"/>
  </cols>
  <sheetData>
    <row r="1">
      <c r="A1" s="1429" t="inlineStr">
        <is>
          <t>- 0 -</t>
        </is>
      </c>
    </row>
    <row r="2" ht="24.95" customHeight="1" s="1225">
      <c r="A2" s="1429" t="n"/>
      <c r="B2" s="1429" t="n"/>
      <c r="C2" s="1429" t="n"/>
      <c r="D2" s="1429" t="n"/>
      <c r="E2" s="1429" t="n"/>
      <c r="F2" s="1429" t="n"/>
      <c r="G2" s="1429" t="n"/>
      <c r="H2" s="1438" t="inlineStr">
        <is>
          <t>NOTE 8C
SYSTEME NORMAL</t>
        </is>
      </c>
      <c r="I2" s="1411" t="n"/>
    </row>
    <row r="3" ht="15" customFormat="1" customHeight="1" s="127">
      <c r="A3" s="1451" t="inlineStr">
        <is>
          <t>Dénomination sociale de l'entité :</t>
        </is>
      </c>
      <c r="B3" s="1451" t="n"/>
      <c r="C3" s="1488">
        <f>'NOTE 1'!C3</f>
        <v/>
      </c>
      <c r="D3" s="1288" t="n"/>
      <c r="E3" s="1288" t="n"/>
      <c r="F3" s="1288" t="n"/>
      <c r="G3" s="1288" t="n"/>
      <c r="H3" s="1288" t="n"/>
      <c r="I3" s="1288" t="n"/>
    </row>
    <row r="4" ht="15" customFormat="1" customHeight="1" s="127">
      <c r="A4" s="1451" t="inlineStr">
        <is>
          <t>Adresse :</t>
        </is>
      </c>
      <c r="B4" s="1276">
        <f>'NOTE 1'!B4</f>
        <v/>
      </c>
      <c r="C4" s="1277" t="n"/>
      <c r="D4" s="1277" t="n"/>
      <c r="E4" s="1277" t="n"/>
      <c r="F4" s="1277" t="n"/>
      <c r="G4" s="1277" t="n"/>
      <c r="H4" s="1589" t="inlineStr">
        <is>
          <t>Sigle usuel :</t>
        </is>
      </c>
      <c r="I4" s="1970">
        <f>'NOTE 1'!I4</f>
        <v/>
      </c>
    </row>
    <row r="5" ht="15" customFormat="1" customHeight="1" s="127">
      <c r="A5" s="1451" t="inlineStr">
        <is>
          <t>N° d'identification fiscale :</t>
        </is>
      </c>
      <c r="B5" s="1451" t="n"/>
      <c r="C5" s="1280">
        <f>'NOTE 1'!C5</f>
        <v/>
      </c>
      <c r="D5" s="1279" t="n"/>
      <c r="E5" s="1457" t="inlineStr">
        <is>
          <t>Exercice clos le :</t>
        </is>
      </c>
      <c r="F5" s="1601" t="n"/>
      <c r="G5" s="1279" t="n"/>
      <c r="H5" s="1589" t="inlineStr">
        <is>
          <t>Durée (en mois) :</t>
        </is>
      </c>
      <c r="I5" s="111">
        <f>'NOTE 1'!I5</f>
        <v/>
      </c>
    </row>
    <row r="6" ht="15" customFormat="1" customHeight="1" s="127">
      <c r="A6" s="259" t="inlineStr">
        <is>
          <t xml:space="preserve">N° de télédéclarant (NTD): </t>
        </is>
      </c>
      <c r="B6" s="1451" t="n"/>
      <c r="C6" s="1520">
        <f>'NOTE 1'!C6</f>
        <v/>
      </c>
      <c r="D6" s="1521" t="n"/>
      <c r="E6" s="253" t="n"/>
      <c r="F6" s="1970" t="n"/>
      <c r="G6" s="1970" t="n"/>
      <c r="H6" s="254" t="n"/>
      <c r="I6" s="1970" t="n"/>
    </row>
    <row r="7" ht="33.75" customHeight="1" s="1225">
      <c r="A7" s="1650" t="inlineStr">
        <is>
          <t>NOTE 8C : TABLEAU D’ETALEMENT DE PROVISIONS POUR ENGAGEMENTS DE RETAITE</t>
        </is>
      </c>
      <c r="B7" s="1516" t="n"/>
      <c r="C7" s="1516" t="n"/>
      <c r="D7" s="1516" t="n"/>
      <c r="E7" s="1516" t="n"/>
      <c r="F7" s="1516" t="n"/>
      <c r="G7" s="1516" t="n"/>
      <c r="H7" s="1516" t="n"/>
      <c r="I7" s="1516" t="n"/>
    </row>
    <row r="8" ht="36" customHeight="1" s="1225">
      <c r="A8" s="1593" t="inlineStr">
        <is>
          <t>Libellés</t>
        </is>
      </c>
      <c r="B8" s="1420" t="n"/>
      <c r="C8" s="1420" t="n"/>
      <c r="D8" s="1411" t="n"/>
      <c r="E8" s="1593" t="inlineStr">
        <is>
          <t>PROVISIONS POUR PENSIONS ET OBLIGATIONS SIMILAIRES</t>
        </is>
      </c>
      <c r="F8" s="1420" t="n"/>
      <c r="G8" s="1420" t="n"/>
      <c r="H8" s="1420" t="n"/>
      <c r="I8" s="1411" t="n"/>
    </row>
    <row r="9" ht="33" customHeight="1" s="1225">
      <c r="A9" s="1648" t="inlineStr">
        <is>
          <t>Compte transitoire à solder: 4752 compte transitoire
ajustement spécial lié à la révision du SYSCOHADA, compte-passif</t>
        </is>
      </c>
      <c r="B9" s="1420" t="n"/>
      <c r="C9" s="1420" t="n"/>
      <c r="D9" s="1420" t="n"/>
      <c r="E9" s="1420" t="n"/>
      <c r="F9" s="1420" t="n"/>
      <c r="G9" s="1420" t="n"/>
      <c r="H9" s="1420" t="n"/>
      <c r="I9" s="1411" t="n"/>
    </row>
    <row r="10" ht="18" customHeight="1" s="1225">
      <c r="A10" s="1643" t="inlineStr">
        <is>
          <t>Montant global à étaler au 1er janvier 2018</t>
        </is>
      </c>
      <c r="B10" s="1420" t="n"/>
      <c r="C10" s="1420" t="n"/>
      <c r="D10" s="1411" t="n"/>
      <c r="E10" s="1638" t="n"/>
      <c r="F10" s="1395" t="n"/>
      <c r="G10" s="1395" t="n"/>
      <c r="H10" s="1395" t="n"/>
      <c r="I10" s="1396" t="n"/>
    </row>
    <row r="11" ht="18" customHeight="1" s="1225">
      <c r="A11" s="1643" t="inlineStr">
        <is>
          <t>Durée d'étalement retenue</t>
        </is>
      </c>
      <c r="B11" s="1420" t="n"/>
      <c r="C11" s="1420" t="n"/>
      <c r="D11" s="1411" t="n"/>
      <c r="E11" s="1636" t="n"/>
      <c r="F11" s="1395" t="n"/>
      <c r="G11" s="1395" t="n"/>
      <c r="H11" s="1395" t="n"/>
      <c r="I11" s="1396" t="n"/>
    </row>
    <row r="12">
      <c r="A12" s="599" t="n"/>
      <c r="B12" s="600" t="n"/>
      <c r="C12" s="600" t="n"/>
      <c r="D12" s="601" t="n"/>
      <c r="E12" s="1593" t="inlineStr">
        <is>
          <t>Comptes</t>
        </is>
      </c>
      <c r="F12" s="1420" t="n"/>
      <c r="G12" s="1411" t="n"/>
      <c r="H12" s="1649" t="inlineStr">
        <is>
          <t>Montants</t>
        </is>
      </c>
      <c r="I12" s="1411" t="n"/>
    </row>
    <row r="13" ht="30" customHeight="1" s="1225">
      <c r="A13" s="602" t="n"/>
      <c r="B13" s="603" t="n"/>
      <c r="C13" s="603" t="n"/>
      <c r="D13" s="604" t="n"/>
      <c r="E13" s="1651" t="inlineStr">
        <is>
          <t>6911 Dotation aux provisions pour risques et charges</t>
        </is>
      </c>
      <c r="F13" s="1516" t="n"/>
      <c r="G13" s="1517" t="n"/>
      <c r="H13" s="1654" t="n"/>
      <c r="I13" s="1655" t="n"/>
    </row>
    <row r="14" ht="18" customHeight="1" s="1225">
      <c r="A14" s="1637" t="inlineStr">
        <is>
          <t>Total exercice 2018</t>
        </is>
      </c>
      <c r="B14" s="1420" t="n"/>
      <c r="C14" s="1420" t="n"/>
      <c r="D14" s="1411" t="n"/>
      <c r="E14" s="1652" t="n"/>
      <c r="F14" s="1420" t="n"/>
      <c r="G14" s="1411" t="n"/>
      <c r="H14" s="1569" t="n"/>
      <c r="I14" s="1396" t="n"/>
    </row>
    <row r="15" ht="18" customHeight="1" s="1225">
      <c r="A15" s="1637" t="inlineStr">
        <is>
          <t>Total exercice 2019</t>
        </is>
      </c>
      <c r="B15" s="1420" t="n"/>
      <c r="C15" s="1420" t="n"/>
      <c r="D15" s="1411" t="n"/>
      <c r="E15" s="1652" t="n"/>
      <c r="F15" s="1420" t="n"/>
      <c r="G15" s="1411" t="n"/>
      <c r="H15" s="1569" t="n"/>
      <c r="I15" s="1396" t="n"/>
    </row>
    <row r="16" ht="18" customHeight="1" s="1225">
      <c r="A16" s="1637" t="inlineStr">
        <is>
          <t>Total exercice 2020</t>
        </is>
      </c>
      <c r="B16" s="1420" t="n"/>
      <c r="C16" s="1420" t="n"/>
      <c r="D16" s="1411" t="n"/>
      <c r="E16" s="1652" t="n"/>
      <c r="F16" s="1420" t="n"/>
      <c r="G16" s="1411" t="n"/>
      <c r="H16" s="1569" t="n"/>
      <c r="I16" s="1396" t="n"/>
    </row>
    <row r="17" ht="18" customHeight="1" s="1225">
      <c r="A17" s="1637" t="inlineStr">
        <is>
          <t>Total exercice 2021</t>
        </is>
      </c>
      <c r="B17" s="1420" t="n"/>
      <c r="C17" s="1420" t="n"/>
      <c r="D17" s="1411" t="n"/>
      <c r="E17" s="1652" t="n"/>
      <c r="F17" s="1420" t="n"/>
      <c r="G17" s="1411" t="n"/>
      <c r="H17" s="1569" t="n"/>
      <c r="I17" s="1396" t="n"/>
    </row>
    <row r="18" ht="18" customHeight="1" s="1225">
      <c r="A18" s="1637" t="inlineStr">
        <is>
          <t>Total exercice 2022</t>
        </is>
      </c>
      <c r="B18" s="1420" t="n"/>
      <c r="C18" s="1420" t="n"/>
      <c r="D18" s="1411" t="n"/>
      <c r="E18" s="1652" t="n"/>
      <c r="F18" s="1420" t="n"/>
      <c r="G18" s="1411" t="n"/>
      <c r="H18" s="1569" t="n"/>
      <c r="I18" s="1396" t="n"/>
    </row>
    <row r="19" ht="18" customHeight="1" s="1225">
      <c r="A19" s="1656" t="inlineStr">
        <is>
          <t>TOTAL GENERAL</t>
        </is>
      </c>
      <c r="B19" s="1420" t="n"/>
      <c r="C19" s="1420" t="n"/>
      <c r="D19" s="1411" t="n"/>
      <c r="E19" s="1652" t="n"/>
      <c r="F19" s="1420" t="n"/>
      <c r="G19" s="1411" t="n"/>
      <c r="H19" s="1653">
        <f>SUM(H14:I18)</f>
        <v/>
      </c>
      <c r="I19" s="1411" t="n"/>
    </row>
  </sheetData>
  <mergeCells count="37">
    <mergeCell ref="A7:I7"/>
    <mergeCell ref="A17:D17"/>
    <mergeCell ref="C6:D6"/>
    <mergeCell ref="E19:G19"/>
    <mergeCell ref="A8:D8"/>
    <mergeCell ref="E13:G13"/>
    <mergeCell ref="C5:D5"/>
    <mergeCell ref="A19:D19"/>
    <mergeCell ref="E8:I8"/>
    <mergeCell ref="A10:D10"/>
    <mergeCell ref="E15:G15"/>
    <mergeCell ref="C3:I3"/>
    <mergeCell ref="E10:I10"/>
    <mergeCell ref="F5:G5"/>
    <mergeCell ref="A15:D15"/>
    <mergeCell ref="A11:D11"/>
    <mergeCell ref="E16:G16"/>
    <mergeCell ref="H17:I17"/>
    <mergeCell ref="H2:I2"/>
    <mergeCell ref="H16:I16"/>
    <mergeCell ref="A9:I9"/>
    <mergeCell ref="H19:I19"/>
    <mergeCell ref="E18:G18"/>
    <mergeCell ref="E12:G12"/>
    <mergeCell ref="A16:D16"/>
    <mergeCell ref="E11:I11"/>
    <mergeCell ref="B4:G4"/>
    <mergeCell ref="H13:I13"/>
    <mergeCell ref="A18:D18"/>
    <mergeCell ref="H12:I12"/>
    <mergeCell ref="E14:G14"/>
    <mergeCell ref="H18:I18"/>
    <mergeCell ref="H15:I15"/>
    <mergeCell ref="A1:I1"/>
    <mergeCell ref="E17:G17"/>
    <mergeCell ref="H14:I14"/>
    <mergeCell ref="A14:D14"/>
  </mergeCells>
  <dataValidations count="1">
    <dataValidation sqref="E10:I10 H13:I18" showDropDown="0" showInputMessage="1" showErrorMessage="1" allowBlank="1" errorTitle="Attention!" error="Valeur numérique attendue" type="whole">
      <formula1>-9999999999999</formula1>
      <formula2>9999999999999</formula2>
    </dataValidation>
  </dataValidations>
  <printOptions horizontalCentered="1"/>
  <pageMargins left="0.1181102362204725" right="0.1181102362204725" top="0.3543307086614174" bottom="0.7480314960629921" header="0.1181102362204725" footer="0.1181102362204725"/>
  <pageSetup orientation="portrait" paperSize="9" scale="98"/>
</worksheet>
</file>

<file path=xl/worksheets/sheet31.xml><?xml version="1.0" encoding="utf-8"?>
<worksheet xmlns="http://schemas.openxmlformats.org/spreadsheetml/2006/main">
  <sheetPr codeName="Feuil30">
    <tabColor theme="4" tint="0.5999938962981048"/>
    <outlinePr summaryBelow="1" summaryRight="1"/>
    <pageSetUpPr fitToPage="1"/>
  </sheetPr>
  <dimension ref="A1:I23"/>
  <sheetViews>
    <sheetView showGridLines="0" workbookViewId="0">
      <selection activeCell="B14" sqref="B14"/>
    </sheetView>
  </sheetViews>
  <sheetFormatPr baseColWidth="10" defaultRowHeight="15"/>
  <cols>
    <col width="16.5703125" customWidth="1" style="1225" min="2" max="2"/>
    <col width="6.7109375" customWidth="1" style="1225" min="4" max="4"/>
    <col width="13.5703125" customWidth="1" style="1225" min="5" max="5"/>
    <col width="7.85546875" customWidth="1" style="1225" min="6" max="6"/>
    <col width="6.85546875" customWidth="1" style="1225" min="7" max="7"/>
    <col width="14.85546875" customWidth="1" style="1225" min="8" max="8"/>
    <col width="14.42578125" customWidth="1" style="1225" min="9" max="9"/>
  </cols>
  <sheetData>
    <row r="1">
      <c r="A1" s="1429" t="inlineStr">
        <is>
          <t>- 0 -</t>
        </is>
      </c>
    </row>
    <row r="2" ht="24.95" customHeight="1" s="1225">
      <c r="A2" s="1429" t="n"/>
      <c r="B2" s="1429" t="n"/>
      <c r="C2" s="1429" t="n"/>
      <c r="D2" s="1429" t="n"/>
      <c r="E2" s="1429" t="n"/>
      <c r="F2" s="1429" t="n"/>
      <c r="G2" s="1429" t="n"/>
      <c r="H2" s="1438" t="inlineStr">
        <is>
          <t>NOTE 9
SYSTEME NORMAL</t>
        </is>
      </c>
      <c r="I2" s="1411" t="n"/>
    </row>
    <row r="3" ht="15" customFormat="1" customHeight="1" s="1382">
      <c r="A3" s="1451" t="inlineStr">
        <is>
          <t>Dénomination sociale de l'entité :</t>
        </is>
      </c>
      <c r="B3" s="1451" t="n"/>
      <c r="C3" s="1276">
        <f>'NOTE 1'!C3</f>
        <v/>
      </c>
      <c r="D3" s="1277" t="n"/>
      <c r="E3" s="1277" t="n"/>
      <c r="F3" s="1277" t="n"/>
      <c r="G3" s="1277" t="n"/>
      <c r="H3" s="1277" t="n"/>
      <c r="I3" s="1277" t="n"/>
    </row>
    <row r="4" ht="15" customFormat="1" customHeight="1" s="1382">
      <c r="A4" s="1451" t="inlineStr">
        <is>
          <t>Adresse :</t>
        </is>
      </c>
      <c r="B4" s="1276">
        <f>'NOTE 1'!B4</f>
        <v/>
      </c>
      <c r="C4" s="1277" t="n"/>
      <c r="D4" s="1277" t="n"/>
      <c r="E4" s="1277" t="n"/>
      <c r="F4" s="1277" t="n"/>
      <c r="G4" s="1277" t="n"/>
      <c r="H4" s="1589" t="inlineStr">
        <is>
          <t>Sigle usuel :</t>
        </is>
      </c>
      <c r="I4" s="253">
        <f>'NOTE 1'!I4</f>
        <v/>
      </c>
    </row>
    <row r="5" ht="15" customFormat="1" customHeight="1" s="1382">
      <c r="A5" s="1451" t="inlineStr">
        <is>
          <t>N° IFU :</t>
        </is>
      </c>
      <c r="B5" s="1451" t="n"/>
      <c r="C5" s="1280">
        <f>'NOTE 1'!C5</f>
        <v/>
      </c>
      <c r="D5" s="1279" t="n"/>
      <c r="E5" s="1457" t="inlineStr">
        <is>
          <t>Exercice clos le :</t>
        </is>
      </c>
      <c r="F5" s="1601">
        <f>'NOTE 1'!G5</f>
        <v/>
      </c>
      <c r="G5" s="1279" t="n"/>
      <c r="H5" s="1589" t="inlineStr">
        <is>
          <t>Durée (en mois) :</t>
        </is>
      </c>
      <c r="I5" s="111">
        <f>'NOTE 1'!I5</f>
        <v/>
      </c>
    </row>
    <row r="6" ht="15" customFormat="1" customHeight="1" s="1382">
      <c r="A6" s="259" t="inlineStr">
        <is>
          <t xml:space="preserve">N° de télédéclarant (NES): </t>
        </is>
      </c>
      <c r="B6" s="1451" t="n"/>
      <c r="C6" s="1520">
        <f>'NOTE 1'!C6</f>
        <v/>
      </c>
      <c r="D6" s="1521" t="n"/>
      <c r="E6" s="253" t="n"/>
      <c r="F6" s="1970" t="n"/>
      <c r="G6" s="1970" t="n"/>
      <c r="H6" s="254" t="n"/>
      <c r="I6" s="1970" t="n"/>
    </row>
    <row r="7" ht="35.1" customHeight="1" s="1225" thickBot="1">
      <c r="A7" s="1341" t="inlineStr">
        <is>
          <t>NOTE 9 : TITRES DE PLACEMENT</t>
        </is>
      </c>
    </row>
    <row r="8" ht="32.25" customHeight="1" s="1225">
      <c r="A8" s="1630" t="inlineStr">
        <is>
          <t>Libellés</t>
        </is>
      </c>
      <c r="B8" s="1509" t="n"/>
      <c r="C8" s="1509" t="n"/>
      <c r="D8" s="1562" t="n"/>
      <c r="E8" s="1523" t="inlineStr">
        <is>
          <t>Année N</t>
        </is>
      </c>
      <c r="F8" s="1562" t="n"/>
      <c r="G8" s="1523" t="inlineStr">
        <is>
          <t>Année N-1</t>
        </is>
      </c>
      <c r="H8" s="1562" t="n"/>
      <c r="I8" s="1508" t="inlineStr">
        <is>
          <t>Variation
en %</t>
        </is>
      </c>
    </row>
    <row r="9" ht="17.1" customHeight="1" s="1225">
      <c r="A9" s="1512" t="inlineStr">
        <is>
          <t>Titres de trésor et bons de caisse à court terme</t>
        </is>
      </c>
      <c r="B9" s="1420" t="n"/>
      <c r="C9" s="1420" t="n"/>
      <c r="D9" s="1411" t="n"/>
      <c r="E9" s="1570" t="n"/>
      <c r="F9" s="1396" t="n"/>
      <c r="G9" s="1570" t="n"/>
      <c r="H9" s="1396" t="n"/>
      <c r="I9" s="834">
        <f>IF(G9,(E9-G9)/G9,IF(ISBLANK(G9),"",IF(E9,IF( E9 &gt; 0,1,-1),"")))</f>
        <v/>
      </c>
    </row>
    <row r="10" ht="17.1" customHeight="1" s="1225">
      <c r="A10" s="1512" t="inlineStr">
        <is>
          <t>Actions</t>
        </is>
      </c>
      <c r="B10" s="1420" t="n"/>
      <c r="C10" s="1420" t="n"/>
      <c r="D10" s="1411" t="n"/>
      <c r="E10" s="1570" t="n"/>
      <c r="F10" s="1396" t="n"/>
      <c r="G10" s="1570" t="n"/>
      <c r="H10" s="1396" t="n"/>
      <c r="I10" s="834">
        <f>IF(G10,(E10-G10)/G10,IF(ISBLANK(G10),"",IF(E10,IF( E10 &gt; 0,1,-1),"")))</f>
        <v/>
      </c>
    </row>
    <row r="11" ht="17.1" customHeight="1" s="1225">
      <c r="A11" s="1512" t="inlineStr">
        <is>
          <t>Obligations</t>
        </is>
      </c>
      <c r="B11" s="1420" t="n"/>
      <c r="C11" s="1420" t="n"/>
      <c r="D11" s="1411" t="n"/>
      <c r="E11" s="1570" t="n"/>
      <c r="F11" s="1396" t="n"/>
      <c r="G11" s="1570" t="n"/>
      <c r="H11" s="1396" t="n"/>
      <c r="I11" s="834">
        <f>IF(G11,(E11-G11)/G11,IF(ISBLANK(G11),"",IF(E11,IF( E11 &gt; 0,1,-1),"")))</f>
        <v/>
      </c>
    </row>
    <row r="12" ht="17.1" customHeight="1" s="1225">
      <c r="A12" s="1512" t="inlineStr">
        <is>
          <t>Bons de souscription</t>
        </is>
      </c>
      <c r="B12" s="1420" t="n"/>
      <c r="C12" s="1420" t="n"/>
      <c r="D12" s="1411" t="n"/>
      <c r="E12" s="1570" t="n"/>
      <c r="F12" s="1396" t="n"/>
      <c r="G12" s="1570" t="n"/>
      <c r="H12" s="1396" t="n"/>
      <c r="I12" s="834">
        <f>IF(G12,(E12-G12)/G12,IF(ISBLANK(G12),"",IF(E12,IF( E12 &gt; 0,1,-1),"")))</f>
        <v/>
      </c>
    </row>
    <row r="13" ht="17.1" customHeight="1" s="1225">
      <c r="A13" s="1512" t="inlineStr">
        <is>
          <t>Titres négociables hors régions</t>
        </is>
      </c>
      <c r="B13" s="1420" t="n"/>
      <c r="C13" s="1420" t="n"/>
      <c r="D13" s="1411" t="n"/>
      <c r="E13" s="1570" t="n"/>
      <c r="F13" s="1396" t="n"/>
      <c r="G13" s="1570" t="n"/>
      <c r="H13" s="1396" t="n"/>
      <c r="I13" s="834">
        <f>IF(G13,(E13-G13)/G13,IF(ISBLANK(G13),"",IF(E13,IF( E13 &gt; 0,1,-1),"")))</f>
        <v/>
      </c>
    </row>
    <row r="14" ht="17.1" customHeight="1" s="1225">
      <c r="A14" s="1512" t="inlineStr">
        <is>
          <t>Intérêts courus</t>
        </is>
      </c>
      <c r="B14" s="1420" t="n"/>
      <c r="C14" s="1420" t="n"/>
      <c r="D14" s="1411" t="n"/>
      <c r="E14" s="1570" t="n"/>
      <c r="F14" s="1396" t="n"/>
      <c r="G14" s="1570" t="n"/>
      <c r="H14" s="1396" t="n"/>
      <c r="I14" s="834">
        <f>IF(G14,(E14-G14)/G14,IF(ISBLANK(G14),"",IF(E14,IF( E14 &gt; 0,1,-1),"")))</f>
        <v/>
      </c>
    </row>
    <row r="15" ht="17.1" customHeight="1" s="1225">
      <c r="A15" s="1512" t="inlineStr">
        <is>
          <t>Autres valeurs assimilées</t>
        </is>
      </c>
      <c r="B15" s="1420" t="n"/>
      <c r="C15" s="1420" t="n"/>
      <c r="D15" s="1411" t="n"/>
      <c r="E15" s="1570" t="n"/>
      <c r="F15" s="1396" t="n"/>
      <c r="G15" s="1570" t="n"/>
      <c r="H15" s="1396" t="n"/>
      <c r="I15" s="834">
        <f>IF(G15,(E15-G15)/G15,IF(ISBLANK(G15),"",IF(E15,IF( E15 &gt; 0,1,-1),"")))</f>
        <v/>
      </c>
    </row>
    <row r="16" ht="17.1" customHeight="1" s="1225">
      <c r="A16" s="1544" t="inlineStr">
        <is>
          <t>TOTAL BRUT TITRES</t>
        </is>
      </c>
      <c r="B16" s="1420" t="n"/>
      <c r="C16" s="1420" t="n"/>
      <c r="D16" s="1411" t="n"/>
      <c r="E16" s="1631">
        <f>SUM(E9:F15)</f>
        <v/>
      </c>
      <c r="F16" s="1411" t="n"/>
      <c r="G16" s="1631">
        <f>SUM(G9:H15)</f>
        <v/>
      </c>
      <c r="H16" s="1411" t="n"/>
      <c r="I16" s="835">
        <f>IF(G16,(E16-G16)/G16,IF(ISBLANK(G16),"",IF(E16,IF( E16 &gt; 0,1,-1),"")))</f>
        <v/>
      </c>
    </row>
    <row r="17" ht="17.1" customHeight="1" s="1225">
      <c r="A17" s="1512" t="inlineStr">
        <is>
          <t>Dépréciations des titres</t>
        </is>
      </c>
      <c r="B17" s="1420" t="n"/>
      <c r="C17" s="1420" t="n"/>
      <c r="D17" s="1411" t="n"/>
      <c r="E17" s="1570" t="n"/>
      <c r="F17" s="1396" t="n"/>
      <c r="G17" s="1570" t="n"/>
      <c r="H17" s="1396" t="n"/>
      <c r="I17" s="834">
        <f>IF(G17,(E17-G17)/G17,IF(ISBLANK(G17),"",IF(E17,IF( E17 &gt; 0,1,-1),"")))</f>
        <v/>
      </c>
    </row>
    <row r="18" ht="17.1" customHeight="1" s="1225" thickBot="1">
      <c r="A18" s="1629" t="inlineStr">
        <is>
          <t>TOTAL NET DE DEPRECIATIONS</t>
        </is>
      </c>
      <c r="B18" s="1527" t="n"/>
      <c r="C18" s="1527" t="n"/>
      <c r="D18" s="1528" t="n"/>
      <c r="E18" s="1628">
        <f>E16-E17</f>
        <v/>
      </c>
      <c r="F18" s="1528" t="n"/>
      <c r="G18" s="1628">
        <f>G16-G17</f>
        <v/>
      </c>
      <c r="H18" s="1528" t="n"/>
      <c r="I18" s="837">
        <f>IF(G18,(E18-G18)/G18,IF(ISBLANK(G18),"",IF(E18,IF( E18 &gt; 0,1,-1),"")))</f>
        <v/>
      </c>
    </row>
    <row r="19" ht="12.75" customFormat="1" customHeight="1" s="1356">
      <c r="A19" s="559" t="inlineStr">
        <is>
          <t>Commentaire:</t>
        </is>
      </c>
    </row>
    <row r="20" ht="10.15" customFormat="1" customHeight="1" s="1356">
      <c r="A20" s="614" t="inlineStr">
        <is>
          <t>●   Justifier toute variation significative.</t>
        </is>
      </c>
    </row>
    <row r="21" ht="10.15" customFormat="1" customHeight="1" s="1356">
      <c r="A21" s="614" t="inlineStr">
        <is>
          <t>●   Pour les titres cotés à une bourse de valeur : indiquer le nombre, le prix unitaire d'acquisition et le cours de la bourse au 31 décembre.</t>
        </is>
      </c>
    </row>
    <row r="22" ht="10.15" customFormat="1" customHeight="1" s="1356">
      <c r="A22" s="614" t="inlineStr">
        <is>
          <t>●   Faire ressortir les actions ou parts propres et indiquer la date d'acquisition et le nombre de titres détenus.</t>
        </is>
      </c>
    </row>
    <row r="23" ht="10.15" customFormat="1" customHeight="1" s="1356">
      <c r="A23" s="614" t="inlineStr">
        <is>
          <t>●   Indiquer les événements et circonstances qui ont conduit à la dépréciation et à la reprise.</t>
        </is>
      </c>
    </row>
  </sheetData>
  <mergeCells count="41">
    <mergeCell ref="A7:I7"/>
    <mergeCell ref="A17:D17"/>
    <mergeCell ref="E12:F12"/>
    <mergeCell ref="G12:H12"/>
    <mergeCell ref="A8:D8"/>
    <mergeCell ref="C6:D6"/>
    <mergeCell ref="G11:H11"/>
    <mergeCell ref="C5:D5"/>
    <mergeCell ref="E14:F14"/>
    <mergeCell ref="G8:H8"/>
    <mergeCell ref="E17:F17"/>
    <mergeCell ref="A10:D10"/>
    <mergeCell ref="G17:H17"/>
    <mergeCell ref="E8:F8"/>
    <mergeCell ref="A13:D13"/>
    <mergeCell ref="A9:D9"/>
    <mergeCell ref="C3:I3"/>
    <mergeCell ref="E10:F10"/>
    <mergeCell ref="G10:H10"/>
    <mergeCell ref="F5:G5"/>
    <mergeCell ref="A15:D15"/>
    <mergeCell ref="E13:F13"/>
    <mergeCell ref="A11:D11"/>
    <mergeCell ref="G13:H13"/>
    <mergeCell ref="G18:H18"/>
    <mergeCell ref="E9:F9"/>
    <mergeCell ref="H2:I2"/>
    <mergeCell ref="E15:F15"/>
    <mergeCell ref="G15:H15"/>
    <mergeCell ref="E11:F11"/>
    <mergeCell ref="B4:G4"/>
    <mergeCell ref="G14:H14"/>
    <mergeCell ref="A16:D16"/>
    <mergeCell ref="A18:D18"/>
    <mergeCell ref="E16:F16"/>
    <mergeCell ref="G16:H16"/>
    <mergeCell ref="A12:D12"/>
    <mergeCell ref="A1:I1"/>
    <mergeCell ref="G9:H9"/>
    <mergeCell ref="E18:F18"/>
    <mergeCell ref="A14:D14"/>
  </mergeCells>
  <dataValidations count="1">
    <dataValidation sqref="E9:H15 E17:H17"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3"/>
</worksheet>
</file>

<file path=xl/worksheets/sheet32.xml><?xml version="1.0" encoding="utf-8"?>
<worksheet xmlns="http://schemas.openxmlformats.org/spreadsheetml/2006/main">
  <sheetPr codeName="Feuil31">
    <tabColor theme="4" tint="0.5999938962981048"/>
    <outlinePr summaryBelow="1" summaryRight="1"/>
    <pageSetUpPr fitToPage="1"/>
  </sheetPr>
  <dimension ref="A1:I20"/>
  <sheetViews>
    <sheetView showGridLines="0" topLeftCell="A10" workbookViewId="0">
      <selection activeCell="B14" sqref="B14"/>
    </sheetView>
  </sheetViews>
  <sheetFormatPr baseColWidth="10" defaultRowHeight="15"/>
  <cols>
    <col width="16.42578125" customWidth="1" style="1225" min="2" max="2"/>
    <col width="10" customWidth="1" style="1225" min="4" max="4"/>
    <col width="13.42578125" customWidth="1" style="1225" min="5" max="5"/>
    <col width="6.140625" customWidth="1" style="1225" min="6" max="6"/>
    <col width="8.140625" customWidth="1" style="1225" min="7" max="7"/>
    <col width="15.5703125" customWidth="1" style="1225" min="8" max="8"/>
  </cols>
  <sheetData>
    <row r="1">
      <c r="A1" s="1429" t="inlineStr">
        <is>
          <t>- 0 -</t>
        </is>
      </c>
    </row>
    <row r="2" ht="24.95" customHeight="1" s="1225">
      <c r="A2" s="1429" t="n"/>
      <c r="B2" s="1429" t="n"/>
      <c r="C2" s="1429" t="n"/>
      <c r="D2" s="1429" t="n"/>
      <c r="E2" s="1429" t="n"/>
      <c r="F2" s="1429" t="n"/>
      <c r="G2" s="1429" t="n"/>
      <c r="H2" s="1438" t="inlineStr">
        <is>
          <t>NOTE 10
SYSTEME NORMAL</t>
        </is>
      </c>
      <c r="I2" s="1411" t="n"/>
    </row>
    <row r="3" ht="15" customFormat="1" customHeight="1" s="1382">
      <c r="A3" s="1451" t="inlineStr">
        <is>
          <t>Dénomination sociale de l'entité :</t>
        </is>
      </c>
      <c r="B3" s="1451" t="n"/>
      <c r="C3" s="1276">
        <f>'NOTE 1'!C3</f>
        <v/>
      </c>
      <c r="D3" s="1277" t="n"/>
      <c r="E3" s="1277" t="n"/>
      <c r="F3" s="1277" t="n"/>
      <c r="G3" s="1277" t="n"/>
      <c r="H3" s="1277" t="n"/>
      <c r="I3" s="1277" t="n"/>
    </row>
    <row r="4" ht="15" customFormat="1" customHeight="1" s="1382">
      <c r="A4" s="1451" t="inlineStr">
        <is>
          <t>Adresse :</t>
        </is>
      </c>
      <c r="B4" s="1276">
        <f>'NOTE 1'!B4</f>
        <v/>
      </c>
      <c r="C4" s="1277" t="n"/>
      <c r="D4" s="1277" t="n"/>
      <c r="E4" s="1277" t="n"/>
      <c r="F4" s="1277" t="n"/>
      <c r="G4" s="1277" t="n"/>
      <c r="H4" s="1589" t="inlineStr">
        <is>
          <t>Sigle usuel :</t>
        </is>
      </c>
      <c r="I4" s="1488">
        <f>'NOTE 1'!I4</f>
        <v/>
      </c>
    </row>
    <row r="5" ht="15" customFormat="1" customHeight="1" s="1382">
      <c r="A5" s="1451" t="inlineStr">
        <is>
          <t>N° IFU  :</t>
        </is>
      </c>
      <c r="B5" s="1451" t="n"/>
      <c r="C5" s="1280">
        <f>'NOTE 1'!C5</f>
        <v/>
      </c>
      <c r="D5" s="1279" t="n"/>
      <c r="E5" s="1457" t="inlineStr">
        <is>
          <t>Exercice clos le :</t>
        </is>
      </c>
      <c r="F5" s="1601" t="n"/>
      <c r="G5" s="1279" t="n"/>
      <c r="H5" s="1589" t="inlineStr">
        <is>
          <t>Durée (en mois) :</t>
        </is>
      </c>
      <c r="I5" s="111">
        <f>'NOTE 1'!I5</f>
        <v/>
      </c>
    </row>
    <row r="6" ht="15" customFormat="1" customHeight="1" s="1382">
      <c r="A6" s="259" t="inlineStr">
        <is>
          <t xml:space="preserve">N° de télédéclarant (NES): </t>
        </is>
      </c>
      <c r="B6" s="1451" t="n"/>
      <c r="C6" s="1520">
        <f>'NOTE 1'!C6</f>
        <v/>
      </c>
      <c r="D6" s="1521" t="n"/>
      <c r="E6" s="253" t="n"/>
      <c r="F6" s="1970" t="n"/>
      <c r="G6" s="1970" t="n"/>
      <c r="H6" s="254" t="n"/>
      <c r="I6" s="1970" t="n"/>
    </row>
    <row r="7" ht="35.1" customHeight="1" s="1225" thickBot="1">
      <c r="A7" s="1341" t="inlineStr">
        <is>
          <t>NOTE 10 : VALEURS A ENCAISSER</t>
        </is>
      </c>
    </row>
    <row r="8" ht="35.25" customHeight="1" s="1225">
      <c r="A8" s="1630" t="inlineStr">
        <is>
          <t>Libellés</t>
        </is>
      </c>
      <c r="B8" s="1509" t="n"/>
      <c r="C8" s="1509" t="n"/>
      <c r="D8" s="1562" t="n"/>
      <c r="E8" s="1523" t="inlineStr">
        <is>
          <t>Année N</t>
        </is>
      </c>
      <c r="F8" s="1562" t="n"/>
      <c r="G8" s="1523" t="inlineStr">
        <is>
          <t>Année N-1</t>
        </is>
      </c>
      <c r="H8" s="1562" t="n"/>
      <c r="I8" s="1508" t="inlineStr">
        <is>
          <t>Variation
en %</t>
        </is>
      </c>
    </row>
    <row r="9" ht="17.1" customHeight="1" s="1225">
      <c r="A9" s="1512" t="inlineStr">
        <is>
          <t>Effets à encaisser</t>
        </is>
      </c>
      <c r="B9" s="1420" t="n"/>
      <c r="C9" s="1420" t="n"/>
      <c r="D9" s="1411" t="n"/>
      <c r="E9" s="1570" t="n"/>
      <c r="F9" s="1396" t="n"/>
      <c r="G9" s="1570" t="n"/>
      <c r="H9" s="1396" t="n"/>
      <c r="I9" s="834">
        <f>IF(G9,(E9-G9)/G9,IF(ISBLANK(G9),"",IF(E9,IF( E9 &gt; 0,1,-1),"")))</f>
        <v/>
      </c>
    </row>
    <row r="10" ht="17.1" customHeight="1" s="1225">
      <c r="A10" s="1512" t="inlineStr">
        <is>
          <t>Effets à l'encaissement</t>
        </is>
      </c>
      <c r="B10" s="1420" t="n"/>
      <c r="C10" s="1420" t="n"/>
      <c r="D10" s="1411" t="n"/>
      <c r="E10" s="1570" t="n"/>
      <c r="F10" s="1396" t="n"/>
      <c r="G10" s="1570" t="n"/>
      <c r="H10" s="1396" t="n"/>
      <c r="I10" s="834">
        <f>IF(G10,(E10-G10)/G10,IF(ISBLANK(G10),"",IF(E10,IF( E10 &gt; 0,1,-1),"")))</f>
        <v/>
      </c>
    </row>
    <row r="11" ht="17.1" customHeight="1" s="1225">
      <c r="A11" s="1512" t="inlineStr">
        <is>
          <t>Chèques à encaisser</t>
        </is>
      </c>
      <c r="B11" s="1420" t="n"/>
      <c r="C11" s="1420" t="n"/>
      <c r="D11" s="1411" t="n"/>
      <c r="E11" s="1570" t="n"/>
      <c r="F11" s="1396" t="n"/>
      <c r="G11" s="1570" t="n"/>
      <c r="H11" s="1396" t="n"/>
      <c r="I11" s="834">
        <f>IF(G11,(E11-G11)/G11,IF(ISBLANK(G11),"",IF(E11,IF( E11 &gt; 0,1,-1),"")))</f>
        <v/>
      </c>
    </row>
    <row r="12" ht="17.1" customHeight="1" s="1225">
      <c r="A12" s="1512" t="inlineStr">
        <is>
          <t>Chèques à l'encaissement</t>
        </is>
      </c>
      <c r="B12" s="1420" t="n"/>
      <c r="C12" s="1420" t="n"/>
      <c r="D12" s="1411" t="n"/>
      <c r="E12" s="1570" t="n"/>
      <c r="F12" s="1396" t="n"/>
      <c r="G12" s="1570" t="n"/>
      <c r="H12" s="1396" t="n"/>
      <c r="I12" s="834">
        <f>IF(G12,(E12-G12)/G12,IF(ISBLANK(G12),"",IF(E12,IF( E12 &gt; 0,1,-1),"")))</f>
        <v/>
      </c>
    </row>
    <row r="13" ht="17.1" customHeight="1" s="1225">
      <c r="A13" s="1512" t="inlineStr">
        <is>
          <t>Cartes de crédit à encaisser</t>
        </is>
      </c>
      <c r="B13" s="1420" t="n"/>
      <c r="C13" s="1420" t="n"/>
      <c r="D13" s="1411" t="n"/>
      <c r="E13" s="1570" t="n"/>
      <c r="F13" s="1396" t="n"/>
      <c r="G13" s="1570" t="n"/>
      <c r="H13" s="1396" t="n"/>
      <c r="I13" s="834">
        <f>IF(G13,(E13-G13)/G13,IF(ISBLANK(G13),"",IF(E13,IF( E13 &gt; 0,1,-1),"")))</f>
        <v/>
      </c>
    </row>
    <row r="14" ht="17.1" customHeight="1" s="1225">
      <c r="A14" s="1512" t="inlineStr">
        <is>
          <t>Autres valeurs à encaisser</t>
        </is>
      </c>
      <c r="B14" s="1420" t="n"/>
      <c r="C14" s="1420" t="n"/>
      <c r="D14" s="1411" t="n"/>
      <c r="E14" s="1570" t="n"/>
      <c r="F14" s="1396" t="n"/>
      <c r="G14" s="1570" t="n"/>
      <c r="H14" s="1396" t="n"/>
      <c r="I14" s="834">
        <f>IF(G14,(E14-G14)/G14,IF(ISBLANK(G14),"",IF(E14,IF( E14 &gt; 0,1,-1),"")))</f>
        <v/>
      </c>
    </row>
    <row r="15" ht="17.1" customHeight="1" s="1225">
      <c r="A15" s="1544" t="inlineStr">
        <is>
          <t>TOTAL BRUT VALEURS A ENCAISSER</t>
        </is>
      </c>
      <c r="B15" s="1420" t="n"/>
      <c r="C15" s="1420" t="n"/>
      <c r="D15" s="1411" t="n"/>
      <c r="E15" s="1574">
        <f>SUM(E9:F14)</f>
        <v/>
      </c>
      <c r="F15" s="1411" t="n"/>
      <c r="G15" s="1574">
        <f>SUM(G9:H14)</f>
        <v/>
      </c>
      <c r="H15" s="1411" t="n"/>
      <c r="I15" s="835">
        <f>IF(G15,(E15-G15)/G15,IF(ISBLANK(G15),"",IF(E15,IF( E15 &gt; 0,1,-1),"")))</f>
        <v/>
      </c>
    </row>
    <row r="16" ht="17.1" customHeight="1" s="1225">
      <c r="A16" s="1512" t="inlineStr">
        <is>
          <t>Dépréciations des valeurs à encaisser</t>
        </is>
      </c>
      <c r="B16" s="1420" t="n"/>
      <c r="C16" s="1420" t="n"/>
      <c r="D16" s="1411" t="n"/>
      <c r="E16" s="1570" t="n"/>
      <c r="F16" s="1396" t="n"/>
      <c r="G16" s="1570" t="n"/>
      <c r="H16" s="1396" t="n"/>
      <c r="I16" s="834">
        <f>IF(G16,(E16-G16)/G16,IF(ISBLANK(G16),"",IF(E16,IF( E16 &gt; 0,1,-1),"")))</f>
        <v/>
      </c>
    </row>
    <row r="17" ht="17.1" customHeight="1" s="1225" thickBot="1">
      <c r="A17" s="1629" t="inlineStr">
        <is>
          <t>TOTAL NET DE DEPRECIATIONS</t>
        </is>
      </c>
      <c r="B17" s="1527" t="n"/>
      <c r="C17" s="1527" t="n"/>
      <c r="D17" s="1528" t="n"/>
      <c r="E17" s="1632">
        <f>E15-E16</f>
        <v/>
      </c>
      <c r="F17" s="1528" t="n"/>
      <c r="G17" s="1632">
        <f>G15-G16</f>
        <v/>
      </c>
      <c r="H17" s="1528" t="n"/>
      <c r="I17" s="837">
        <f>IF(G17,(E17-G17)/G17,IF(ISBLANK(G17),"",IF(E17,IF( E17 &gt; 0,1,-1),"")))</f>
        <v/>
      </c>
    </row>
    <row r="18" ht="13.5" customFormat="1" customHeight="1" s="1356">
      <c r="A18" s="559" t="inlineStr">
        <is>
          <t>Commentaire :</t>
        </is>
      </c>
    </row>
    <row r="19" ht="13.5" customFormat="1" customHeight="1" s="1356">
      <c r="A19" s="614" t="inlineStr">
        <is>
          <t>●   Commenter toute variation significative ;</t>
        </is>
      </c>
    </row>
    <row r="20" ht="13.5" customFormat="1" customHeight="1" s="1356">
      <c r="A20" s="614" t="inlineStr">
        <is>
          <t>●   Indiquer les événements et circonstances qui ont conduit à la dépréciation et à la reprise.</t>
        </is>
      </c>
    </row>
  </sheetData>
  <mergeCells count="38">
    <mergeCell ref="A7:I7"/>
    <mergeCell ref="A17:D17"/>
    <mergeCell ref="E12:F12"/>
    <mergeCell ref="G12:H12"/>
    <mergeCell ref="A8:D8"/>
    <mergeCell ref="C6:D6"/>
    <mergeCell ref="G11:H11"/>
    <mergeCell ref="C5:D5"/>
    <mergeCell ref="E14:F14"/>
    <mergeCell ref="G8:H8"/>
    <mergeCell ref="E17:F17"/>
    <mergeCell ref="A10:D10"/>
    <mergeCell ref="G17:H17"/>
    <mergeCell ref="E8:F8"/>
    <mergeCell ref="A13:D13"/>
    <mergeCell ref="A9:D9"/>
    <mergeCell ref="C3:I3"/>
    <mergeCell ref="E10:F10"/>
    <mergeCell ref="G10:H10"/>
    <mergeCell ref="F5:G5"/>
    <mergeCell ref="A15:D15"/>
    <mergeCell ref="E13:F13"/>
    <mergeCell ref="A11:D11"/>
    <mergeCell ref="G13:H13"/>
    <mergeCell ref="E9:F9"/>
    <mergeCell ref="H2:I2"/>
    <mergeCell ref="E15:F15"/>
    <mergeCell ref="G15:H15"/>
    <mergeCell ref="E11:F11"/>
    <mergeCell ref="B4:G4"/>
    <mergeCell ref="G14:H14"/>
    <mergeCell ref="A16:D16"/>
    <mergeCell ref="E16:F16"/>
    <mergeCell ref="G16:H16"/>
    <mergeCell ref="A12:D12"/>
    <mergeCell ref="A1:I1"/>
    <mergeCell ref="G9:H9"/>
    <mergeCell ref="A14:D14"/>
  </mergeCells>
  <dataValidations count="1">
    <dataValidation sqref="E9:H14 E16:H16"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3"/>
</worksheet>
</file>

<file path=xl/worksheets/sheet33.xml><?xml version="1.0" encoding="utf-8"?>
<worksheet xmlns="http://schemas.openxmlformats.org/spreadsheetml/2006/main">
  <sheetPr codeName="Feuil32">
    <tabColor theme="4" tint="0.5999938962981048"/>
    <outlinePr summaryBelow="1" summaryRight="1"/>
    <pageSetUpPr fitToPage="1"/>
  </sheetPr>
  <dimension ref="A1:I31"/>
  <sheetViews>
    <sheetView showGridLines="0" topLeftCell="A13" workbookViewId="0">
      <selection activeCell="B14" sqref="B14"/>
    </sheetView>
  </sheetViews>
  <sheetFormatPr baseColWidth="10" defaultRowHeight="15"/>
  <cols>
    <col width="14.28515625" customWidth="1" style="1225" min="2" max="2"/>
    <col width="6" customWidth="1" style="1225" min="4" max="4"/>
    <col width="14.28515625" customWidth="1" style="1225" min="5" max="5"/>
    <col width="11.28515625" customWidth="1" style="1225" min="6" max="6"/>
    <col width="9" customWidth="1" style="1225" min="7" max="7"/>
    <col width="15.85546875" customWidth="1" style="1225" min="8" max="8"/>
  </cols>
  <sheetData>
    <row r="1">
      <c r="A1" s="1429" t="inlineStr">
        <is>
          <t>- 11 -</t>
        </is>
      </c>
    </row>
    <row r="2" ht="24.95" customHeight="1" s="1225">
      <c r="A2" s="1429" t="n"/>
      <c r="B2" s="1429" t="n"/>
      <c r="C2" s="1429" t="n"/>
      <c r="D2" s="1429" t="n"/>
      <c r="E2" s="1429" t="n"/>
      <c r="F2" s="1429" t="n"/>
      <c r="G2" s="1429" t="n"/>
      <c r="H2" s="1438" t="inlineStr">
        <is>
          <t>NOTE 11
SYSTEME NORMAL</t>
        </is>
      </c>
      <c r="I2" s="1411" t="n"/>
    </row>
    <row r="3" ht="15" customFormat="1" customHeight="1" s="1382">
      <c r="A3" s="1451" t="inlineStr">
        <is>
          <t>Dénomination sociale de l'entité :</t>
        </is>
      </c>
      <c r="B3" s="1451" t="n"/>
      <c r="C3" s="1276">
        <f>+'NOTE 10'!C3:I3</f>
        <v/>
      </c>
      <c r="D3" s="1277" t="n"/>
      <c r="E3" s="1277" t="n"/>
      <c r="F3" s="1277" t="n"/>
      <c r="G3" s="1277" t="n"/>
      <c r="H3" s="1277" t="n"/>
      <c r="I3" s="1277" t="n"/>
    </row>
    <row r="4" ht="15" customFormat="1" customHeight="1" s="1382">
      <c r="A4" s="1451" t="inlineStr">
        <is>
          <t>Adresse :</t>
        </is>
      </c>
      <c r="B4" s="1276">
        <f>'NOTE 10'!B4:G4</f>
        <v/>
      </c>
      <c r="C4" s="1277" t="n"/>
      <c r="D4" s="1277" t="n"/>
      <c r="E4" s="1277" t="n"/>
      <c r="F4" s="1277" t="n"/>
      <c r="G4" s="1277" t="n"/>
      <c r="H4" s="1589" t="inlineStr">
        <is>
          <t>Sigle usuel :</t>
        </is>
      </c>
      <c r="I4" s="1488">
        <f>'NOTE 10'!I4</f>
        <v/>
      </c>
    </row>
    <row r="5" ht="15" customFormat="1" customHeight="1" s="1382">
      <c r="A5" s="1451" t="inlineStr">
        <is>
          <t>N° IFU du contribuable :</t>
        </is>
      </c>
      <c r="B5" s="1451" t="n"/>
      <c r="C5" s="1280">
        <f>'NOTE 10'!C5:D5</f>
        <v/>
      </c>
      <c r="D5" s="1279" t="n"/>
      <c r="E5" s="1457" t="inlineStr">
        <is>
          <t>Exercice clos le :</t>
        </is>
      </c>
      <c r="F5" s="1601">
        <f>'NOTE 10'!F5:G5</f>
        <v/>
      </c>
      <c r="G5" s="1279" t="n"/>
      <c r="H5" s="1589" t="inlineStr">
        <is>
          <t>Durée (en mois) :</t>
        </is>
      </c>
      <c r="I5" s="111">
        <f>'NOTE 10'!I5</f>
        <v/>
      </c>
    </row>
    <row r="6" ht="15" customFormat="1" customHeight="1" s="1382">
      <c r="A6" s="1451" t="inlineStr">
        <is>
          <t xml:space="preserve">N° de télédéclarant (NES): </t>
        </is>
      </c>
      <c r="B6" s="1451" t="n"/>
      <c r="C6" s="1520" t="n"/>
      <c r="D6" s="1521" t="n"/>
      <c r="E6" s="253" t="n"/>
      <c r="F6" s="1970" t="n"/>
      <c r="G6" s="1970" t="n"/>
      <c r="H6" s="254" t="n"/>
      <c r="I6" s="1970" t="n"/>
    </row>
    <row r="7" ht="35.1" customHeight="1" s="1225" thickBot="1">
      <c r="A7" s="1341" t="inlineStr">
        <is>
          <t>NOTE 11 : DISPONIBILITES</t>
        </is>
      </c>
    </row>
    <row r="8" ht="34.5" customHeight="1" s="1225">
      <c r="A8" s="1630" t="inlineStr">
        <is>
          <t>Libellés</t>
        </is>
      </c>
      <c r="B8" s="1509" t="n"/>
      <c r="C8" s="1509" t="n"/>
      <c r="D8" s="1562" t="n"/>
      <c r="E8" s="1523" t="inlineStr">
        <is>
          <t>Année N</t>
        </is>
      </c>
      <c r="F8" s="1562" t="n"/>
      <c r="G8" s="1523" t="inlineStr">
        <is>
          <t>Année N-1</t>
        </is>
      </c>
      <c r="H8" s="1562" t="n"/>
      <c r="I8" s="1508" t="inlineStr">
        <is>
          <t>Variation
en %</t>
        </is>
      </c>
    </row>
    <row r="9" ht="17.1" customHeight="1" s="1225">
      <c r="A9" s="1512" t="inlineStr">
        <is>
          <t>Banques locales</t>
        </is>
      </c>
      <c r="B9" s="1420" t="n"/>
      <c r="C9" s="1420" t="n"/>
      <c r="D9" s="1411" t="n"/>
      <c r="E9" s="1570">
        <f>BILAN!H36</f>
        <v/>
      </c>
      <c r="F9" s="1396" t="n"/>
      <c r="G9" s="1570" t="n"/>
      <c r="H9" s="1396" t="n"/>
      <c r="I9" s="834" t="n"/>
    </row>
    <row r="10" ht="17.1" customHeight="1" s="1225">
      <c r="A10" s="1512" t="inlineStr">
        <is>
          <t>Banques autres états région</t>
        </is>
      </c>
      <c r="B10" s="1420" t="n"/>
      <c r="C10" s="1420" t="n"/>
      <c r="D10" s="1411" t="n"/>
      <c r="E10" s="1570" t="n"/>
      <c r="F10" s="1396" t="n"/>
      <c r="G10" s="1570" t="n"/>
      <c r="H10" s="1396" t="n"/>
      <c r="I10" s="834" t="n"/>
    </row>
    <row r="11" ht="17.1" customHeight="1" s="1225">
      <c r="A11" s="1512" t="inlineStr">
        <is>
          <t>Banques, dépôt à terme</t>
        </is>
      </c>
      <c r="B11" s="1420" t="n"/>
      <c r="C11" s="1420" t="n"/>
      <c r="D11" s="1411" t="n"/>
      <c r="E11" s="1570" t="n"/>
      <c r="F11" s="1396" t="n"/>
      <c r="G11" s="1570" t="n"/>
      <c r="H11" s="1396" t="n"/>
      <c r="I11" s="834" t="n"/>
    </row>
    <row r="12" ht="17.1" customHeight="1" s="1225">
      <c r="A12" s="1512" t="inlineStr">
        <is>
          <t>Autres Banques</t>
        </is>
      </c>
      <c r="B12" s="1420" t="n"/>
      <c r="C12" s="1420" t="n"/>
      <c r="D12" s="1411" t="n"/>
      <c r="E12" s="1570" t="n"/>
      <c r="F12" s="1396" t="n"/>
      <c r="G12" s="1570" t="n"/>
      <c r="H12" s="1396" t="n"/>
      <c r="I12" s="834">
        <f>IF(G12,(E12-G12)/G12,IF(ISBLANK(G12),"",IF(E12,IF( E12 &gt; 0,1,-1),"")))</f>
        <v/>
      </c>
    </row>
    <row r="13" ht="17.1" customHeight="1" s="1225">
      <c r="A13" s="1512" t="inlineStr">
        <is>
          <t>Banques intérêts courus</t>
        </is>
      </c>
      <c r="B13" s="1420" t="n"/>
      <c r="C13" s="1420" t="n"/>
      <c r="D13" s="1411" t="n"/>
      <c r="E13" s="1570" t="n"/>
      <c r="F13" s="1396" t="n"/>
      <c r="G13" s="1570" t="n"/>
      <c r="H13" s="1396" t="n"/>
      <c r="I13" s="834">
        <f>IF(G13,(E13-G13)/G13,IF(ISBLANK(G13),"",IF(E13,IF( E13 &gt; 0,1,-1),"")))</f>
        <v/>
      </c>
    </row>
    <row r="14" ht="17.1" customHeight="1" s="1225">
      <c r="A14" s="1512" t="inlineStr">
        <is>
          <t>Chèques postaux</t>
        </is>
      </c>
      <c r="B14" s="1420" t="n"/>
      <c r="C14" s="1420" t="n"/>
      <c r="D14" s="1411" t="n"/>
      <c r="E14" s="1570" t="n"/>
      <c r="F14" s="1396" t="n"/>
      <c r="G14" s="1570" t="n"/>
      <c r="H14" s="1396" t="n"/>
      <c r="I14" s="834">
        <f>IF(G14,(E14-G14)/G14,IF(ISBLANK(G14),"",IF(E14,IF( E14 &gt; 0,1,-1),"")))</f>
        <v/>
      </c>
    </row>
    <row r="15" ht="17.1" customHeight="1" s="1225">
      <c r="A15" s="1512" t="inlineStr">
        <is>
          <t>Autres établissement financiers</t>
        </is>
      </c>
      <c r="B15" s="1420" t="n"/>
      <c r="C15" s="1420" t="n"/>
      <c r="D15" s="1411" t="n"/>
      <c r="E15" s="1570" t="n"/>
      <c r="F15" s="1396" t="n"/>
      <c r="G15" s="1570" t="n"/>
      <c r="H15" s="1396" t="n"/>
      <c r="I15" s="834">
        <f>IF(G15,(E15-G15)/G15,IF(ISBLANK(G15),"",IF(E15,IF( E15 &gt; 0,1,-1),"")))</f>
        <v/>
      </c>
    </row>
    <row r="16" ht="17.1" customHeight="1" s="1225">
      <c r="A16" s="1512" t="inlineStr">
        <is>
          <t>Etablissement financiers intérêts courus</t>
        </is>
      </c>
      <c r="B16" s="1420" t="n"/>
      <c r="C16" s="1420" t="n"/>
      <c r="D16" s="1411" t="n"/>
      <c r="E16" s="1570" t="n"/>
      <c r="F16" s="1396" t="n"/>
      <c r="G16" s="1570" t="n"/>
      <c r="H16" s="1396" t="n"/>
      <c r="I16" s="834">
        <f>IF(G16,(E16-G16)/G16,IF(ISBLANK(G16),"",IF(E16,IF( E16 &gt; 0,1,-1),"")))</f>
        <v/>
      </c>
    </row>
    <row r="17" ht="17.1" customHeight="1" s="1225">
      <c r="A17" s="1512" t="inlineStr">
        <is>
          <t>Instruments de trésorerie</t>
        </is>
      </c>
      <c r="B17" s="1420" t="n"/>
      <c r="C17" s="1420" t="n"/>
      <c r="D17" s="1411" t="n"/>
      <c r="E17" s="1570" t="n"/>
      <c r="F17" s="1396" t="n"/>
      <c r="G17" s="1570" t="n"/>
      <c r="H17" s="1396" t="n"/>
      <c r="I17" s="834">
        <f>IF(G17,(E17-G17)/G17,IF(ISBLANK(G17),"",IF(E17,IF( E17 &gt; 0,1,-1),"")))</f>
        <v/>
      </c>
    </row>
    <row r="18" ht="17.1" customHeight="1" s="1225">
      <c r="A18" s="1512" t="inlineStr">
        <is>
          <t>Instruments de monnaie  électronique</t>
        </is>
      </c>
      <c r="B18" s="1420" t="n"/>
      <c r="C18" s="1420" t="n"/>
      <c r="D18" s="1411" t="n"/>
      <c r="E18" s="1570" t="n"/>
      <c r="F18" s="1396" t="n"/>
      <c r="G18" s="1570" t="n"/>
      <c r="H18" s="1396" t="n"/>
      <c r="I18" s="834">
        <f>IF(G18,(E18-G18)/G18,IF(ISBLANK(G18),"",IF(E18,IF( E18 &gt; 0,1,-1),"")))</f>
        <v/>
      </c>
    </row>
    <row r="19" ht="17.1" customHeight="1" s="1225">
      <c r="A19" s="1512" t="inlineStr">
        <is>
          <t>Caisse</t>
        </is>
      </c>
      <c r="B19" s="1420" t="n"/>
      <c r="C19" s="1420" t="n"/>
      <c r="D19" s="1411" t="n"/>
      <c r="E19" s="1570" t="n"/>
      <c r="F19" s="1396" t="n"/>
      <c r="G19" s="1570" t="n"/>
      <c r="H19" s="1396" t="n"/>
      <c r="I19" s="834">
        <f>IF(G19,(E19-G19)/G19,IF(ISBLANK(G19),"",IF(E19,IF( E19 &gt; 0,1,-1),"")))</f>
        <v/>
      </c>
    </row>
    <row r="20" ht="17.1" customHeight="1" s="1225">
      <c r="A20" s="1512" t="inlineStr">
        <is>
          <t>Régies d'avances et virements accréditifs</t>
        </is>
      </c>
      <c r="B20" s="1420" t="n"/>
      <c r="C20" s="1420" t="n"/>
      <c r="D20" s="1411" t="n"/>
      <c r="E20" s="1570" t="n"/>
      <c r="F20" s="1396" t="n"/>
      <c r="G20" s="1570" t="n"/>
      <c r="H20" s="1396" t="n"/>
      <c r="I20" s="834">
        <f>IF(G20,(E20-G20)/G20,IF(ISBLANK(G20),"",IF(E20,IF( E20 &gt; 0,1,-1),"")))</f>
        <v/>
      </c>
    </row>
    <row r="21" ht="17.1" customHeight="1" s="1225" thickBot="1">
      <c r="A21" s="1629" t="inlineStr">
        <is>
          <t>TOTAL BRUT DISPONIBILITES</t>
        </is>
      </c>
      <c r="B21" s="1527" t="n"/>
      <c r="C21" s="1527" t="n"/>
      <c r="D21" s="1528" t="n"/>
      <c r="E21" s="1632">
        <f>SUM(E9:F20)</f>
        <v/>
      </c>
      <c r="F21" s="1528" t="n"/>
      <c r="G21" s="1632">
        <f>SUM(G9:H20)</f>
        <v/>
      </c>
      <c r="H21" s="1528" t="n"/>
      <c r="I21" s="837">
        <f>IF(G21,(E21-G21)/G21,IF(ISBLANK(G21),"",IF(E21,IF( E21 &gt; 0,1,-1),"")))</f>
        <v/>
      </c>
    </row>
    <row r="22" ht="17.1" customHeight="1" s="1225">
      <c r="A22" s="1660" t="inlineStr">
        <is>
          <t>Dépréciations</t>
        </is>
      </c>
      <c r="B22" s="1516" t="n"/>
      <c r="C22" s="1516" t="n"/>
      <c r="D22" s="1517" t="n"/>
      <c r="E22" s="1657" t="n"/>
      <c r="F22" s="1655" t="n"/>
      <c r="G22" s="1657" t="n"/>
      <c r="H22" s="1655" t="n"/>
      <c r="I22" s="849">
        <f>IF(G22,(E22-G22)/G22,IF(ISBLANK(G22),"",IF(E22,IF( E22 &gt; 0,1,-1),"")))</f>
        <v/>
      </c>
    </row>
    <row r="23" ht="17.1" customHeight="1" s="1225">
      <c r="A23" s="1659" t="inlineStr">
        <is>
          <t>TOTAL NET DE DEPRECIATIONS</t>
        </is>
      </c>
      <c r="B23" s="1420" t="n"/>
      <c r="C23" s="1420" t="n"/>
      <c r="D23" s="1411" t="n"/>
      <c r="E23" s="1574">
        <f>E21-E22</f>
        <v/>
      </c>
      <c r="F23" s="1411" t="n"/>
      <c r="G23" s="1574">
        <f>G21-G22</f>
        <v/>
      </c>
      <c r="H23" s="1411" t="n"/>
      <c r="I23" s="417">
        <f>IF(G23,(E23-G23)/G23,IF(ISBLANK(G23),"",IF(E23,IF( E23 &gt; 0,1,-1),"")))</f>
        <v/>
      </c>
    </row>
    <row r="24" ht="14.25" customFormat="1" customHeight="1" s="1356">
      <c r="A24" s="559" t="inlineStr">
        <is>
          <t>Commentaire :</t>
        </is>
      </c>
    </row>
    <row r="25" ht="10.15" customFormat="1" customHeight="1" s="1356">
      <c r="A25" s="614" t="inlineStr">
        <is>
          <t>●   Indiquer la date de rapprochement des comptes bancaires.</t>
        </is>
      </c>
    </row>
    <row r="26" ht="10.15" customFormat="1" customHeight="1" s="1356">
      <c r="A26" s="618" t="inlineStr">
        <is>
          <t>●   Indiquer la date d'inventaire de la caisse et des instruments de monnaie électronique.</t>
        </is>
      </c>
    </row>
    <row r="27" ht="10.15" customFormat="1" customHeight="1" s="1356">
      <c r="A27" s="618" t="inlineStr">
        <is>
          <t>●   Justifier toute variation significative.</t>
        </is>
      </c>
    </row>
    <row r="28" ht="10.15" customFormat="1" customHeight="1" s="1356">
      <c r="A28" s="618" t="inlineStr">
        <is>
          <t>●   Détailler les instruments de monnaie électronique si le montant est significatif.</t>
        </is>
      </c>
    </row>
    <row r="29" ht="10.15" customFormat="1" customHeight="1" s="1356">
      <c r="A29" s="618" t="inlineStr">
        <is>
          <t>●   Indiquer les événements et circonstances qui ont conduit à la dépréciation et à la reprise.</t>
        </is>
      </c>
    </row>
    <row r="30" ht="6.75" customFormat="1" customHeight="1" s="1356">
      <c r="A30" s="562" t="n"/>
    </row>
    <row r="31" ht="15.75" customFormat="1" customHeight="1" s="1356">
      <c r="A31" s="1658" t="inlineStr">
        <is>
          <t>NB : Banques et intérêts courus et Etablissement financiers intérêts courus figurent dans cette rubrique en négatif si le compte principal attaché est débiteur</t>
        </is>
      </c>
    </row>
    <row r="32" ht="12" customFormat="1" customHeight="1" s="1382"/>
  </sheetData>
  <mergeCells count="57">
    <mergeCell ref="G21:H21"/>
    <mergeCell ref="E12:F12"/>
    <mergeCell ref="A7:I7"/>
    <mergeCell ref="A17:D17"/>
    <mergeCell ref="C6:D6"/>
    <mergeCell ref="G12:H12"/>
    <mergeCell ref="A8:D8"/>
    <mergeCell ref="A23:D23"/>
    <mergeCell ref="A22:D22"/>
    <mergeCell ref="G11:H11"/>
    <mergeCell ref="C5:D5"/>
    <mergeCell ref="A20:D20"/>
    <mergeCell ref="E23:F23"/>
    <mergeCell ref="A14:D14"/>
    <mergeCell ref="E14:F14"/>
    <mergeCell ref="A19:D19"/>
    <mergeCell ref="G23:H23"/>
    <mergeCell ref="G8:H8"/>
    <mergeCell ref="E17:F17"/>
    <mergeCell ref="A10:D10"/>
    <mergeCell ref="G17:H17"/>
    <mergeCell ref="A13:D13"/>
    <mergeCell ref="E8:F8"/>
    <mergeCell ref="A9:D9"/>
    <mergeCell ref="E20:F20"/>
    <mergeCell ref="C3:I3"/>
    <mergeCell ref="E10:F10"/>
    <mergeCell ref="G10:H10"/>
    <mergeCell ref="F5:G5"/>
    <mergeCell ref="E19:F19"/>
    <mergeCell ref="G19:H19"/>
    <mergeCell ref="A15:D15"/>
    <mergeCell ref="E13:F13"/>
    <mergeCell ref="A11:D11"/>
    <mergeCell ref="G13:H13"/>
    <mergeCell ref="G18:H18"/>
    <mergeCell ref="E9:F9"/>
    <mergeCell ref="H2:I2"/>
    <mergeCell ref="E15:F15"/>
    <mergeCell ref="G15:H15"/>
    <mergeCell ref="E11:F11"/>
    <mergeCell ref="B4:G4"/>
    <mergeCell ref="A31:I31"/>
    <mergeCell ref="G14:H14"/>
    <mergeCell ref="A16:D16"/>
    <mergeCell ref="G20:H20"/>
    <mergeCell ref="A18:D18"/>
    <mergeCell ref="E16:F16"/>
    <mergeCell ref="G16:H16"/>
    <mergeCell ref="A12:D12"/>
    <mergeCell ref="A21:D21"/>
    <mergeCell ref="A1:I1"/>
    <mergeCell ref="E22:F22"/>
    <mergeCell ref="G22:H22"/>
    <mergeCell ref="G9:H9"/>
    <mergeCell ref="E18:F18"/>
    <mergeCell ref="E21:F21"/>
  </mergeCells>
  <dataValidations count="1">
    <dataValidation sqref="E9:H20 E22:H22"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2"/>
</worksheet>
</file>

<file path=xl/worksheets/sheet34.xml><?xml version="1.0" encoding="utf-8"?>
<worksheet xmlns="http://schemas.openxmlformats.org/spreadsheetml/2006/main">
  <sheetPr codeName="Feuil33">
    <tabColor theme="4" tint="0.5999938962981048"/>
    <outlinePr summaryBelow="1" summaryRight="1"/>
    <pageSetUpPr fitToPage="1"/>
  </sheetPr>
  <dimension ref="A1:I44"/>
  <sheetViews>
    <sheetView showGridLines="0" topLeftCell="A19" workbookViewId="0">
      <selection activeCell="B14" sqref="B14"/>
    </sheetView>
  </sheetViews>
  <sheetFormatPr baseColWidth="10" defaultRowHeight="15"/>
  <cols>
    <col width="8.42578125" customWidth="1" style="1225" min="1" max="1"/>
    <col width="15.28515625" customWidth="1" style="1225" min="2" max="2"/>
    <col width="9.7109375" customWidth="1" style="1225" min="3" max="3"/>
    <col width="2.140625" customWidth="1" style="1225" min="4" max="4"/>
    <col width="8.140625" customWidth="1" style="1225" min="5" max="5"/>
    <col width="15.7109375" customWidth="1" style="1225" min="6" max="9"/>
  </cols>
  <sheetData>
    <row r="1">
      <c r="A1" s="1429" t="inlineStr">
        <is>
          <t>- 0 -</t>
        </is>
      </c>
    </row>
    <row r="2" ht="24.95" customHeight="1" s="1225">
      <c r="A2" s="1429" t="n"/>
      <c r="B2" s="1429" t="n"/>
      <c r="C2" s="1429" t="n"/>
      <c r="D2" s="1429" t="n"/>
      <c r="E2" s="1429" t="n"/>
      <c r="F2" s="1429" t="n"/>
      <c r="G2" s="1429" t="n"/>
      <c r="H2" s="1438" t="inlineStr">
        <is>
          <t>NOTE 12
SYSTEME NORMAL</t>
        </is>
      </c>
      <c r="I2" s="1411" t="n"/>
    </row>
    <row r="3" ht="15" customFormat="1" customHeight="1" s="1382">
      <c r="A3" s="1451" t="inlineStr">
        <is>
          <t>Dénomination sociale de l'entité :</t>
        </is>
      </c>
      <c r="B3" s="1451" t="n"/>
      <c r="C3" s="1276">
        <f>'NOTE 11'!C3</f>
        <v/>
      </c>
      <c r="D3" s="1277" t="n"/>
      <c r="E3" s="1277" t="n"/>
      <c r="F3" s="1277" t="n"/>
      <c r="G3" s="1277" t="n"/>
      <c r="H3" s="1277" t="n"/>
      <c r="I3" s="1277" t="n"/>
    </row>
    <row r="4" ht="15" customFormat="1" customHeight="1" s="1382">
      <c r="A4" s="1451" t="inlineStr">
        <is>
          <t>Adresse :</t>
        </is>
      </c>
      <c r="B4" s="1276">
        <f>'NOTE 11'!B4</f>
        <v/>
      </c>
      <c r="C4" s="1277" t="n"/>
      <c r="D4" s="1277" t="n"/>
      <c r="E4" s="1277" t="n"/>
      <c r="F4" s="1277" t="n"/>
      <c r="G4" s="1277" t="n"/>
      <c r="H4" s="1589" t="inlineStr">
        <is>
          <t>Sigle usuel :</t>
        </is>
      </c>
      <c r="I4" s="1970">
        <f>'NOTE 11'!I4</f>
        <v/>
      </c>
    </row>
    <row r="5" ht="15" customFormat="1" customHeight="1" s="1382">
      <c r="A5" s="1451" t="inlineStr">
        <is>
          <t>N° IFU du contribuable :</t>
        </is>
      </c>
      <c r="B5" s="1451" t="n"/>
      <c r="C5" s="1280">
        <f>'NOTE 11'!C5</f>
        <v/>
      </c>
      <c r="D5" s="1279" t="n"/>
      <c r="E5" s="1279" t="n"/>
      <c r="F5" s="1457" t="inlineStr">
        <is>
          <t>Exercice clos le :</t>
        </is>
      </c>
      <c r="G5" s="1601">
        <f>'NOTE 11'!F5</f>
        <v/>
      </c>
      <c r="H5" s="1589" t="inlineStr">
        <is>
          <t>Durée (en mois) :</t>
        </is>
      </c>
      <c r="I5" s="111">
        <f>'NOTE 11'!I5</f>
        <v/>
      </c>
    </row>
    <row r="6" ht="15" customFormat="1" customHeight="1" s="1382">
      <c r="A6" s="1451" t="inlineStr">
        <is>
          <t xml:space="preserve">N° de télédéclarant (NES): </t>
        </is>
      </c>
      <c r="B6" s="1451" t="n"/>
      <c r="C6" s="1520">
        <f>'NOTE 11'!C6</f>
        <v/>
      </c>
      <c r="D6" s="1521" t="n"/>
      <c r="E6" s="1521" t="n"/>
      <c r="F6" s="253" t="n"/>
      <c r="G6" s="1970" t="n"/>
      <c r="H6" s="254" t="n"/>
      <c r="I6" s="1970" t="n"/>
    </row>
    <row r="7" ht="35.1" customFormat="1" customHeight="1" s="1590">
      <c r="A7" s="1341" t="inlineStr">
        <is>
          <t>NOTE 12 : ECARTS DE CONVERSION ET TRANSFERTS DE CHARGES</t>
        </is>
      </c>
    </row>
    <row r="8" ht="17.25" customHeight="1" s="1225" thickBot="1">
      <c r="A8" s="1341" t="inlineStr">
        <is>
          <t>ECARTS DE CONVERSION</t>
        </is>
      </c>
    </row>
    <row r="9" ht="41.25" customHeight="1" s="1225">
      <c r="A9" s="1667" t="inlineStr">
        <is>
          <t>Libellés</t>
        </is>
      </c>
      <c r="B9" s="1509" t="n"/>
      <c r="C9" s="1509" t="n"/>
      <c r="D9" s="1562" t="n"/>
      <c r="E9" s="1738" t="inlineStr">
        <is>
          <t>Devises</t>
        </is>
      </c>
      <c r="F9" s="1750" t="inlineStr">
        <is>
          <t>Montant
en devises</t>
        </is>
      </c>
      <c r="G9" s="1750" t="inlineStr">
        <is>
          <t>Cours UML
Année
acquisition</t>
        </is>
      </c>
      <c r="H9" s="1750" t="inlineStr">
        <is>
          <t>Cours UML
31/12</t>
        </is>
      </c>
      <c r="I9" s="1751" t="inlineStr">
        <is>
          <t>Variation 
en valeur
absolue</t>
        </is>
      </c>
    </row>
    <row r="10" ht="28.5" customHeight="1" s="1225">
      <c r="A10" s="1512" t="inlineStr">
        <is>
          <t>Ecarts de conversion actif : 
détailler les créances et dettes concernées</t>
        </is>
      </c>
      <c r="B10" s="1420" t="n"/>
      <c r="C10" s="1420" t="n"/>
      <c r="D10" s="1411" t="n"/>
      <c r="E10" s="136" t="n"/>
      <c r="F10" s="137" t="n"/>
      <c r="G10" s="137" t="n"/>
      <c r="H10" s="137" t="n"/>
      <c r="I10" s="853" t="n"/>
    </row>
    <row r="11" ht="17.25" customHeight="1" s="1225">
      <c r="A11" s="1661" t="n"/>
      <c r="B11" s="1395" t="n"/>
      <c r="C11" s="1395" t="n"/>
      <c r="D11" s="1396" t="n"/>
      <c r="E11" s="153" t="n"/>
      <c r="F11" s="1570" t="n"/>
      <c r="G11" s="138" t="n"/>
      <c r="H11" s="138" t="n"/>
      <c r="I11" s="1585">
        <f>ABS(F11*G11-F11*H11)</f>
        <v/>
      </c>
    </row>
    <row r="12" ht="17.25" customHeight="1" s="1225">
      <c r="A12" s="1661" t="n"/>
      <c r="B12" s="1395" t="n"/>
      <c r="C12" s="1395" t="n"/>
      <c r="D12" s="1396" t="n"/>
      <c r="E12" s="153" t="n"/>
      <c r="F12" s="1570" t="n"/>
      <c r="G12" s="138" t="n"/>
      <c r="H12" s="138" t="n"/>
      <c r="I12" s="1585">
        <f>ABS(F12*G12-F12*H12)</f>
        <v/>
      </c>
    </row>
    <row r="13" ht="17.25" customHeight="1" s="1225">
      <c r="A13" s="1661" t="n"/>
      <c r="B13" s="1395" t="n"/>
      <c r="C13" s="1395" t="n"/>
      <c r="D13" s="1396" t="n"/>
      <c r="E13" s="153" t="n"/>
      <c r="F13" s="1570" t="n"/>
      <c r="G13" s="138" t="n"/>
      <c r="H13" s="138" t="n"/>
      <c r="I13" s="1585">
        <f>ABS(F13*G13-F13*H13)</f>
        <v/>
      </c>
    </row>
    <row r="14" ht="17.25" customHeight="1" s="1225">
      <c r="A14" s="1661" t="n"/>
      <c r="B14" s="1395" t="n"/>
      <c r="C14" s="1395" t="n"/>
      <c r="D14" s="1396" t="n"/>
      <c r="E14" s="153" t="n"/>
      <c r="F14" s="1570" t="n"/>
      <c r="G14" s="138" t="n"/>
      <c r="H14" s="138" t="n"/>
      <c r="I14" s="1585">
        <f>ABS(F14*G14-F14*H14)</f>
        <v/>
      </c>
    </row>
    <row r="15" ht="17.25" customHeight="1" s="1225">
      <c r="A15" s="1661" t="n"/>
      <c r="B15" s="1395" t="n"/>
      <c r="C15" s="1395" t="n"/>
      <c r="D15" s="1396" t="n"/>
      <c r="E15" s="153" t="n"/>
      <c r="F15" s="1570" t="n"/>
      <c r="G15" s="138" t="n"/>
      <c r="H15" s="138" t="n"/>
      <c r="I15" s="1585">
        <f>ABS(F15*G15-F15*H15)</f>
        <v/>
      </c>
    </row>
    <row r="16" ht="17.25" customHeight="1" s="1225">
      <c r="A16" s="1661" t="n"/>
      <c r="B16" s="1395" t="n"/>
      <c r="C16" s="1395" t="n"/>
      <c r="D16" s="1396" t="n"/>
      <c r="E16" s="153" t="n"/>
      <c r="F16" s="1570" t="n"/>
      <c r="G16" s="138" t="n"/>
      <c r="H16" s="138" t="n"/>
      <c r="I16" s="1585">
        <f>ABS(F16*G16-F16*H16)</f>
        <v/>
      </c>
    </row>
    <row r="17" ht="28.5" customHeight="1" s="1225">
      <c r="A17" s="1512" t="inlineStr">
        <is>
          <t>Ecart de conversion passif : 
détailler les créances et dettes concernées</t>
        </is>
      </c>
      <c r="B17" s="1420" t="n"/>
      <c r="C17" s="1420" t="n"/>
      <c r="D17" s="1411" t="n"/>
      <c r="E17" s="136" t="n"/>
      <c r="F17" s="109" t="n"/>
      <c r="G17" s="109" t="n"/>
      <c r="H17" s="109" t="n"/>
      <c r="I17" s="1585" t="n"/>
    </row>
    <row r="18" ht="17.25" customHeight="1" s="1225">
      <c r="A18" s="1661" t="n"/>
      <c r="B18" s="1395" t="n"/>
      <c r="C18" s="1395" t="n"/>
      <c r="D18" s="1396" t="n"/>
      <c r="E18" s="153" t="n"/>
      <c r="F18" s="1570" t="n"/>
      <c r="G18" s="138" t="n"/>
      <c r="H18" s="138" t="n"/>
      <c r="I18" s="1585">
        <f>ABS(F18*G18-F18*H18)</f>
        <v/>
      </c>
    </row>
    <row r="19" ht="17.25" customHeight="1" s="1225">
      <c r="A19" s="1661" t="n"/>
      <c r="B19" s="1395" t="n"/>
      <c r="C19" s="1395" t="n"/>
      <c r="D19" s="1396" t="n"/>
      <c r="E19" s="153" t="n"/>
      <c r="F19" s="1570" t="n"/>
      <c r="G19" s="138" t="n"/>
      <c r="H19" s="138" t="n"/>
      <c r="I19" s="1585">
        <f>ABS(F19*G19-F19*H19)</f>
        <v/>
      </c>
    </row>
    <row r="20" ht="17.25" customHeight="1" s="1225">
      <c r="A20" s="1661" t="n"/>
      <c r="B20" s="1395" t="n"/>
      <c r="C20" s="1395" t="n"/>
      <c r="D20" s="1396" t="n"/>
      <c r="E20" s="153" t="n"/>
      <c r="F20" s="1570" t="n"/>
      <c r="G20" s="138" t="n"/>
      <c r="H20" s="138" t="n"/>
      <c r="I20" s="1585">
        <f>ABS(F20*G20-F20*H20)</f>
        <v/>
      </c>
    </row>
    <row r="21" ht="17.25" customHeight="1" s="1225">
      <c r="A21" s="1661" t="n"/>
      <c r="B21" s="1395" t="n"/>
      <c r="C21" s="1395" t="n"/>
      <c r="D21" s="1396" t="n"/>
      <c r="E21" s="153" t="n"/>
      <c r="F21" s="1570" t="n"/>
      <c r="G21" s="138" t="n"/>
      <c r="H21" s="138" t="n"/>
      <c r="I21" s="1585">
        <f>ABS(F21*G21-F21*H21)</f>
        <v/>
      </c>
    </row>
    <row r="22" ht="17.25" customHeight="1" s="1225">
      <c r="A22" s="1661" t="n"/>
      <c r="B22" s="1395" t="n"/>
      <c r="C22" s="1395" t="n"/>
      <c r="D22" s="1396" t="n"/>
      <c r="E22" s="153" t="n"/>
      <c r="F22" s="1570" t="n"/>
      <c r="G22" s="138" t="n"/>
      <c r="H22" s="138" t="n"/>
      <c r="I22" s="1585">
        <f>ABS(F22*G22-F22*H22)</f>
        <v/>
      </c>
    </row>
    <row r="23" ht="17.25" customHeight="1" s="1225">
      <c r="A23" s="1661" t="n"/>
      <c r="B23" s="1395" t="n"/>
      <c r="C23" s="1395" t="n"/>
      <c r="D23" s="1396" t="n"/>
      <c r="E23" s="153" t="n"/>
      <c r="F23" s="1570" t="n"/>
      <c r="G23" s="138" t="n"/>
      <c r="H23" s="138" t="n"/>
      <c r="I23" s="1585">
        <f>ABS(F23*G23-F23*H23)</f>
        <v/>
      </c>
    </row>
    <row r="24" ht="17.25" customHeight="1" s="1225" thickBot="1">
      <c r="A24" s="1666" t="n"/>
      <c r="B24" s="1389" t="n"/>
      <c r="C24" s="1389" t="n"/>
      <c r="D24" s="1416" t="n"/>
      <c r="E24" s="854" t="n"/>
      <c r="F24" s="830" t="n"/>
      <c r="G24" s="855" t="n"/>
      <c r="H24" s="855" t="n"/>
      <c r="I24" s="856">
        <f>ABS(F24*G24-F24*H24)</f>
        <v/>
      </c>
    </row>
    <row r="25" ht="27.75" customFormat="1" customHeight="1" s="1356">
      <c r="A25" s="1665" t="inlineStr">
        <is>
          <t>UML : Unités Monétaires légales
Commentaire:  Faire un commentaire.</t>
        </is>
      </c>
      <c r="B25" s="1229" t="n"/>
      <c r="C25" s="1229" t="n"/>
      <c r="D25" s="1229" t="n"/>
      <c r="E25" s="1229" t="n"/>
      <c r="F25" s="563" t="n"/>
      <c r="G25" s="564" t="n"/>
      <c r="H25" s="564" t="n"/>
      <c r="I25" s="565" t="n"/>
    </row>
    <row r="26" ht="23.25" customHeight="1" s="1225" thickBot="1">
      <c r="A26" s="1341" t="inlineStr">
        <is>
          <t>TRANSFERTS DE CHARGES</t>
        </is>
      </c>
    </row>
    <row r="27" ht="27" customHeight="1" s="1225">
      <c r="A27" s="1667" t="inlineStr">
        <is>
          <t>Libellés</t>
        </is>
      </c>
      <c r="B27" s="1509" t="n"/>
      <c r="C27" s="1509" t="n"/>
      <c r="D27" s="1509" t="n"/>
      <c r="E27" s="1509" t="n"/>
      <c r="F27" s="1562" t="n"/>
      <c r="G27" s="1750" t="inlineStr">
        <is>
          <t>Année N</t>
        </is>
      </c>
      <c r="H27" s="1750" t="inlineStr">
        <is>
          <t>Année N-1</t>
        </is>
      </c>
      <c r="I27" s="1751" t="inlineStr">
        <is>
          <t>Variation
en %</t>
        </is>
      </c>
    </row>
    <row r="28" ht="37.5" customHeight="1" s="1225">
      <c r="A28" s="1512" t="inlineStr">
        <is>
          <t>Transferts de charges d'exploitation : 
détailler la nature des charges transférées et leurs comptes de provenance (1)</t>
        </is>
      </c>
      <c r="B28" s="1420" t="n"/>
      <c r="C28" s="1420" t="n"/>
      <c r="D28" s="1420" t="n"/>
      <c r="E28" s="1420" t="n"/>
      <c r="F28" s="1411" t="n"/>
      <c r="G28" s="109" t="n"/>
      <c r="H28" s="109" t="n"/>
      <c r="I28" s="1585" t="n"/>
    </row>
    <row r="29" ht="17.25" customHeight="1" s="1225">
      <c r="A29" s="1663" t="n"/>
      <c r="B29" s="1395" t="n"/>
      <c r="C29" s="1395" t="n"/>
      <c r="D29" s="1395" t="n"/>
      <c r="E29" s="1395" t="n"/>
      <c r="F29" s="1396" t="n"/>
      <c r="G29" s="1570" t="n"/>
      <c r="H29" s="1570" t="n"/>
      <c r="I29" s="857">
        <f>IFERROR((G29-H29)/H29,"")</f>
        <v/>
      </c>
    </row>
    <row r="30" ht="17.25" customHeight="1" s="1225">
      <c r="A30" s="1663" t="n"/>
      <c r="B30" s="1395" t="n"/>
      <c r="C30" s="1395" t="n"/>
      <c r="D30" s="1395" t="n"/>
      <c r="E30" s="1395" t="n"/>
      <c r="F30" s="1396" t="n"/>
      <c r="G30" s="1570" t="n"/>
      <c r="H30" s="1570" t="n"/>
      <c r="I30" s="857">
        <f>IFERROR((G30-H30)/H30,"")</f>
        <v/>
      </c>
    </row>
    <row r="31" ht="17.25" customHeight="1" s="1225">
      <c r="A31" s="1663" t="n"/>
      <c r="B31" s="1395" t="n"/>
      <c r="C31" s="1395" t="n"/>
      <c r="D31" s="1395" t="n"/>
      <c r="E31" s="1395" t="n"/>
      <c r="F31" s="1396" t="n"/>
      <c r="G31" s="1570" t="n"/>
      <c r="H31" s="1570" t="n"/>
      <c r="I31" s="857">
        <f>IFERROR((G31-H31)/H31,"")</f>
        <v/>
      </c>
    </row>
    <row r="32" ht="17.25" customHeight="1" s="1225">
      <c r="A32" s="1663" t="n"/>
      <c r="B32" s="1395" t="n"/>
      <c r="C32" s="1395" t="n"/>
      <c r="D32" s="1395" t="n"/>
      <c r="E32" s="1395" t="n"/>
      <c r="F32" s="1396" t="n"/>
      <c r="G32" s="1570" t="n"/>
      <c r="H32" s="1570" t="n"/>
      <c r="I32" s="857">
        <f>IFERROR((G32-H32)/H32,"")</f>
        <v/>
      </c>
    </row>
    <row r="33" ht="17.25" customHeight="1" s="1225">
      <c r="A33" s="1663" t="n"/>
      <c r="B33" s="1395" t="n"/>
      <c r="C33" s="1395" t="n"/>
      <c r="D33" s="1395" t="n"/>
      <c r="E33" s="1395" t="n"/>
      <c r="F33" s="1396" t="n"/>
      <c r="G33" s="1570" t="n"/>
      <c r="H33" s="1570" t="n"/>
      <c r="I33" s="857">
        <f>IFERROR((G33-H33)/H33,"")</f>
        <v/>
      </c>
    </row>
    <row r="34" ht="17.25" customHeight="1" s="1225">
      <c r="A34" s="1663" t="n"/>
      <c r="B34" s="1395" t="n"/>
      <c r="C34" s="1395" t="n"/>
      <c r="D34" s="1395" t="n"/>
      <c r="E34" s="1395" t="n"/>
      <c r="F34" s="1396" t="n"/>
      <c r="G34" s="1570" t="n"/>
      <c r="H34" s="1570" t="n"/>
      <c r="I34" s="857">
        <f>IFERROR((G34-H34)/H34,"")</f>
        <v/>
      </c>
    </row>
    <row r="35" ht="41.25" customHeight="1" s="1225">
      <c r="A35" s="1512" t="inlineStr">
        <is>
          <t>Transferts de charges financières : 
détailler la nature des charges transférées et leurs comptes de provenance (2)</t>
        </is>
      </c>
      <c r="B35" s="1420" t="n"/>
      <c r="C35" s="1420" t="n"/>
      <c r="D35" s="1420" t="n"/>
      <c r="E35" s="1420" t="n"/>
      <c r="F35" s="1411" t="n"/>
      <c r="G35" s="109" t="n"/>
      <c r="H35" s="109" t="n"/>
      <c r="I35" s="857" t="n"/>
    </row>
    <row r="36" ht="17.25" customHeight="1" s="1225">
      <c r="A36" s="1663" t="n"/>
      <c r="B36" s="1395" t="n"/>
      <c r="C36" s="1395" t="n"/>
      <c r="D36" s="1395" t="n"/>
      <c r="E36" s="1395" t="n"/>
      <c r="F36" s="1396" t="n"/>
      <c r="G36" s="1570" t="n"/>
      <c r="H36" s="1570" t="n"/>
      <c r="I36" s="857">
        <f>IFERROR((G36-H36)/H36,"")</f>
        <v/>
      </c>
    </row>
    <row r="37" ht="17.25" customHeight="1" s="1225">
      <c r="A37" s="1663" t="n"/>
      <c r="B37" s="1395" t="n"/>
      <c r="C37" s="1395" t="n"/>
      <c r="D37" s="1395" t="n"/>
      <c r="E37" s="1395" t="n"/>
      <c r="F37" s="1396" t="n"/>
      <c r="G37" s="1570" t="n"/>
      <c r="H37" s="1570" t="n"/>
      <c r="I37" s="857">
        <f>IFERROR((G37-H37)/H37,"")</f>
        <v/>
      </c>
    </row>
    <row r="38" ht="17.25" customHeight="1" s="1225">
      <c r="A38" s="1663" t="n"/>
      <c r="B38" s="1395" t="n"/>
      <c r="C38" s="1395" t="n"/>
      <c r="D38" s="1395" t="n"/>
      <c r="E38" s="1395" t="n"/>
      <c r="F38" s="1396" t="n"/>
      <c r="G38" s="1570" t="n"/>
      <c r="H38" s="1570" t="n"/>
      <c r="I38" s="857">
        <f>IFERROR((G38-H38)/H38,"")</f>
        <v/>
      </c>
    </row>
    <row r="39" ht="17.25" customHeight="1" s="1225">
      <c r="A39" s="1663" t="n"/>
      <c r="B39" s="1395" t="n"/>
      <c r="C39" s="1395" t="n"/>
      <c r="D39" s="1395" t="n"/>
      <c r="E39" s="1395" t="n"/>
      <c r="F39" s="1396" t="n"/>
      <c r="G39" s="1570" t="n"/>
      <c r="H39" s="1570" t="n"/>
      <c r="I39" s="857">
        <f>IFERROR((G39-H39)/H39,"")</f>
        <v/>
      </c>
    </row>
    <row r="40" ht="17.25" customHeight="1" s="1225">
      <c r="A40" s="1663" t="n"/>
      <c r="B40" s="1395" t="n"/>
      <c r="C40" s="1395" t="n"/>
      <c r="D40" s="1395" t="n"/>
      <c r="E40" s="1395" t="n"/>
      <c r="F40" s="1396" t="n"/>
      <c r="G40" s="1570" t="n"/>
      <c r="H40" s="1570" t="n"/>
      <c r="I40" s="857">
        <f>IFERROR((G40-H40)/H40,"")</f>
        <v/>
      </c>
    </row>
    <row r="41" ht="17.25" customHeight="1" s="1225">
      <c r="A41" s="1663" t="n"/>
      <c r="B41" s="1395" t="n"/>
      <c r="C41" s="1395" t="n"/>
      <c r="D41" s="1395" t="n"/>
      <c r="E41" s="1395" t="n"/>
      <c r="F41" s="1396" t="n"/>
      <c r="G41" s="1570" t="n"/>
      <c r="H41" s="1570" t="n"/>
      <c r="I41" s="857">
        <f>IFERROR((G41-H41)/H41,"")</f>
        <v/>
      </c>
    </row>
    <row r="42" ht="17.25" customHeight="1" s="1225" thickBot="1">
      <c r="A42" s="1664" t="n"/>
      <c r="B42" s="1389" t="n"/>
      <c r="C42" s="1389" t="n"/>
      <c r="D42" s="1389" t="n"/>
      <c r="E42" s="1389" t="n"/>
      <c r="F42" s="1416" t="n"/>
      <c r="G42" s="830" t="n"/>
      <c r="H42" s="830" t="n"/>
      <c r="I42" s="858">
        <f>IFERROR((G42-H42)/H42,"")</f>
        <v/>
      </c>
    </row>
    <row r="43" ht="10.15" customFormat="1" customHeight="1" s="1356">
      <c r="A43" s="1662" t="inlineStr">
        <is>
          <t>(1): Leurs comptes d'origine: autrement dit indiquerles numéros de comptes d'où le transfert est effectué.</t>
        </is>
      </c>
    </row>
    <row r="44" ht="10.15" customFormat="1" customHeight="1" s="1356">
      <c r="A44" s="558" t="inlineStr">
        <is>
          <t>Commentaire:  Faire un commentaire.</t>
        </is>
      </c>
    </row>
  </sheetData>
  <mergeCells count="43">
    <mergeCell ref="A41:F41"/>
    <mergeCell ref="A7:I7"/>
    <mergeCell ref="A23:D23"/>
    <mergeCell ref="A17:D17"/>
    <mergeCell ref="A22:D22"/>
    <mergeCell ref="A20:D20"/>
    <mergeCell ref="A37:F37"/>
    <mergeCell ref="A27:F27"/>
    <mergeCell ref="A19:D19"/>
    <mergeCell ref="A10:D10"/>
    <mergeCell ref="A26:I26"/>
    <mergeCell ref="A13:D13"/>
    <mergeCell ref="A33:F33"/>
    <mergeCell ref="A9:D9"/>
    <mergeCell ref="A42:F42"/>
    <mergeCell ref="C3:I3"/>
    <mergeCell ref="A25:E25"/>
    <mergeCell ref="A32:F32"/>
    <mergeCell ref="A15:D15"/>
    <mergeCell ref="A8:I8"/>
    <mergeCell ref="A35:F35"/>
    <mergeCell ref="A24:D24"/>
    <mergeCell ref="A11:D11"/>
    <mergeCell ref="A29:F29"/>
    <mergeCell ref="A38:F38"/>
    <mergeCell ref="A43:I43"/>
    <mergeCell ref="H2:I2"/>
    <mergeCell ref="A28:F28"/>
    <mergeCell ref="A31:F31"/>
    <mergeCell ref="B4:G4"/>
    <mergeCell ref="A40:F40"/>
    <mergeCell ref="A34:F34"/>
    <mergeCell ref="A16:D16"/>
    <mergeCell ref="A30:F30"/>
    <mergeCell ref="A39:F39"/>
    <mergeCell ref="C6:E6"/>
    <mergeCell ref="A18:D18"/>
    <mergeCell ref="C5:E5"/>
    <mergeCell ref="A36:F36"/>
    <mergeCell ref="A12:D12"/>
    <mergeCell ref="A21:D21"/>
    <mergeCell ref="A1:I1"/>
    <mergeCell ref="A14:D14"/>
  </mergeCells>
  <dataValidations count="2">
    <dataValidation sqref="A1:I1 F10:F24 G10:H10 G17:H17 G29:H42" showDropDown="0" showInputMessage="1" showErrorMessage="1" allowBlank="1" errorTitle="Attention!" error="Valeur numérique attendue" type="whole">
      <formula1>-9999999999999</formula1>
      <formula2>9999999999999</formula2>
    </dataValidation>
    <dataValidation sqref="G11:H16 G18:H24" showDropDown="0" showInputMessage="1" showErrorMessage="1" allowBlank="1" errorTitle="Attention!" error="Valeur numérique attendue" type="decimal">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89"/>
</worksheet>
</file>

<file path=xl/worksheets/sheet35.xml><?xml version="1.0" encoding="utf-8"?>
<worksheet xmlns="http://schemas.openxmlformats.org/spreadsheetml/2006/main">
  <sheetPr codeName="Feuil34">
    <tabColor theme="4" tint="0.5999938962981048"/>
    <outlinePr summaryBelow="1" summaryRight="1"/>
    <pageSetUpPr fitToPage="1"/>
  </sheetPr>
  <dimension ref="A1:L33"/>
  <sheetViews>
    <sheetView showGridLines="0" topLeftCell="A16" workbookViewId="0">
      <selection activeCell="B14" sqref="B14"/>
    </sheetView>
  </sheetViews>
  <sheetFormatPr baseColWidth="10" defaultRowHeight="15"/>
  <cols>
    <col width="16.5703125" customWidth="1" style="1225" min="2" max="2"/>
    <col width="2.5703125" customWidth="1" style="1225" min="3" max="3"/>
    <col width="5.42578125" customWidth="1" style="1225" min="4" max="4"/>
    <col width="11.42578125" customWidth="1" style="1225" min="5" max="5"/>
    <col width="11.5703125" customWidth="1" style="1225" min="6" max="7"/>
    <col width="13.85546875" bestFit="1" customWidth="1" style="1225" min="8" max="8"/>
    <col width="13.5703125" customWidth="1" style="1225" min="9" max="9"/>
    <col width="10.28515625" customWidth="1" style="1225" min="10" max="10"/>
    <col width="14.28515625" bestFit="1" customWidth="1" style="1225" min="11" max="11"/>
    <col width="13" customWidth="1" style="1225" min="12" max="12"/>
    <col width="3.42578125" customWidth="1" style="1225" min="13" max="13"/>
  </cols>
  <sheetData>
    <row r="1">
      <c r="A1" s="1429" t="inlineStr">
        <is>
          <t>- 12 -</t>
        </is>
      </c>
    </row>
    <row r="2" ht="24" customHeight="1" s="1225">
      <c r="A2" s="1429" t="n"/>
      <c r="B2" s="1429" t="n"/>
      <c r="C2" s="1429" t="n"/>
      <c r="D2" s="1429" t="n"/>
      <c r="E2" s="1429" t="n"/>
      <c r="F2" s="1429" t="n"/>
      <c r="G2" s="1429" t="n"/>
      <c r="H2" s="1429" t="n"/>
      <c r="I2" s="1429" t="n"/>
      <c r="J2" s="1429" t="n"/>
      <c r="K2" s="1438" t="inlineStr">
        <is>
          <t>NOTE 13
SYSTEME NORMAL</t>
        </is>
      </c>
      <c r="L2" s="1411" t="n"/>
    </row>
    <row r="3" ht="15" customFormat="1" customHeight="1" s="1382">
      <c r="A3" s="1451" t="inlineStr">
        <is>
          <t>Dénomination sociale de l'entité :</t>
        </is>
      </c>
      <c r="B3" s="1451" t="n"/>
      <c r="C3" s="1276">
        <f>'NOTE 11'!C3</f>
        <v/>
      </c>
      <c r="D3" s="1277" t="n"/>
      <c r="E3" s="1277" t="n"/>
      <c r="F3" s="1277" t="n"/>
      <c r="G3" s="1277" t="n"/>
      <c r="H3" s="1277" t="n"/>
      <c r="I3" s="1277" t="n"/>
      <c r="J3" s="1277" t="n"/>
      <c r="K3" s="1277" t="n"/>
      <c r="L3" s="1277" t="n"/>
    </row>
    <row r="4" ht="15" customFormat="1" customHeight="1" s="1382">
      <c r="A4" s="1451" t="inlineStr">
        <is>
          <t>Adresse :</t>
        </is>
      </c>
      <c r="B4" s="1276">
        <f>'NOTE 11'!B4</f>
        <v/>
      </c>
      <c r="C4" s="1277" t="n"/>
      <c r="D4" s="1277" t="n"/>
      <c r="E4" s="1277" t="n"/>
      <c r="F4" s="1277" t="n"/>
      <c r="G4" s="1277" t="n"/>
      <c r="H4" s="1277" t="n"/>
      <c r="I4" s="1277" t="n"/>
      <c r="J4" s="1277" t="n"/>
      <c r="K4" s="1589" t="inlineStr">
        <is>
          <t>Sigle usuel :</t>
        </is>
      </c>
      <c r="L4" s="1844">
        <f>'NOTE 11'!I4</f>
        <v/>
      </c>
    </row>
    <row r="5" ht="15" customFormat="1" customHeight="1" s="1382">
      <c r="A5" s="1451" t="inlineStr">
        <is>
          <t>N° IFU :</t>
        </is>
      </c>
      <c r="B5" s="1451" t="n"/>
      <c r="C5" s="1280">
        <f>'NOTE 11'!C5</f>
        <v/>
      </c>
      <c r="D5" s="1279" t="n"/>
      <c r="E5" s="1279" t="n"/>
      <c r="F5" s="1279" t="n"/>
      <c r="G5" s="1279" t="n"/>
      <c r="H5" s="1279" t="n"/>
      <c r="I5" s="1349" t="inlineStr">
        <is>
          <t>Exercice clos le :</t>
        </is>
      </c>
      <c r="J5" s="1601">
        <f>'NOTE 11'!F5</f>
        <v/>
      </c>
      <c r="K5" s="114" t="inlineStr">
        <is>
          <t>Durée (en mois) :</t>
        </is>
      </c>
      <c r="L5" s="111">
        <f>'NOTE 11'!I5</f>
        <v/>
      </c>
    </row>
    <row r="6" ht="15" customFormat="1" customHeight="1" s="1382" thickBot="1">
      <c r="A6" s="1451" t="inlineStr">
        <is>
          <t xml:space="preserve">N° de télédéclarant (NES): </t>
        </is>
      </c>
      <c r="B6" s="1451" t="n"/>
      <c r="C6" s="1670">
        <f>'NOTE 11'!C6</f>
        <v/>
      </c>
      <c r="I6" s="1457" t="n"/>
      <c r="J6" s="2030" t="n"/>
      <c r="K6" s="1589" t="n"/>
      <c r="L6" s="2030" t="n"/>
    </row>
    <row r="7" ht="33.6" customHeight="1" s="1225" thickBot="1">
      <c r="A7" s="1674" t="inlineStr">
        <is>
          <t>NOTE 13 : CAPITAL</t>
        </is>
      </c>
      <c r="B7" s="1675" t="n"/>
      <c r="C7" s="1675" t="n"/>
      <c r="D7" s="1675" t="n"/>
      <c r="E7" s="1675" t="n"/>
      <c r="F7" s="1675" t="n"/>
      <c r="G7" s="1675" t="n"/>
      <c r="H7" s="1675" t="n"/>
      <c r="I7" s="1675" t="n"/>
      <c r="J7" s="1675" t="n"/>
      <c r="K7" s="1675" t="n"/>
      <c r="L7" s="1676" t="n"/>
    </row>
    <row r="8" ht="30.75" customHeight="1" s="1225">
      <c r="A8" s="859" t="n"/>
      <c r="B8" s="127" t="n"/>
      <c r="C8" s="127" t="n"/>
      <c r="D8" s="1171" t="n"/>
      <c r="E8" s="1171" t="n"/>
      <c r="F8" s="1171" t="n"/>
      <c r="G8" s="1171" t="n"/>
      <c r="H8" s="1171" t="n"/>
      <c r="I8" s="1671" t="inlineStr">
        <is>
          <t>Valeur nominale des actions ou parts :</t>
        </is>
      </c>
      <c r="J8" s="1509" t="n"/>
      <c r="K8" s="1562" t="n"/>
      <c r="L8" s="860" t="n">
        <v>10000</v>
      </c>
    </row>
    <row r="9" ht="59.25" customFormat="1" customHeight="1" s="1356">
      <c r="A9" s="1677" t="inlineStr">
        <is>
          <t>Nom et prénoms ou raison sociale</t>
        </is>
      </c>
      <c r="B9" s="1420" t="n"/>
      <c r="C9" s="1420" t="n"/>
      <c r="D9" s="1411" t="n"/>
      <c r="E9" s="1419" t="inlineStr">
        <is>
          <t>N° de compte contribuable</t>
        </is>
      </c>
      <c r="F9" s="1419" t="inlineStr">
        <is>
          <t>Nationalité</t>
        </is>
      </c>
      <c r="G9" s="1419" t="inlineStr">
        <is>
          <t>Autres nationalités à préciser</t>
        </is>
      </c>
      <c r="H9" s="1419" t="inlineStr">
        <is>
          <t>Pays de résidence</t>
        </is>
      </c>
      <c r="I9" s="1419" t="inlineStr">
        <is>
          <t>Nature des
actions ou parts
(Ordinaires ou
préférences)</t>
        </is>
      </c>
      <c r="J9" s="1419" t="inlineStr">
        <is>
          <t>Nombre</t>
        </is>
      </c>
      <c r="K9" s="1419" t="inlineStr">
        <is>
          <t>Montant total</t>
        </is>
      </c>
      <c r="L9" s="1745" t="inlineStr">
        <is>
          <t>Cessions ou
remboursements
en cours
d'exercice</t>
        </is>
      </c>
    </row>
    <row r="10" ht="15.95" customHeight="1" s="1225">
      <c r="A10" s="1669" t="n"/>
      <c r="B10" s="1395" t="n"/>
      <c r="C10" s="1395" t="n"/>
      <c r="D10" s="1396" t="n"/>
      <c r="E10" s="1507" t="n"/>
      <c r="F10" s="1191" t="n"/>
      <c r="G10" s="1192" t="n"/>
      <c r="H10" s="1191" t="n"/>
      <c r="I10" s="1079" t="n"/>
      <c r="J10" s="1193" t="n"/>
      <c r="K10" s="1194" t="n"/>
      <c r="L10" s="861" t="n"/>
    </row>
    <row r="11" ht="15.95" customHeight="1" s="1225">
      <c r="A11" s="1669" t="n"/>
      <c r="B11" s="1395" t="n"/>
      <c r="C11" s="1395" t="n"/>
      <c r="D11" s="1396" t="n"/>
      <c r="E11" s="1507" t="n"/>
      <c r="F11" s="1191" t="n"/>
      <c r="G11" s="1192" t="n"/>
      <c r="H11" s="1191" t="n"/>
      <c r="I11" s="1079" t="n"/>
      <c r="J11" s="1193" t="n"/>
      <c r="K11" s="1208" t="n"/>
      <c r="L11" s="861" t="n"/>
    </row>
    <row r="12" ht="15.95" customHeight="1" s="1225">
      <c r="A12" s="1669" t="n"/>
      <c r="B12" s="1395" t="n"/>
      <c r="C12" s="1395" t="n"/>
      <c r="D12" s="1396" t="n"/>
      <c r="E12" s="1507" t="n"/>
      <c r="F12" s="1191" t="n"/>
      <c r="G12" s="1192" t="n"/>
      <c r="H12" s="1191" t="n"/>
      <c r="I12" s="1079" t="n"/>
      <c r="J12" s="1193" t="n"/>
      <c r="K12" s="1208" t="n"/>
      <c r="L12" s="861" t="n"/>
    </row>
    <row r="13" ht="15.95" customHeight="1" s="1225">
      <c r="A13" s="1669" t="n"/>
      <c r="B13" s="1395" t="n"/>
      <c r="C13" s="1395" t="n"/>
      <c r="D13" s="1396" t="n"/>
      <c r="E13" s="1507" t="n"/>
      <c r="F13" s="1191" t="n"/>
      <c r="G13" s="1192" t="n"/>
      <c r="H13" s="1191" t="n"/>
      <c r="I13" s="1079" t="n"/>
      <c r="J13" s="1193" t="n"/>
      <c r="K13" s="1208" t="n"/>
      <c r="L13" s="861" t="n"/>
    </row>
    <row r="14" ht="15.95" customHeight="1" s="1225">
      <c r="A14" s="1669" t="n"/>
      <c r="B14" s="1395" t="n"/>
      <c r="C14" s="1395" t="n"/>
      <c r="D14" s="1396" t="n"/>
      <c r="E14" s="1507" t="n"/>
      <c r="F14" s="1191" t="n"/>
      <c r="G14" s="1192" t="n"/>
      <c r="H14" s="1191" t="n"/>
      <c r="I14" s="1079" t="n"/>
      <c r="J14" s="1193" t="n"/>
      <c r="K14" s="1208" t="n"/>
      <c r="L14" s="861" t="n"/>
    </row>
    <row r="15" ht="15.95" customHeight="1" s="1225">
      <c r="A15" s="1669" t="n"/>
      <c r="B15" s="1395" t="n"/>
      <c r="C15" s="1395" t="n"/>
      <c r="D15" s="1396" t="n"/>
      <c r="E15" s="1507" t="n"/>
      <c r="F15" s="1191" t="n"/>
      <c r="G15" s="1192" t="n"/>
      <c r="H15" s="1191" t="n"/>
      <c r="I15" s="1079" t="n"/>
      <c r="J15" s="1193" t="n"/>
      <c r="K15" s="1208" t="n"/>
      <c r="L15" s="861" t="n"/>
    </row>
    <row r="16" ht="15.95" customHeight="1" s="1225">
      <c r="A16" s="1668" t="n"/>
      <c r="B16" s="1395" t="n"/>
      <c r="C16" s="1395" t="n"/>
      <c r="D16" s="1396" t="n"/>
      <c r="E16" s="1077" t="n"/>
      <c r="F16" s="1077" t="n"/>
      <c r="G16" s="1078" t="n"/>
      <c r="H16" s="1078" t="n"/>
      <c r="I16" s="1079" t="n"/>
      <c r="K16" s="535" t="n"/>
      <c r="L16" s="861" t="n"/>
    </row>
    <row r="17" ht="15.95" customHeight="1" s="1225">
      <c r="A17" s="1668" t="n"/>
      <c r="B17" s="1395" t="n"/>
      <c r="C17" s="1395" t="n"/>
      <c r="D17" s="1396" t="n"/>
      <c r="E17" s="1077" t="n"/>
      <c r="F17" s="1077" t="n"/>
      <c r="G17" s="1078" t="n"/>
      <c r="H17" s="1078" t="n"/>
      <c r="I17" s="1079" t="n"/>
      <c r="J17" s="534" t="n"/>
      <c r="K17" s="535" t="n"/>
      <c r="L17" s="861" t="n"/>
    </row>
    <row r="18" ht="15.95" customHeight="1" s="1225">
      <c r="A18" s="1668" t="n"/>
      <c r="B18" s="1395" t="n"/>
      <c r="C18" s="1395" t="n"/>
      <c r="D18" s="1396" t="n"/>
      <c r="E18" s="1077" t="n"/>
      <c r="F18" s="1077" t="n"/>
      <c r="G18" s="1078" t="n"/>
      <c r="H18" s="1078" t="n"/>
      <c r="I18" s="1079" t="n"/>
      <c r="J18" s="534" t="n"/>
      <c r="K18" s="535" t="n"/>
      <c r="L18" s="861" t="n"/>
    </row>
    <row r="19" ht="15.95" customHeight="1" s="1225">
      <c r="A19" s="1668" t="n"/>
      <c r="B19" s="1395" t="n"/>
      <c r="C19" s="1395" t="n"/>
      <c r="D19" s="1396" t="n"/>
      <c r="E19" s="1077" t="n"/>
      <c r="F19" s="1077" t="n"/>
      <c r="G19" s="1078" t="n"/>
      <c r="H19" s="1078" t="n"/>
      <c r="I19" s="1079" t="n"/>
      <c r="J19" s="534" t="n"/>
      <c r="K19" s="535" t="n"/>
      <c r="L19" s="861" t="n"/>
    </row>
    <row r="20" ht="15.95" customHeight="1" s="1225">
      <c r="A20" s="1668" t="n"/>
      <c r="B20" s="1395" t="n"/>
      <c r="C20" s="1395" t="n"/>
      <c r="D20" s="1396" t="n"/>
      <c r="E20" s="1077" t="n"/>
      <c r="F20" s="1077" t="n"/>
      <c r="G20" s="1078" t="n"/>
      <c r="H20" s="1078" t="n"/>
      <c r="I20" s="1079" t="n"/>
      <c r="J20" s="534" t="n"/>
      <c r="K20" s="535" t="n"/>
      <c r="L20" s="861" t="n"/>
    </row>
    <row r="21" ht="15.95" customHeight="1" s="1225">
      <c r="A21" s="1668" t="n"/>
      <c r="B21" s="1395" t="n"/>
      <c r="C21" s="1395" t="n"/>
      <c r="D21" s="1396" t="n"/>
      <c r="E21" s="1077" t="n"/>
      <c r="F21" s="1077" t="n"/>
      <c r="G21" s="1078" t="n"/>
      <c r="H21" s="1078" t="n"/>
      <c r="I21" s="1079" t="n"/>
      <c r="J21" s="534" t="n"/>
      <c r="K21" s="535" t="n"/>
      <c r="L21" s="861" t="n"/>
    </row>
    <row r="22" ht="15.95" customHeight="1" s="1225">
      <c r="A22" s="1668" t="n"/>
      <c r="B22" s="1395" t="n"/>
      <c r="C22" s="1395" t="n"/>
      <c r="D22" s="1396" t="n"/>
      <c r="E22" s="1077" t="n"/>
      <c r="F22" s="1077" t="n"/>
      <c r="G22" s="1078" t="n"/>
      <c r="H22" s="1078" t="n"/>
      <c r="I22" s="1079" t="n"/>
      <c r="J22" s="534" t="n"/>
      <c r="K22" s="535" t="n"/>
      <c r="L22" s="861" t="n"/>
    </row>
    <row r="23" ht="15.95" customHeight="1" s="1225">
      <c r="A23" s="1668" t="n"/>
      <c r="B23" s="1395" t="n"/>
      <c r="C23" s="1395" t="n"/>
      <c r="D23" s="1396" t="n"/>
      <c r="E23" s="1077" t="n"/>
      <c r="F23" s="1077" t="n"/>
      <c r="G23" s="1078" t="n"/>
      <c r="H23" s="1078" t="n"/>
      <c r="I23" s="1079" t="n"/>
      <c r="J23" s="534" t="n"/>
      <c r="K23" s="535" t="n"/>
      <c r="L23" s="861" t="n"/>
    </row>
    <row r="24" ht="15.95" customHeight="1" s="1225">
      <c r="A24" s="1672" t="inlineStr">
        <is>
          <t>Apporteurs, capital non appelé</t>
        </is>
      </c>
      <c r="B24" s="1420" t="n"/>
      <c r="C24" s="1420" t="n"/>
      <c r="D24" s="1411" t="n"/>
      <c r="E24" s="1945" t="n"/>
      <c r="F24" s="1945" t="n"/>
      <c r="G24" s="300" t="n"/>
      <c r="H24" s="300" t="n"/>
      <c r="I24" s="301" t="n"/>
      <c r="J24" s="536" t="n"/>
      <c r="K24" s="151" t="n"/>
      <c r="L24" s="862" t="n"/>
    </row>
    <row r="25" ht="15.95" customHeight="1" s="1225" thickBot="1">
      <c r="A25" s="1673" t="inlineStr">
        <is>
          <t>TOTAL</t>
        </is>
      </c>
      <c r="B25" s="1527" t="n"/>
      <c r="C25" s="1527" t="n"/>
      <c r="D25" s="1527" t="n"/>
      <c r="E25" s="1527" t="n"/>
      <c r="F25" s="1527" t="n"/>
      <c r="G25" s="1527" t="n"/>
      <c r="H25" s="1527" t="n"/>
      <c r="I25" s="1596" t="n"/>
      <c r="J25" s="863" t="n"/>
      <c r="K25" s="864">
        <f>SUM(K10:K24)</f>
        <v/>
      </c>
      <c r="L25" s="865" t="n"/>
    </row>
    <row r="26" ht="10.15" customFormat="1" customHeight="1" s="1356">
      <c r="A26" s="559" t="inlineStr">
        <is>
          <t>Commentaire :</t>
        </is>
      </c>
    </row>
    <row r="27" ht="11.25" customFormat="1" customHeight="1" s="1356">
      <c r="A27" s="618" t="inlineStr">
        <is>
          <t>●   Indiquer si possible le montant du capital à la constitution.</t>
        </is>
      </c>
      <c r="I27" s="619" t="inlineStr">
        <is>
          <t xml:space="preserve">●  Pour les attributions gratuites d'actions indiquer : </t>
        </is>
      </c>
    </row>
    <row r="28" ht="11.25" customFormat="1" customHeight="1" s="1356">
      <c r="A28" s="614" t="inlineStr">
        <is>
          <t>●   Indiquer si possible les dates des AGE et le montant du capital augmenté en cas d'augmentation de capital.</t>
        </is>
      </c>
      <c r="I28" s="620" t="inlineStr">
        <is>
          <t xml:space="preserve">- Date de délibération de l’AGE qui décide de l’attribution des actions </t>
        </is>
      </c>
    </row>
    <row r="29" ht="11.25" customFormat="1" customHeight="1" s="1356">
      <c r="A29" s="618" t="inlineStr">
        <is>
          <t>●   Indiquer si possible les dates des AGE et le montant du capital diminué en cas de réduction de capital.</t>
        </is>
      </c>
      <c r="I29" s="621" t="inlineStr">
        <is>
          <t xml:space="preserve">- Pourcentage maximum du capital social à attribuer au personnel salarié </t>
        </is>
      </c>
    </row>
    <row r="30" ht="11.25" customFormat="1" customHeight="1" s="1356">
      <c r="A30" s="618" t="inlineStr">
        <is>
          <t>●   Indiquer les avantages accordés aux actions de préférence.</t>
        </is>
      </c>
      <c r="I30" s="621" t="inlineStr">
        <is>
          <t xml:space="preserve">- Pourcentage maximum du capital social à attribuer aux dirigeants </t>
        </is>
      </c>
    </row>
    <row r="31" ht="11.25" customFormat="1" customHeight="1" s="1356">
      <c r="A31" s="618" t="inlineStr">
        <is>
          <t>●   Apporteurs, capital non appelé : indiquer le délai restant pour appeler le capital.</t>
        </is>
      </c>
      <c r="I31" s="621" t="inlineStr">
        <is>
          <t xml:space="preserve">- Nombre d’actions à attribuer gratuitement </t>
        </is>
      </c>
    </row>
    <row r="32" ht="10.15" customFormat="1" customHeight="1" s="1356">
      <c r="I32" s="621" t="inlineStr">
        <is>
          <t xml:space="preserve">- Délai de conservation des actions par les bénéficiaires                                                                                                 </t>
        </is>
      </c>
    </row>
    <row r="33" ht="10.15" customFormat="1" customHeight="1" s="1356">
      <c r="I33" s="621" t="inlineStr">
        <is>
          <t>- Nombre de ses actions propres que la société détient</t>
        </is>
      </c>
    </row>
  </sheetData>
  <mergeCells count="25">
    <mergeCell ref="A25:I25"/>
    <mergeCell ref="A17:D17"/>
    <mergeCell ref="A23:D23"/>
    <mergeCell ref="A7:L7"/>
    <mergeCell ref="A22:D22"/>
    <mergeCell ref="A20:D20"/>
    <mergeCell ref="A19:D19"/>
    <mergeCell ref="A10:D10"/>
    <mergeCell ref="A13:D13"/>
    <mergeCell ref="A9:D9"/>
    <mergeCell ref="C3:L3"/>
    <mergeCell ref="I8:K8"/>
    <mergeCell ref="A15:D15"/>
    <mergeCell ref="A24:D24"/>
    <mergeCell ref="A11:D11"/>
    <mergeCell ref="K2:L2"/>
    <mergeCell ref="A16:D16"/>
    <mergeCell ref="B4:J4"/>
    <mergeCell ref="C6:H6"/>
    <mergeCell ref="A18:D18"/>
    <mergeCell ref="A12:D12"/>
    <mergeCell ref="C5:H5"/>
    <mergeCell ref="A1:L1"/>
    <mergeCell ref="A21:D21"/>
    <mergeCell ref="A14:D14"/>
  </mergeCells>
  <dataValidations count="2">
    <dataValidation sqref="K25 L10:L23" showDropDown="0" showInputMessage="0" showErrorMessage="1" allowBlank="1" errorTitle="Valeur erronée" error="Valeur numérique attendue" type="whole" errorStyle="information">
      <formula1>-9999999999999</formula1>
      <formula2>9999999999999</formula2>
    </dataValidation>
    <dataValidation sqref="J10:J15 J17:J23 K10:K24" showDropDown="0" showInputMessage="0" showErrorMessage="1" allowBlank="1" errorTitle="Attention!" error="Valeur numérique attendue" type="whole" errorStyle="information">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69"/>
</worksheet>
</file>

<file path=xl/worksheets/sheet36.xml><?xml version="1.0" encoding="utf-8"?>
<worksheet xmlns="http://schemas.openxmlformats.org/spreadsheetml/2006/main">
  <sheetPr codeName="Feuil35">
    <tabColor theme="4" tint="0.5999938962981048"/>
    <outlinePr summaryBelow="1" summaryRight="1"/>
    <pageSetUpPr fitToPage="1"/>
  </sheetPr>
  <dimension ref="A1:H27"/>
  <sheetViews>
    <sheetView showGridLines="0" workbookViewId="0">
      <selection activeCell="B14" sqref="B14"/>
    </sheetView>
  </sheetViews>
  <sheetFormatPr baseColWidth="10" defaultRowHeight="15"/>
  <cols>
    <col width="17" customWidth="1" style="1225" min="2" max="2"/>
    <col width="2.140625" customWidth="1" style="1225" min="4" max="4"/>
    <col width="13.85546875" customWidth="1" style="1225" min="5" max="5"/>
    <col width="15.7109375" customWidth="1" style="1225" min="6" max="8"/>
  </cols>
  <sheetData>
    <row r="1">
      <c r="A1" s="1429" t="inlineStr">
        <is>
          <t>- 0 -</t>
        </is>
      </c>
    </row>
    <row r="2" ht="24.95" customHeight="1" s="1225">
      <c r="A2" s="1429" t="n"/>
      <c r="B2" s="1429" t="n"/>
      <c r="C2" s="1429" t="n"/>
      <c r="D2" s="1429" t="n"/>
      <c r="E2" s="1429" t="n"/>
      <c r="F2" s="1429" t="n"/>
      <c r="G2" s="1438" t="inlineStr">
        <is>
          <t>NOTE 14
SYSTEME NORMAL</t>
        </is>
      </c>
      <c r="H2" s="1411" t="n"/>
    </row>
    <row r="3" ht="15" customFormat="1" customHeight="1" s="1382">
      <c r="A3" s="1451" t="inlineStr">
        <is>
          <t>Dénomination sociale de l'entité :</t>
        </is>
      </c>
      <c r="B3" s="1451" t="n"/>
      <c r="C3" s="1276">
        <f>'NOTE 11'!C3</f>
        <v/>
      </c>
      <c r="D3" s="1277" t="n"/>
      <c r="E3" s="1277" t="n"/>
      <c r="F3" s="1277" t="n"/>
      <c r="G3" s="1277" t="n"/>
      <c r="H3" s="1277" t="n"/>
    </row>
    <row r="4" ht="15" customFormat="1" customHeight="1" s="1382">
      <c r="A4" s="1451" t="inlineStr">
        <is>
          <t>Adresse :</t>
        </is>
      </c>
      <c r="B4" s="1276">
        <f>'NOTE 11'!B4</f>
        <v/>
      </c>
      <c r="C4" s="1277" t="n"/>
      <c r="D4" s="1277" t="n"/>
      <c r="E4" s="1277" t="n"/>
      <c r="F4" s="1277" t="n"/>
      <c r="G4" s="1589" t="inlineStr">
        <is>
          <t>Sigle usuel :</t>
        </is>
      </c>
      <c r="H4" s="1488">
        <f>'NOTE 11'!I4</f>
        <v/>
      </c>
    </row>
    <row r="5" ht="15" customFormat="1" customHeight="1" s="1382">
      <c r="A5" s="1451" t="inlineStr">
        <is>
          <t>N° IFU :</t>
        </is>
      </c>
      <c r="B5" s="1451" t="n"/>
      <c r="C5" s="1280">
        <f>'NOTE 11'!C5</f>
        <v/>
      </c>
      <c r="D5" s="1279" t="n"/>
      <c r="E5" s="1457" t="inlineStr">
        <is>
          <t>Exercice clos le :</t>
        </is>
      </c>
      <c r="F5" s="1601" t="n"/>
      <c r="G5" s="1589" t="inlineStr">
        <is>
          <t>Durée (en mois) :</t>
        </is>
      </c>
      <c r="H5" s="111">
        <f>'NOTE 11'!I5</f>
        <v/>
      </c>
    </row>
    <row r="6" ht="15" customFormat="1" customHeight="1" s="1382">
      <c r="A6" s="1451" t="inlineStr">
        <is>
          <t xml:space="preserve">N° de télédéclarant (NES): </t>
        </is>
      </c>
      <c r="B6" s="1451" t="n"/>
      <c r="C6" s="1488">
        <f>'NOTE 11'!C6</f>
        <v/>
      </c>
      <c r="D6" s="1288" t="n"/>
      <c r="E6" s="1288" t="n"/>
      <c r="F6" s="1970" t="n"/>
      <c r="G6" s="254" t="n"/>
      <c r="H6" s="1970" t="n"/>
    </row>
    <row r="7" ht="35.1" customHeight="1" s="1225" thickBot="1">
      <c r="A7" s="1341" t="inlineStr">
        <is>
          <t>NOTE 14 : PRIMES ET RESERVES</t>
        </is>
      </c>
    </row>
    <row r="8" ht="34.5" customHeight="1" s="1225">
      <c r="A8" s="1667" t="inlineStr">
        <is>
          <t>Libellés</t>
        </is>
      </c>
      <c r="B8" s="1509" t="n"/>
      <c r="C8" s="1509" t="n"/>
      <c r="D8" s="1509" t="n"/>
      <c r="E8" s="1562" t="n"/>
      <c r="F8" s="1750" t="inlineStr">
        <is>
          <t>Année N</t>
        </is>
      </c>
      <c r="G8" s="1750" t="inlineStr">
        <is>
          <t>Année N-1</t>
        </is>
      </c>
      <c r="H8" s="1751" t="inlineStr">
        <is>
          <t>Variation en
valeur absolue</t>
        </is>
      </c>
    </row>
    <row r="9" ht="17.1" customHeight="1" s="1225">
      <c r="A9" s="1512" t="inlineStr">
        <is>
          <t>Primes d'émission</t>
        </is>
      </c>
      <c r="B9" s="1420" t="n"/>
      <c r="C9" s="1420" t="n"/>
      <c r="D9" s="1420" t="n"/>
      <c r="E9" s="1411" t="n"/>
      <c r="F9" s="1570" t="n"/>
      <c r="G9" s="1570" t="n"/>
      <c r="H9" s="1585">
        <f>ABS(F9-G9)</f>
        <v/>
      </c>
    </row>
    <row r="10" ht="17.1" customHeight="1" s="1225">
      <c r="A10" s="1512" t="inlineStr">
        <is>
          <t>Prime d'apport</t>
        </is>
      </c>
      <c r="B10" s="1420" t="n"/>
      <c r="C10" s="1420" t="n"/>
      <c r="D10" s="1420" t="n"/>
      <c r="E10" s="1411" t="n"/>
      <c r="F10" s="1570" t="n"/>
      <c r="G10" s="1570" t="n"/>
      <c r="H10" s="1585">
        <f>ABS(F10-G10)</f>
        <v/>
      </c>
    </row>
    <row r="11" ht="17.1" customHeight="1" s="1225">
      <c r="A11" s="1512" t="inlineStr">
        <is>
          <t>Prime de fusion</t>
        </is>
      </c>
      <c r="B11" s="1420" t="n"/>
      <c r="C11" s="1420" t="n"/>
      <c r="D11" s="1420" t="n"/>
      <c r="E11" s="1411" t="n"/>
      <c r="F11" s="1570" t="n"/>
      <c r="G11" s="1570" t="n"/>
      <c r="H11" s="1585">
        <f>ABS(F11-G11)</f>
        <v/>
      </c>
    </row>
    <row r="12" ht="17.1" customHeight="1" s="1225">
      <c r="A12" s="1512" t="inlineStr">
        <is>
          <t>Prime de conversion</t>
        </is>
      </c>
      <c r="B12" s="1420" t="n"/>
      <c r="C12" s="1420" t="n"/>
      <c r="D12" s="1420" t="n"/>
      <c r="E12" s="1411" t="n"/>
      <c r="F12" s="1570" t="n"/>
      <c r="G12" s="1570" t="n"/>
      <c r="H12" s="1585">
        <f>ABS(F12-G12)</f>
        <v/>
      </c>
    </row>
    <row r="13" ht="17.1" customHeight="1" s="1225">
      <c r="A13" s="1512" t="inlineStr">
        <is>
          <t>Autres primes</t>
        </is>
      </c>
      <c r="B13" s="1420" t="n"/>
      <c r="C13" s="1420" t="n"/>
      <c r="D13" s="1420" t="n"/>
      <c r="E13" s="1411" t="n"/>
      <c r="F13" s="1570" t="n"/>
      <c r="G13" s="1570" t="n"/>
      <c r="H13" s="1585">
        <f>ABS(F13-G13)</f>
        <v/>
      </c>
    </row>
    <row r="14" ht="17.1" customHeight="1" s="1225">
      <c r="A14" s="1544" t="inlineStr">
        <is>
          <t>TOTAL PRIMES</t>
        </is>
      </c>
      <c r="B14" s="1420" t="n"/>
      <c r="C14" s="1420" t="n"/>
      <c r="D14" s="1420" t="n"/>
      <c r="E14" s="1411" t="n"/>
      <c r="F14" s="1631">
        <f>SUM(F9:F13)</f>
        <v/>
      </c>
      <c r="G14" s="1631">
        <f>SUM(G9:G13)</f>
        <v/>
      </c>
      <c r="H14" s="840">
        <f>ABS(F14-G14)</f>
        <v/>
      </c>
    </row>
    <row r="15" ht="17.1" customHeight="1" s="1225">
      <c r="A15" s="1512" t="inlineStr">
        <is>
          <t>Réserves légales</t>
        </is>
      </c>
      <c r="B15" s="1420" t="n"/>
      <c r="C15" s="1420" t="n"/>
      <c r="D15" s="1420" t="n"/>
      <c r="E15" s="1411" t="n"/>
      <c r="F15" s="1570" t="n"/>
      <c r="G15" s="1570" t="n"/>
      <c r="H15" s="1585">
        <f>ABS(F15-G15)</f>
        <v/>
      </c>
    </row>
    <row r="16" ht="17.1" customHeight="1" s="1225">
      <c r="A16" s="1512" t="inlineStr">
        <is>
          <t>Réserves statutaires</t>
        </is>
      </c>
      <c r="B16" s="1420" t="n"/>
      <c r="C16" s="1420" t="n"/>
      <c r="D16" s="1420" t="n"/>
      <c r="E16" s="1411" t="n"/>
      <c r="F16" s="1570" t="n"/>
      <c r="G16" s="1570" t="n"/>
      <c r="H16" s="1585">
        <f>ABS(F16-G16)</f>
        <v/>
      </c>
    </row>
    <row r="17" ht="17.1" customHeight="1" s="1225">
      <c r="A17" s="1512" t="inlineStr">
        <is>
          <t>Réserves de plus-values nettes à long terme</t>
        </is>
      </c>
      <c r="B17" s="1420" t="n"/>
      <c r="C17" s="1420" t="n"/>
      <c r="D17" s="1420" t="n"/>
      <c r="E17" s="1411" t="n"/>
      <c r="F17" s="1570" t="n"/>
      <c r="G17" s="1570" t="n"/>
      <c r="H17" s="1585">
        <f>ABS(F17-G17)</f>
        <v/>
      </c>
    </row>
    <row r="18" ht="30" customHeight="1" s="1225">
      <c r="A18" s="1512" t="inlineStr">
        <is>
          <t>Réserves d’attribution gratuite d’actions au personnel salarié
et aux dirigeants</t>
        </is>
      </c>
      <c r="B18" s="1420" t="n"/>
      <c r="C18" s="1420" t="n"/>
      <c r="D18" s="1420" t="n"/>
      <c r="E18" s="1411" t="n"/>
      <c r="F18" s="1570" t="n"/>
      <c r="G18" s="1570" t="n"/>
      <c r="H18" s="1585">
        <f>ABS(F18-G18)</f>
        <v/>
      </c>
    </row>
    <row r="19" ht="17.1" customHeight="1" s="1225">
      <c r="A19" s="1512" t="inlineStr">
        <is>
          <t>Autres réserves réglementées</t>
        </is>
      </c>
      <c r="B19" s="1420" t="n"/>
      <c r="C19" s="1420" t="n"/>
      <c r="D19" s="1420" t="n"/>
      <c r="E19" s="1411" t="n"/>
      <c r="F19" s="1570" t="n"/>
      <c r="G19" s="1570" t="n"/>
      <c r="H19" s="1585">
        <f>ABS(F19-G19)</f>
        <v/>
      </c>
    </row>
    <row r="20" ht="17.1" customHeight="1" s="1225">
      <c r="A20" s="1544" t="inlineStr">
        <is>
          <t>TOTAL RESERVES INDISPONIBLES</t>
        </is>
      </c>
      <c r="B20" s="1420" t="n"/>
      <c r="C20" s="1420" t="n"/>
      <c r="D20" s="1420" t="n"/>
      <c r="E20" s="1411" t="n"/>
      <c r="F20" s="1631">
        <f>SUM(F15:F19)</f>
        <v/>
      </c>
      <c r="G20" s="1631">
        <f>SUM(G15:G19)</f>
        <v/>
      </c>
      <c r="H20" s="840">
        <f>ABS(F20-G20)</f>
        <v/>
      </c>
    </row>
    <row r="21" ht="17.1" customHeight="1" s="1225">
      <c r="A21" s="1672" t="inlineStr">
        <is>
          <t>Réserves libres</t>
        </is>
      </c>
      <c r="B21" s="1420" t="n"/>
      <c r="C21" s="1420" t="n"/>
      <c r="D21" s="1420" t="n"/>
      <c r="E21" s="1411" t="n"/>
      <c r="F21" s="139" t="n"/>
      <c r="G21" s="139" t="n"/>
      <c r="H21" s="866">
        <f>ABS(F21-G21)</f>
        <v/>
      </c>
    </row>
    <row r="22" ht="17.1" customHeight="1" s="1225" thickBot="1">
      <c r="A22" s="1678" t="inlineStr">
        <is>
          <t>Report à nouveau</t>
        </is>
      </c>
      <c r="B22" s="1527" t="n"/>
      <c r="C22" s="1527" t="n"/>
      <c r="D22" s="1527" t="n"/>
      <c r="E22" s="1528" t="n"/>
      <c r="F22" s="867" t="n"/>
      <c r="G22" s="867" t="n"/>
      <c r="H22" s="868" t="n"/>
    </row>
    <row r="23" ht="10.15" customFormat="1" customHeight="1" s="1356">
      <c r="A23" s="559" t="inlineStr">
        <is>
          <t>Commentaire:</t>
        </is>
      </c>
    </row>
    <row r="24" ht="12" customFormat="1" customHeight="1" s="1356">
      <c r="A24" s="618" t="inlineStr">
        <is>
          <t>●   Indiquer les dates de l'AGE qui a décidé des primes d'apport, d'émission de fusion.</t>
        </is>
      </c>
    </row>
    <row r="25" ht="12" customFormat="1" customHeight="1" s="1356">
      <c r="A25" s="618" t="inlineStr">
        <is>
          <t>●   Indiquer le détail des réserves libres.</t>
        </is>
      </c>
    </row>
    <row r="26" ht="12" customFormat="1" customHeight="1" s="1356">
      <c r="A26" s="618" t="inlineStr">
        <is>
          <t>●   Indiquer le montant restant à doter et le taux de dotation de la réserve légale.</t>
        </is>
      </c>
    </row>
    <row r="27" ht="12" customFormat="1" customHeight="1" s="1356">
      <c r="A27" s="618" t="inlineStr">
        <is>
          <t>●   Indiquer la date de l'AGO qui justifie la variation des réserves et du report à nouveau.</t>
        </is>
      </c>
    </row>
  </sheetData>
  <mergeCells count="22">
    <mergeCell ref="B4:F4"/>
    <mergeCell ref="G2:H2"/>
    <mergeCell ref="A15:E15"/>
    <mergeCell ref="C5:D5"/>
    <mergeCell ref="A11:E11"/>
    <mergeCell ref="A1:H1"/>
    <mergeCell ref="A16:E16"/>
    <mergeCell ref="A7:H7"/>
    <mergeCell ref="A18:E18"/>
    <mergeCell ref="A21:E21"/>
    <mergeCell ref="A12:E12"/>
    <mergeCell ref="A14:E14"/>
    <mergeCell ref="C3:H3"/>
    <mergeCell ref="A8:E8"/>
    <mergeCell ref="A22:E22"/>
    <mergeCell ref="A17:E17"/>
    <mergeCell ref="C6:E6"/>
    <mergeCell ref="A20:E20"/>
    <mergeCell ref="A10:E10"/>
    <mergeCell ref="A19:E19"/>
    <mergeCell ref="A13:E13"/>
    <mergeCell ref="A9:E9"/>
  </mergeCells>
  <dataValidations count="1">
    <dataValidation sqref="F9:G13 F15:G19 F21:G22" showDropDown="0" showInputMessage="1" showErrorMessage="1" allowBlank="1" errorTitle="Attention!" error="Valeur numérique attendue" type="whole" errorStyle="information">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4"/>
</worksheet>
</file>

<file path=xl/worksheets/sheet37.xml><?xml version="1.0" encoding="utf-8"?>
<worksheet xmlns="http://schemas.openxmlformats.org/spreadsheetml/2006/main">
  <sheetPr codeName="Feuil36">
    <tabColor theme="4" tint="0.5999938962981048"/>
    <outlinePr summaryBelow="1" summaryRight="1"/>
    <pageSetUpPr fitToPage="1"/>
  </sheetPr>
  <dimension ref="A1:J30"/>
  <sheetViews>
    <sheetView showGridLines="0" topLeftCell="A3" workbookViewId="0">
      <selection activeCell="B14" sqref="B14"/>
    </sheetView>
  </sheetViews>
  <sheetFormatPr baseColWidth="10" defaultRowHeight="15"/>
  <cols>
    <col width="16.5703125" customWidth="1" style="1225" min="2" max="2"/>
    <col width="24" customWidth="1" style="1225" min="3" max="3"/>
    <col width="6.5703125" customWidth="1" style="1225" min="4" max="4"/>
    <col width="15.7109375" customWidth="1" style="1225" min="5" max="7"/>
    <col width="9.85546875" customWidth="1" style="1225" min="8" max="8"/>
    <col width="15.7109375" customWidth="1" style="1225" min="9" max="9"/>
    <col width="14.28515625" customWidth="1" style="1225" min="10" max="10"/>
  </cols>
  <sheetData>
    <row r="1">
      <c r="A1" s="1429" t="inlineStr">
        <is>
          <t>- 0 -</t>
        </is>
      </c>
    </row>
    <row r="2" ht="24.95" customHeight="1" s="1225">
      <c r="A2" s="1429" t="n"/>
      <c r="B2" s="1429" t="n"/>
      <c r="C2" s="1429" t="n"/>
      <c r="D2" s="1429" t="n"/>
      <c r="E2" s="1429" t="n"/>
      <c r="F2" s="1429" t="n"/>
      <c r="G2" s="1429" t="n"/>
      <c r="I2" s="1438" t="inlineStr">
        <is>
          <t>NOTE 15A
SYSTEME NORMAL</t>
        </is>
      </c>
      <c r="J2" s="1411" t="n"/>
    </row>
    <row r="3" ht="15" customFormat="1" customHeight="1" s="1382">
      <c r="A3" s="1451" t="inlineStr">
        <is>
          <t>Dénomination sociale de l'entité :</t>
        </is>
      </c>
      <c r="B3" s="1451" t="n"/>
      <c r="C3" s="1276">
        <f>'NOTE 11'!C3</f>
        <v/>
      </c>
      <c r="D3" s="1277" t="n"/>
      <c r="E3" s="1277" t="n"/>
      <c r="F3" s="1277" t="n"/>
      <c r="G3" s="1277" t="n"/>
      <c r="H3" s="1277" t="n"/>
      <c r="I3" s="1277" t="n"/>
      <c r="J3" s="1277" t="n"/>
    </row>
    <row r="4" ht="15" customFormat="1" customHeight="1" s="1382">
      <c r="A4" s="1451" t="inlineStr">
        <is>
          <t>Adresse :</t>
        </is>
      </c>
      <c r="B4" s="1276">
        <f>'NOTE 11'!B4</f>
        <v/>
      </c>
      <c r="C4" s="1277" t="n"/>
      <c r="D4" s="1277" t="n"/>
      <c r="E4" s="1277" t="n"/>
      <c r="F4" s="1277" t="n"/>
      <c r="G4" s="1277" t="n"/>
      <c r="H4" s="1277" t="n"/>
      <c r="I4" s="1589" t="inlineStr">
        <is>
          <t>Sigle usuel :</t>
        </is>
      </c>
      <c r="J4" s="1285">
        <f>'NOTE 11'!I4</f>
        <v/>
      </c>
    </row>
    <row r="5" ht="15" customFormat="1" customHeight="1" s="1382">
      <c r="A5" s="1451" t="inlineStr">
        <is>
          <t>N° IFU :</t>
        </is>
      </c>
      <c r="B5" s="1451" t="n"/>
      <c r="C5" s="1276">
        <f>'NOTE 11'!C5</f>
        <v/>
      </c>
      <c r="D5" s="1277" t="n"/>
      <c r="E5" s="1277" t="n"/>
      <c r="F5" s="1457" t="inlineStr">
        <is>
          <t>Exercice clos le :</t>
        </is>
      </c>
      <c r="G5" s="1548" t="n"/>
      <c r="H5" s="1521" t="n"/>
      <c r="I5" s="1589" t="inlineStr">
        <is>
          <t>Durée (en mois) :</t>
        </is>
      </c>
      <c r="J5" s="1970">
        <f>'NOTE 11'!I5</f>
        <v/>
      </c>
    </row>
    <row r="6" ht="15" customFormat="1" customHeight="1" s="1382">
      <c r="A6" s="1451" t="inlineStr">
        <is>
          <t>N° de télédéclarant (NES):</t>
        </is>
      </c>
      <c r="B6" s="1451" t="n"/>
      <c r="C6" s="1520">
        <f>'NOTE 11'!C6</f>
        <v/>
      </c>
      <c r="D6" s="1521" t="n"/>
      <c r="E6" s="1521" t="n"/>
      <c r="F6" s="253" t="n"/>
      <c r="G6" s="1970" t="n"/>
      <c r="H6" s="1970" t="n"/>
      <c r="I6" s="254" t="n"/>
      <c r="J6" s="1970" t="n"/>
    </row>
    <row r="7" ht="35.1" customHeight="1" s="1225" thickBot="1">
      <c r="A7" s="1341" t="inlineStr">
        <is>
          <t>NOTE 15A : SUBVENTIONS D'INVESTISSEMENT ET PROVISIONS REGLEMENTEES</t>
        </is>
      </c>
    </row>
    <row r="8" ht="43.5" customHeight="1" s="1225">
      <c r="A8" s="1667" t="inlineStr">
        <is>
          <t>Libellés</t>
        </is>
      </c>
      <c r="B8" s="1509" t="n"/>
      <c r="C8" s="1562" t="n"/>
      <c r="D8" s="1750" t="inlineStr">
        <is>
          <t>NOTE</t>
        </is>
      </c>
      <c r="E8" s="1750" t="inlineStr">
        <is>
          <t>Année N</t>
        </is>
      </c>
      <c r="F8" s="1750" t="inlineStr">
        <is>
          <t>Année N-1</t>
        </is>
      </c>
      <c r="G8" s="1750" t="inlineStr">
        <is>
          <t>Variation
en valeur
absolue</t>
        </is>
      </c>
      <c r="H8" s="1750" t="inlineStr">
        <is>
          <t>Variation
en %</t>
        </is>
      </c>
      <c r="I8" s="1750" t="inlineStr">
        <is>
          <t>Régime
fiscal</t>
        </is>
      </c>
      <c r="J8" s="1751" t="inlineStr">
        <is>
          <t>Echéances</t>
        </is>
      </c>
    </row>
    <row r="9" ht="17.1" customHeight="1" s="1225">
      <c r="A9" s="1512" t="inlineStr">
        <is>
          <t>État</t>
        </is>
      </c>
      <c r="B9" s="1420" t="n"/>
      <c r="C9" s="1411" t="n"/>
      <c r="D9" s="1636" t="n"/>
      <c r="E9" s="1570" t="n"/>
      <c r="F9" s="1570" t="n"/>
      <c r="G9" s="109">
        <f>ABS(E9-F9)</f>
        <v/>
      </c>
      <c r="H9" s="416">
        <f>IF(F9,(E9-F9)/F9,IF(ISBLANK(F9),"",IF(E9,IF( E9 &gt; 0,1,-1),"")))</f>
        <v/>
      </c>
      <c r="I9" s="1636" t="n"/>
      <c r="J9" s="869" t="n"/>
    </row>
    <row r="10" ht="17.1" customHeight="1" s="1225">
      <c r="A10" s="1512" t="inlineStr">
        <is>
          <t>Régions</t>
        </is>
      </c>
      <c r="B10" s="1420" t="n"/>
      <c r="C10" s="1411" t="n"/>
      <c r="D10" s="1636" t="n"/>
      <c r="E10" s="1570" t="n"/>
      <c r="F10" s="1570" t="n"/>
      <c r="G10" s="109">
        <f>ABS(E10-F10)</f>
        <v/>
      </c>
      <c r="H10" s="416">
        <f>IF(F10,(E10-F10)/F10,IF(ISBLANK(F10),"",IF(E10,IF( E10 &gt; 0,1,-1),"")))</f>
        <v/>
      </c>
      <c r="I10" s="1636" t="n"/>
      <c r="J10" s="869" t="n"/>
    </row>
    <row r="11" ht="17.1" customHeight="1" s="1225">
      <c r="A11" s="1512" t="inlineStr">
        <is>
          <t>Départements</t>
        </is>
      </c>
      <c r="B11" s="1420" t="n"/>
      <c r="C11" s="1411" t="n"/>
      <c r="D11" s="1636" t="n"/>
      <c r="E11" s="1570" t="n"/>
      <c r="F11" s="1570" t="n"/>
      <c r="G11" s="109">
        <f>ABS(E11-F11)</f>
        <v/>
      </c>
      <c r="H11" s="416">
        <f>IF(F11,(E11-F11)/F11,IF(ISBLANK(F11),"",IF(E11,IF( E11 &gt; 0,1,-1),"")))</f>
        <v/>
      </c>
      <c r="I11" s="1636" t="n"/>
      <c r="J11" s="869" t="n"/>
    </row>
    <row r="12" ht="17.1" customHeight="1" s="1225">
      <c r="A12" s="1512" t="inlineStr">
        <is>
          <t>Communes et collectivités publiques décentralisées</t>
        </is>
      </c>
      <c r="B12" s="1420" t="n"/>
      <c r="C12" s="1411" t="n"/>
      <c r="D12" s="1636" t="n"/>
      <c r="E12" s="1570" t="n"/>
      <c r="F12" s="1570" t="n"/>
      <c r="G12" s="109">
        <f>ABS(E12-F12)</f>
        <v/>
      </c>
      <c r="H12" s="416">
        <f>IF(F12,(E12-F12)/F12,IF(ISBLANK(F12),"",IF(E12,IF( E12 &gt; 0,1,-1),"")))</f>
        <v/>
      </c>
      <c r="I12" s="1636" t="n"/>
      <c r="J12" s="869" t="n"/>
    </row>
    <row r="13" ht="17.1" customHeight="1" s="1225">
      <c r="A13" s="1512" t="inlineStr">
        <is>
          <t>Entités publiques ou mixtes</t>
        </is>
      </c>
      <c r="B13" s="1420" t="n"/>
      <c r="C13" s="1411" t="n"/>
      <c r="D13" s="1636" t="n"/>
      <c r="E13" s="1570" t="n"/>
      <c r="F13" s="1570" t="n"/>
      <c r="G13" s="109">
        <f>ABS(E13-F13)</f>
        <v/>
      </c>
      <c r="H13" s="416">
        <f>IF(F13,(E13-F13)/F13,IF(ISBLANK(F13),"",IF(E13,IF( E13 &gt; 0,1,-1),"")))</f>
        <v/>
      </c>
      <c r="I13" s="1636" t="n"/>
      <c r="J13" s="869" t="n"/>
    </row>
    <row r="14" ht="17.1" customHeight="1" s="1225">
      <c r="A14" s="1512" t="inlineStr">
        <is>
          <t>Entités et organismes privés</t>
        </is>
      </c>
      <c r="B14" s="1420" t="n"/>
      <c r="C14" s="1411" t="n"/>
      <c r="D14" s="1636" t="n"/>
      <c r="E14" s="1570" t="n"/>
      <c r="F14" s="1570" t="n"/>
      <c r="G14" s="109">
        <f>ABS(E14-F14)</f>
        <v/>
      </c>
      <c r="H14" s="416">
        <f>IF(F14,(E14-F14)/F14,IF(ISBLANK(F14),"",IF(E14,IF( E14 &gt; 0,1,-1),"")))</f>
        <v/>
      </c>
      <c r="I14" s="1636" t="n"/>
      <c r="J14" s="869" t="n"/>
    </row>
    <row r="15" ht="17.1" customHeight="1" s="1225">
      <c r="A15" s="1512" t="inlineStr">
        <is>
          <t>Organismes internationaux</t>
        </is>
      </c>
      <c r="B15" s="1420" t="n"/>
      <c r="C15" s="1411" t="n"/>
      <c r="D15" s="1636" t="n"/>
      <c r="E15" s="1570" t="n"/>
      <c r="F15" s="1570" t="n"/>
      <c r="G15" s="109">
        <f>ABS(E15-F15)</f>
        <v/>
      </c>
      <c r="H15" s="416">
        <f>IF(F15,(E15-F15)/F15,IF(ISBLANK(F15),"",IF(E15,IF( E15 &gt; 0,1,-1),"")))</f>
        <v/>
      </c>
      <c r="I15" s="1636" t="n"/>
      <c r="J15" s="869" t="n"/>
    </row>
    <row r="16" ht="17.1" customHeight="1" s="1225">
      <c r="A16" s="1512" t="inlineStr">
        <is>
          <t>Autres</t>
        </is>
      </c>
      <c r="B16" s="1420" t="n"/>
      <c r="C16" s="1411" t="n"/>
      <c r="D16" s="1636" t="n"/>
      <c r="E16" s="1570" t="n"/>
      <c r="F16" s="1570" t="n"/>
      <c r="G16" s="109">
        <f>ABS(E16-F16)</f>
        <v/>
      </c>
      <c r="H16" s="416">
        <f>IF(F16,(E16-F16)/F16,IF(ISBLANK(F16),"",IF(E16,IF( E16 &gt; 0,1,-1),"")))</f>
        <v/>
      </c>
      <c r="I16" s="1636" t="n"/>
      <c r="J16" s="869" t="n"/>
    </row>
    <row r="17" ht="17.1" customHeight="1" s="1225">
      <c r="A17" s="1544" t="inlineStr">
        <is>
          <t>TOTAL SUBVENTIONS</t>
        </is>
      </c>
      <c r="B17" s="1420" t="n"/>
      <c r="C17" s="1411" t="n"/>
      <c r="D17" s="140" t="n"/>
      <c r="E17" s="1631">
        <f>SUM(E9:E16)</f>
        <v/>
      </c>
      <c r="F17" s="1631">
        <f>SUM(F9:F16)</f>
        <v/>
      </c>
      <c r="G17" s="142">
        <f>ABS(E17-F17)</f>
        <v/>
      </c>
      <c r="H17" s="417">
        <f>IF(F17,(E17-F17)/F17,IF(ISBLANK(F17),"",IF(E17,IF( E17 &gt; 0,1,-1),"")))</f>
        <v/>
      </c>
      <c r="I17" s="1631" t="n"/>
      <c r="J17" s="840" t="n"/>
    </row>
    <row r="18" ht="17.1" customHeight="1" s="1225">
      <c r="A18" s="1512" t="inlineStr">
        <is>
          <t>Amortissements dérogatoires</t>
        </is>
      </c>
      <c r="B18" s="1420" t="n"/>
      <c r="C18" s="1411" t="n"/>
      <c r="D18" s="1636" t="n"/>
      <c r="E18" s="1570" t="n"/>
      <c r="F18" s="1570" t="n"/>
      <c r="G18" s="109">
        <f>ABS(E18-F18)</f>
        <v/>
      </c>
      <c r="H18" s="416">
        <f>IF(F18,(E18-F18)/F18,IF(ISBLANK(F18),"",IF(E18,IF( E18 &gt; 0,1,-1),"")))</f>
        <v/>
      </c>
      <c r="I18" s="1636" t="n"/>
      <c r="J18" s="869" t="n"/>
    </row>
    <row r="19" ht="17.1" customHeight="1" s="1225">
      <c r="A19" s="1512" t="inlineStr">
        <is>
          <t>Plus-value de cession à réinvestir</t>
        </is>
      </c>
      <c r="B19" s="1420" t="n"/>
      <c r="C19" s="1411" t="n"/>
      <c r="D19" s="1636" t="n"/>
      <c r="E19" s="1570" t="n"/>
      <c r="F19" s="1570" t="n"/>
      <c r="G19" s="109">
        <f>ABS(E19-F19)</f>
        <v/>
      </c>
      <c r="H19" s="416">
        <f>IF(F19,(E19-F19)/F19,IF(ISBLANK(F19),"",IF(E19,IF( E19 &gt; 0,1,-1),"")))</f>
        <v/>
      </c>
      <c r="I19" s="1636" t="n"/>
      <c r="J19" s="869" t="n"/>
    </row>
    <row r="20" ht="17.1" customHeight="1" s="1225">
      <c r="A20" s="1512" t="inlineStr">
        <is>
          <t>Provisions spéciales de réévaluation</t>
        </is>
      </c>
      <c r="B20" s="1420" t="n"/>
      <c r="C20" s="1411" t="n"/>
      <c r="D20" s="1636" t="inlineStr">
        <is>
          <t>3E</t>
        </is>
      </c>
      <c r="E20" s="1570" t="n"/>
      <c r="F20" s="1570" t="n"/>
      <c r="G20" s="109">
        <f>ABS(E20-F20)</f>
        <v/>
      </c>
      <c r="H20" s="416">
        <f>IF(F20,(E20-F20)/F20,IF(ISBLANK(F20),"",IF(E20,IF( E20 &gt; 0,1,-1),"")))</f>
        <v/>
      </c>
      <c r="I20" s="1636" t="n"/>
      <c r="J20" s="869" t="n"/>
    </row>
    <row r="21" ht="17.1" customHeight="1" s="1225">
      <c r="A21" s="1512" t="inlineStr">
        <is>
          <t>Provisions réglementées relatives aux immobilisations</t>
        </is>
      </c>
      <c r="B21" s="1420" t="n"/>
      <c r="C21" s="1411" t="n"/>
      <c r="D21" s="1636" t="n"/>
      <c r="E21" s="1570" t="n"/>
      <c r="F21" s="1570" t="n"/>
      <c r="G21" s="109">
        <f>ABS(E21-F21)</f>
        <v/>
      </c>
      <c r="H21" s="416">
        <f>IF(F21,(E21-F21)/F21,IF(ISBLANK(F21),"",IF(E21,IF( E21 &gt; 0,1,-1),"")))</f>
        <v/>
      </c>
      <c r="I21" s="1636" t="n"/>
      <c r="J21" s="869" t="n"/>
    </row>
    <row r="22" ht="17.1" customHeight="1" s="1225">
      <c r="A22" s="1512" t="inlineStr">
        <is>
          <t>Provisions réglementés relatives aux stocks</t>
        </is>
      </c>
      <c r="B22" s="1420" t="n"/>
      <c r="C22" s="1411" t="n"/>
      <c r="D22" s="1636" t="n"/>
      <c r="E22" s="1570" t="n"/>
      <c r="F22" s="1570" t="n"/>
      <c r="G22" s="109">
        <f>ABS(E22-F22)</f>
        <v/>
      </c>
      <c r="H22" s="416">
        <f>IF(F22,(E22-F22)/F22,IF(ISBLANK(F22),"",IF(E22,IF( E22 &gt; 0,1,-1),"")))</f>
        <v/>
      </c>
      <c r="I22" s="1636" t="n"/>
      <c r="J22" s="869" t="n"/>
    </row>
    <row r="23" ht="17.1" customHeight="1" s="1225">
      <c r="A23" s="1512" t="inlineStr">
        <is>
          <t>Provisions pour investissement</t>
        </is>
      </c>
      <c r="B23" s="1420" t="n"/>
      <c r="C23" s="1411" t="n"/>
      <c r="D23" s="1636" t="n"/>
      <c r="E23" s="1570" t="n"/>
      <c r="F23" s="1570" t="n"/>
      <c r="G23" s="109">
        <f>ABS(E23-F23)</f>
        <v/>
      </c>
      <c r="H23" s="416">
        <f>IF(F23,(E23-F23)/F23,IF(ISBLANK(F23),"",IF(E23,IF( E23 &gt; 0,1,-1),"")))</f>
        <v/>
      </c>
      <c r="I23" s="1636" t="n"/>
      <c r="J23" s="869" t="n"/>
    </row>
    <row r="24" ht="17.1" customHeight="1" s="1225">
      <c r="A24" s="1553" t="inlineStr">
        <is>
          <t>Autres provisions et fonds réglementées</t>
        </is>
      </c>
      <c r="B24" s="1420" t="n"/>
      <c r="C24" s="1411" t="n"/>
      <c r="D24" s="1636" t="n"/>
      <c r="E24" s="1570" t="n"/>
      <c r="F24" s="1570" t="n"/>
      <c r="G24" s="109">
        <f>ABS(E24-F24)</f>
        <v/>
      </c>
      <c r="H24" s="416">
        <f>IF(F24,(E24-F24)/F24,IF(ISBLANK(F24),"",IF(E24,IF( E24 &gt; 0,1,-1),"")))</f>
        <v/>
      </c>
      <c r="I24" s="1636" t="n"/>
      <c r="J24" s="869" t="n"/>
    </row>
    <row r="25" ht="17.1" customHeight="1" s="1225">
      <c r="A25" s="1544" t="inlineStr">
        <is>
          <t>TOTAL PROVISIONS REGLEMENTEES</t>
        </is>
      </c>
      <c r="B25" s="1420" t="n"/>
      <c r="C25" s="1411" t="n"/>
      <c r="D25" s="141" t="n"/>
      <c r="E25" s="1631">
        <f>SUM(E18:E24)</f>
        <v/>
      </c>
      <c r="F25" s="1631">
        <f>SUM(F18:F24)</f>
        <v/>
      </c>
      <c r="G25" s="142">
        <f>ABS(E25-F25)</f>
        <v/>
      </c>
      <c r="H25" s="417">
        <f>IF(F25,(E25-F25)/F25,IF(ISBLANK(F25),"",IF(E25,IF( E25 &gt; 0,1,-1),"")))</f>
        <v/>
      </c>
      <c r="I25" s="1631" t="n"/>
      <c r="J25" s="840" t="n"/>
    </row>
    <row r="26" ht="17.1" customHeight="1" s="1225" thickBot="1">
      <c r="A26" s="1679" t="inlineStr">
        <is>
          <t>TOTAL SUBVENTIONS ET PROVISIONS REGLEMENTEES</t>
        </is>
      </c>
      <c r="B26" s="1527" t="n"/>
      <c r="C26" s="1528" t="n"/>
      <c r="D26" s="870" t="n"/>
      <c r="E26" s="871">
        <f>E17+E25</f>
        <v/>
      </c>
      <c r="F26" s="871">
        <f>F17+F25</f>
        <v/>
      </c>
      <c r="G26" s="1584">
        <f>ABS(E26-F26)</f>
        <v/>
      </c>
      <c r="H26" s="873">
        <f>IF(F26,(E26-F26)/F26,IF(ISBLANK(F26),"",IF(E26,IF( E26 &gt; 0,1,-1),"")))</f>
        <v/>
      </c>
      <c r="I26" s="871" t="n"/>
      <c r="J26" s="874" t="n"/>
    </row>
    <row r="27" ht="12" customFormat="1" customHeight="1" s="1356">
      <c r="A27" s="559" t="inlineStr">
        <is>
          <t>Commentaire:</t>
        </is>
      </c>
    </row>
    <row r="28" ht="12" customFormat="1" customHeight="1" s="1356">
      <c r="A28" s="618" t="inlineStr">
        <is>
          <t xml:space="preserve">●   Indiquer pour la subvention la date d’octroi, la nature, les obligations éventuelles. </t>
        </is>
      </c>
    </row>
    <row r="29" ht="12" customFormat="1" customHeight="1" s="1356">
      <c r="A29" s="618" t="inlineStr">
        <is>
          <t>●   Pour les provisions réglementées, indiquer le texte de référence, les obligations. Commenter toute variation significative.</t>
        </is>
      </c>
    </row>
    <row r="30" ht="12" customHeight="1" s="1225">
      <c r="A30" s="554" t="inlineStr">
        <is>
          <t>●  Commenter toute variation significative.</t>
        </is>
      </c>
    </row>
  </sheetData>
  <mergeCells count="27">
    <mergeCell ref="A25:C25"/>
    <mergeCell ref="C3:J3"/>
    <mergeCell ref="I2:J2"/>
    <mergeCell ref="A18:C18"/>
    <mergeCell ref="A21:C21"/>
    <mergeCell ref="A12:C12"/>
    <mergeCell ref="A26:C26"/>
    <mergeCell ref="A23:C23"/>
    <mergeCell ref="B4:H4"/>
    <mergeCell ref="A14:C14"/>
    <mergeCell ref="A8:C8"/>
    <mergeCell ref="A22:C22"/>
    <mergeCell ref="A17:C17"/>
    <mergeCell ref="A20:C20"/>
    <mergeCell ref="A10:C10"/>
    <mergeCell ref="A1:J1"/>
    <mergeCell ref="A19:C19"/>
    <mergeCell ref="A13:C13"/>
    <mergeCell ref="G5:H5"/>
    <mergeCell ref="A9:C9"/>
    <mergeCell ref="A7:J7"/>
    <mergeCell ref="A15:C15"/>
    <mergeCell ref="A24:C24"/>
    <mergeCell ref="C6:E6"/>
    <mergeCell ref="A11:C11"/>
    <mergeCell ref="C5:E5"/>
    <mergeCell ref="A16:C16"/>
  </mergeCells>
  <dataValidations count="1">
    <dataValidation sqref="E9:F16 E18:F24"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6"/>
</worksheet>
</file>

<file path=xl/worksheets/sheet38.xml><?xml version="1.0" encoding="utf-8"?>
<worksheet xmlns="http://schemas.openxmlformats.org/spreadsheetml/2006/main">
  <sheetPr codeName="Feuil37">
    <tabColor theme="4" tint="0.5999938962981048"/>
    <outlinePr summaryBelow="1" summaryRight="1"/>
    <pageSetUpPr fitToPage="1"/>
  </sheetPr>
  <dimension ref="A1:K20"/>
  <sheetViews>
    <sheetView showGridLines="0" workbookViewId="0">
      <selection activeCell="B14" sqref="B14"/>
    </sheetView>
  </sheetViews>
  <sheetFormatPr baseColWidth="10" defaultRowHeight="15"/>
  <cols>
    <col width="16.85546875" customWidth="1" style="1225" min="2" max="2"/>
    <col width="10.28515625" customWidth="1" style="1225" min="5" max="5"/>
    <col width="6.85546875" customWidth="1" style="1225" min="6" max="6"/>
    <col width="15.7109375" customWidth="1" style="1225" min="7" max="9"/>
    <col width="14.28515625" customWidth="1" style="1225" min="10" max="11"/>
  </cols>
  <sheetData>
    <row r="1">
      <c r="A1" s="1429" t="inlineStr">
        <is>
          <t>- 0 -</t>
        </is>
      </c>
    </row>
    <row r="2" ht="24.95" customHeight="1" s="1225">
      <c r="A2" s="1429" t="n"/>
      <c r="B2" s="1429" t="n"/>
      <c r="C2" s="1429" t="n"/>
      <c r="D2" s="1429" t="n"/>
      <c r="E2" s="1429" t="n"/>
      <c r="F2" s="1429" t="n"/>
      <c r="G2" s="1429" t="n"/>
      <c r="J2" s="1438" t="inlineStr">
        <is>
          <t>NOTE 15B
SYSTEME NORMAL</t>
        </is>
      </c>
      <c r="K2" s="1411" t="n"/>
    </row>
    <row r="3" ht="15" customFormat="1" customHeight="1" s="1382">
      <c r="A3" s="1451" t="inlineStr">
        <is>
          <t>Dénomination sociale de l'entité :</t>
        </is>
      </c>
      <c r="B3" s="1451" t="n"/>
      <c r="C3" s="1276">
        <f>'NOTE 11'!C3</f>
        <v/>
      </c>
      <c r="D3" s="1277" t="n"/>
      <c r="E3" s="1277" t="n"/>
      <c r="F3" s="1277" t="n"/>
      <c r="G3" s="1277" t="n"/>
      <c r="H3" s="1277" t="n"/>
      <c r="I3" s="1277" t="n"/>
      <c r="J3" s="1277" t="n"/>
      <c r="K3" s="1277" t="n"/>
    </row>
    <row r="4" ht="15" customFormat="1" customHeight="1" s="1382">
      <c r="A4" s="1451" t="inlineStr">
        <is>
          <t>Adresse :</t>
        </is>
      </c>
      <c r="B4" s="1276">
        <f>'NOTE 11'!B4</f>
        <v/>
      </c>
      <c r="C4" s="1277" t="n"/>
      <c r="D4" s="1277" t="n"/>
      <c r="E4" s="1277" t="n"/>
      <c r="F4" s="1277" t="n"/>
      <c r="G4" s="1277" t="n"/>
      <c r="H4" s="1277" t="n"/>
      <c r="I4" s="1277" t="n"/>
      <c r="J4" s="1589" t="inlineStr">
        <is>
          <t>Sigle usuel :</t>
        </is>
      </c>
      <c r="K4" s="1285">
        <f>'NOTE 11'!I4</f>
        <v/>
      </c>
    </row>
    <row r="5" ht="15" customFormat="1" customHeight="1" s="1382">
      <c r="A5" s="1451" t="inlineStr">
        <is>
          <t>N° IFU :</t>
        </is>
      </c>
      <c r="B5" s="1451" t="n"/>
      <c r="C5" s="1276">
        <f>'NOTE 11'!C5</f>
        <v/>
      </c>
      <c r="D5" s="1277" t="n"/>
      <c r="E5" s="1277" t="n"/>
      <c r="F5" s="1277" t="n"/>
      <c r="G5" s="1457" t="inlineStr">
        <is>
          <t>Exercice clos le :</t>
        </is>
      </c>
      <c r="H5" s="1563" t="n"/>
      <c r="I5" s="1277" t="n"/>
      <c r="J5" s="1589" t="inlineStr">
        <is>
          <t>Durée (en mois) :</t>
        </is>
      </c>
      <c r="K5" s="1970">
        <f>'NOTE 11'!I5</f>
        <v/>
      </c>
    </row>
    <row r="6" ht="15" customFormat="1" customHeight="1" s="1382">
      <c r="A6" s="1451" t="inlineStr">
        <is>
          <t>N° de télédéclarant (NES):</t>
        </is>
      </c>
      <c r="B6" s="1451" t="n"/>
      <c r="C6" s="1520">
        <f>'NOTE 11'!C6</f>
        <v/>
      </c>
      <c r="D6" s="1521" t="n"/>
      <c r="E6" s="1521" t="n"/>
      <c r="F6" s="1521" t="n"/>
      <c r="G6" s="253" t="n"/>
      <c r="H6" s="1970" t="n"/>
      <c r="I6" s="1970" t="n"/>
      <c r="J6" s="254" t="n"/>
      <c r="K6" s="1970" t="n"/>
    </row>
    <row r="7" ht="35.1" customHeight="1" s="1225" thickBot="1">
      <c r="A7" s="1341" t="inlineStr">
        <is>
          <t>NOTE 15B : AUTRES  FONDS  PROPRES (1)</t>
        </is>
      </c>
    </row>
    <row r="8" ht="44.25" customHeight="1" s="1225">
      <c r="A8" s="1667" t="inlineStr">
        <is>
          <t>Libellés</t>
        </is>
      </c>
      <c r="B8" s="1509" t="n"/>
      <c r="C8" s="1509" t="n"/>
      <c r="D8" s="1509" t="n"/>
      <c r="E8" s="1562" t="n"/>
      <c r="F8" s="1750" t="inlineStr">
        <is>
          <t>NOTE</t>
        </is>
      </c>
      <c r="G8" s="1750" t="inlineStr">
        <is>
          <t>Année N</t>
        </is>
      </c>
      <c r="H8" s="1750" t="inlineStr">
        <is>
          <t>Année N-1</t>
        </is>
      </c>
      <c r="I8" s="1750" t="inlineStr">
        <is>
          <t>Variation
en valeur
absolue</t>
        </is>
      </c>
      <c r="J8" s="1750" t="inlineStr">
        <is>
          <t>Variation
en %</t>
        </is>
      </c>
      <c r="K8" s="1751" t="inlineStr">
        <is>
          <t>Echéances</t>
        </is>
      </c>
    </row>
    <row r="9" ht="27.75" customHeight="1" s="1225">
      <c r="A9" s="1512" t="inlineStr">
        <is>
          <t>Titres participatifs</t>
        </is>
      </c>
      <c r="B9" s="1420" t="n"/>
      <c r="C9" s="1420" t="n"/>
      <c r="D9" s="1420" t="n"/>
      <c r="E9" s="1411" t="n"/>
      <c r="F9" s="1636" t="n"/>
      <c r="G9" s="1570" t="n"/>
      <c r="H9" s="1570" t="n"/>
      <c r="I9" s="109">
        <f>ABS(G9-H9)</f>
        <v/>
      </c>
      <c r="J9" s="416">
        <f>IF(H9,(G9-H9)/H9,IF(ISBLANK(H9),"",IF(G9,IF( G9 &gt; 0,1,-1),"")))</f>
        <v/>
      </c>
      <c r="K9" s="869" t="n"/>
    </row>
    <row r="10" ht="27.75" customHeight="1" s="1225">
      <c r="A10" s="1512" t="inlineStr">
        <is>
          <t>Avances conditionnées</t>
        </is>
      </c>
      <c r="B10" s="1420" t="n"/>
      <c r="C10" s="1420" t="n"/>
      <c r="D10" s="1420" t="n"/>
      <c r="E10" s="1411" t="n"/>
      <c r="F10" s="1636" t="n"/>
      <c r="G10" s="1570" t="n"/>
      <c r="H10" s="1570" t="n"/>
      <c r="I10" s="109">
        <f>ABS(G10-H10)</f>
        <v/>
      </c>
      <c r="J10" s="416">
        <f>IF(H10,(G10-H10)/H10,IF(ISBLANK(H10),"",IF(G10,IF( G10 &gt; 0,1,-1),"")))</f>
        <v/>
      </c>
      <c r="K10" s="869" t="n"/>
    </row>
    <row r="11" ht="27.75" customHeight="1" s="1225">
      <c r="A11" s="1512" t="inlineStr">
        <is>
          <t>Titres subordonnés à durée indéterminée (T.S.D.I.)</t>
        </is>
      </c>
      <c r="B11" s="1420" t="n"/>
      <c r="C11" s="1420" t="n"/>
      <c r="D11" s="1420" t="n"/>
      <c r="E11" s="1411" t="n"/>
      <c r="F11" s="1636" t="n"/>
      <c r="G11" s="1570" t="n"/>
      <c r="H11" s="1570" t="n"/>
      <c r="I11" s="109">
        <f>ABS(G11-H11)</f>
        <v/>
      </c>
      <c r="J11" s="416">
        <f>IF(H11,(G11-H11)/H11,IF(ISBLANK(H11),"",IF(G11,IF( G11 &gt; 0,1,-1),"")))</f>
        <v/>
      </c>
      <c r="K11" s="869" t="n"/>
    </row>
    <row r="12" ht="27.75" customHeight="1" s="1225">
      <c r="A12" s="1512" t="inlineStr">
        <is>
          <t>Obligations remboursables en actions (O.R.A.)</t>
        </is>
      </c>
      <c r="B12" s="1420" t="n"/>
      <c r="C12" s="1420" t="n"/>
      <c r="D12" s="1420" t="n"/>
      <c r="E12" s="1411" t="n"/>
      <c r="F12" s="1636" t="n"/>
      <c r="G12" s="1570" t="n"/>
      <c r="H12" s="1570" t="n"/>
      <c r="I12" s="109">
        <f>ABS(G12-H12)</f>
        <v/>
      </c>
      <c r="J12" s="416">
        <f>IF(H12,(G12-H12)/H12,IF(ISBLANK(H12),"",IF(G12,IF( G12 &gt; 0,1,-1),"")))</f>
        <v/>
      </c>
      <c r="K12" s="869" t="n"/>
    </row>
    <row r="13" ht="27.75" customHeight="1" s="1225">
      <c r="A13" s="1512" t="inlineStr">
        <is>
          <t xml:space="preserve"> Autres avances et dettes assorties de conditions particulières</t>
        </is>
      </c>
      <c r="B13" s="1420" t="n"/>
      <c r="C13" s="1420" t="n"/>
      <c r="D13" s="1420" t="n"/>
      <c r="E13" s="1411" t="n"/>
      <c r="F13" s="1636" t="n"/>
      <c r="G13" s="1570" t="n"/>
      <c r="H13" s="1570" t="n"/>
      <c r="I13" s="109">
        <f>ABS(G13-H13)</f>
        <v/>
      </c>
      <c r="J13" s="416">
        <f>IF(H13,(G13-H13)/H13,IF(ISBLANK(H13),"",IF(G13,IF( G13 &gt; 0,1,-1),"")))</f>
        <v/>
      </c>
      <c r="K13" s="869" t="n"/>
    </row>
    <row r="14" ht="27.75" customHeight="1" s="1225" thickBot="1">
      <c r="A14" s="1629" t="inlineStr">
        <is>
          <t>TOTAL AUTRES FONDS PROPRES</t>
        </is>
      </c>
      <c r="B14" s="1527" t="n"/>
      <c r="C14" s="1527" t="n"/>
      <c r="D14" s="1527" t="n"/>
      <c r="E14" s="1528" t="n"/>
      <c r="F14" s="876" t="n"/>
      <c r="G14" s="1628">
        <f>SUM(G9:G13)</f>
        <v/>
      </c>
      <c r="H14" s="1628">
        <f>SUM(H9:H13)</f>
        <v/>
      </c>
      <c r="I14" s="839">
        <f>ABS(G14-H14)</f>
        <v/>
      </c>
      <c r="J14" s="842">
        <f>IF(H14,(G14-H14)/H14,IF(ISBLANK(H14),"",IF(G14,IF( G14 &gt; 0,1,-1),"")))</f>
        <v/>
      </c>
      <c r="K14" s="877" t="n"/>
    </row>
    <row r="15" ht="2.25" customHeight="1" s="1225">
      <c r="A15" s="48" t="n"/>
      <c r="B15" s="48" t="n"/>
      <c r="C15" s="48" t="n"/>
      <c r="D15" s="48" t="n"/>
      <c r="E15" s="48" t="n"/>
      <c r="F15" s="48" t="n"/>
      <c r="G15" s="48" t="n"/>
      <c r="H15" s="48" t="n"/>
      <c r="I15" s="48" t="n"/>
      <c r="J15" s="875" t="n"/>
    </row>
    <row r="16" ht="23.25" customFormat="1" customHeight="1" s="1680">
      <c r="A16" s="1495" t="inlineStr">
        <is>
          <t>(1) Le  cas  échéant,  une  rubrique  "Autres  fonds  propres"  (montant des émissions de titres participatifs, avances conditionnées, ...) sur une ligne séparée est  intercalée  entre  les  rubriques "Total capitaux propres et ressources assimilées " et  "Emprunts et dettes financières" si le montant des autres fonds propres est significatif.</t>
        </is>
      </c>
    </row>
    <row r="17" ht="10.15" customFormat="1" customHeight="1" s="1680">
      <c r="A17" s="559" t="inlineStr">
        <is>
          <t>Commentaire:</t>
        </is>
      </c>
    </row>
    <row r="18" ht="11.25" customFormat="1" customHeight="1" s="1680">
      <c r="A18" s="618" t="inlineStr">
        <is>
          <t xml:space="preserve">●   Justifier l'inscription de ces dettes dans une rubrique spécifique du passif du bilan "autres fonds propres"(faible probabilité de remboursement, absence d’échéancier...) </t>
        </is>
      </c>
    </row>
    <row r="19" ht="11.25" customFormat="1" customHeight="1" s="1680">
      <c r="A19" s="618" t="inlineStr">
        <is>
          <t>●   Justifier le caractère significatif du montant total de cette rubrique</t>
        </is>
      </c>
    </row>
    <row r="20" ht="11.25" customFormat="1" customHeight="1" s="1680">
      <c r="A20" s="618" t="inlineStr">
        <is>
          <t>●   Commenter toute variation significative</t>
        </is>
      </c>
    </row>
  </sheetData>
  <mergeCells count="16">
    <mergeCell ref="A12:E12"/>
    <mergeCell ref="A10:E10"/>
    <mergeCell ref="J2:K2"/>
    <mergeCell ref="A7:K7"/>
    <mergeCell ref="A16:K16"/>
    <mergeCell ref="A11:E11"/>
    <mergeCell ref="C6:F6"/>
    <mergeCell ref="H5:I5"/>
    <mergeCell ref="C3:K3"/>
    <mergeCell ref="A8:E8"/>
    <mergeCell ref="A13:E13"/>
    <mergeCell ref="A14:E14"/>
    <mergeCell ref="C5:F5"/>
    <mergeCell ref="A1:K1"/>
    <mergeCell ref="A9:E9"/>
    <mergeCell ref="B4:I4"/>
  </mergeCells>
  <dataValidations count="1">
    <dataValidation sqref="G9:H13"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7"/>
</worksheet>
</file>

<file path=xl/worksheets/sheet39.xml><?xml version="1.0" encoding="utf-8"?>
<worksheet xmlns="http://schemas.openxmlformats.org/spreadsheetml/2006/main">
  <sheetPr codeName="Feuil38">
    <tabColor theme="4" tint="0.5999938962981048"/>
    <outlinePr summaryBelow="1" summaryRight="1"/>
    <pageSetUpPr fitToPage="1"/>
  </sheetPr>
  <dimension ref="A1:K46"/>
  <sheetViews>
    <sheetView showGridLines="0" topLeftCell="A28" zoomScaleNormal="100" workbookViewId="0">
      <selection activeCell="B14" sqref="B14"/>
    </sheetView>
  </sheetViews>
  <sheetFormatPr baseColWidth="10" defaultRowHeight="15"/>
  <cols>
    <col width="16.5703125" customWidth="1" style="1225" min="2" max="2"/>
    <col width="25.85546875" customWidth="1" style="1225" min="4" max="4"/>
    <col width="15.7109375" customWidth="1" style="1225" min="5" max="6"/>
    <col width="13.28515625" bestFit="1" customWidth="1" style="1225" min="7" max="7"/>
    <col width="10.7109375" customWidth="1" style="1225" min="8" max="8"/>
    <col width="15.7109375" customWidth="1" style="1225" min="9" max="11"/>
  </cols>
  <sheetData>
    <row r="1" ht="14.25" customHeight="1" s="1225">
      <c r="A1" s="1429" t="inlineStr">
        <is>
          <t>- 0 -</t>
        </is>
      </c>
    </row>
    <row r="2" ht="22.5" customHeight="1" s="1225">
      <c r="A2" s="1429" t="n"/>
      <c r="B2" s="1429" t="n"/>
      <c r="C2" s="1429" t="n"/>
      <c r="D2" s="1429" t="n"/>
      <c r="E2" s="1429" t="n"/>
      <c r="F2" s="1429" t="n"/>
      <c r="G2" s="1429" t="n"/>
      <c r="J2" s="1438" t="inlineStr">
        <is>
          <t>NOTE 16A
SYSTEME NORMAL</t>
        </is>
      </c>
      <c r="K2" s="1411" t="n"/>
    </row>
    <row r="3" ht="15" customFormat="1" customHeight="1" s="1382">
      <c r="A3" s="1451" t="inlineStr">
        <is>
          <t>Dénomination sociale de l'entité :</t>
        </is>
      </c>
      <c r="B3" s="1451" t="n"/>
      <c r="C3" s="1276">
        <f>'NOTE 11'!C3</f>
        <v/>
      </c>
      <c r="D3" s="1277" t="n"/>
      <c r="E3" s="1277" t="n"/>
      <c r="F3" s="1277" t="n"/>
      <c r="G3" s="1277" t="n"/>
      <c r="H3" s="1277" t="n"/>
      <c r="I3" s="1277" t="n"/>
      <c r="J3" s="1277" t="n"/>
      <c r="K3" s="1277" t="n"/>
    </row>
    <row r="4" ht="15" customFormat="1" customHeight="1" s="1382">
      <c r="A4" s="1451" t="inlineStr">
        <is>
          <t>Adresse :</t>
        </is>
      </c>
      <c r="B4" s="1276">
        <f>'NOTE 11'!B4</f>
        <v/>
      </c>
      <c r="C4" s="1277" t="n"/>
      <c r="D4" s="1277" t="n"/>
      <c r="E4" s="1277" t="n"/>
      <c r="F4" s="1277" t="n"/>
      <c r="G4" s="1277" t="n"/>
      <c r="H4" s="1277" t="n"/>
      <c r="I4" s="1277" t="n"/>
      <c r="J4" s="1589" t="inlineStr">
        <is>
          <t>Sigle usuel :</t>
        </is>
      </c>
      <c r="K4" s="1276">
        <f>'NOTE 11'!I4</f>
        <v/>
      </c>
    </row>
    <row r="5" ht="15" customFormat="1" customHeight="1" s="1382">
      <c r="A5" s="1451" t="inlineStr">
        <is>
          <t>N° IFU :</t>
        </is>
      </c>
      <c r="B5" s="1451" t="n"/>
      <c r="C5" s="1276">
        <f>'NOTE 11'!C5</f>
        <v/>
      </c>
      <c r="D5" s="1277" t="n"/>
      <c r="E5" s="1277" t="n"/>
      <c r="F5" s="1277" t="n"/>
      <c r="G5" s="1282" t="inlineStr">
        <is>
          <t>Exercice clos le :</t>
        </is>
      </c>
      <c r="H5" s="1283" t="n"/>
      <c r="I5" s="1563" t="n"/>
      <c r="J5" s="1589" t="inlineStr">
        <is>
          <t>Durée (en mois) :</t>
        </is>
      </c>
      <c r="K5" s="1970">
        <f>'NOTE 11'!I5</f>
        <v/>
      </c>
    </row>
    <row r="6" ht="15" customFormat="1" customHeight="1" s="1382">
      <c r="A6" s="1451" t="inlineStr">
        <is>
          <t>N° de télédéclarant (NES):</t>
        </is>
      </c>
      <c r="B6" s="1451" t="n"/>
      <c r="C6" s="1520">
        <f>'NOTE 11'!C6</f>
        <v/>
      </c>
      <c r="D6" s="1521" t="n"/>
      <c r="E6" s="1521" t="n"/>
      <c r="F6" s="1521" t="n"/>
      <c r="G6" s="253" t="n"/>
      <c r="H6" s="1970" t="n"/>
      <c r="I6" s="1970" t="n"/>
      <c r="J6" s="254" t="n"/>
      <c r="K6" s="1970" t="n"/>
    </row>
    <row r="7" ht="27.75" customHeight="1" s="1225" thickBot="1">
      <c r="A7" s="1341" t="inlineStr">
        <is>
          <t>NOTE 16A : DETTES FINANCIERES ET RESSOURCES ASSIMILES</t>
        </is>
      </c>
    </row>
    <row r="8" ht="39.75" customHeight="1" s="1225">
      <c r="A8" s="1667" t="inlineStr">
        <is>
          <t>Libellés</t>
        </is>
      </c>
      <c r="B8" s="1509" t="n"/>
      <c r="C8" s="1509" t="n"/>
      <c r="D8" s="1562" t="n"/>
      <c r="E8" s="1750" t="inlineStr">
        <is>
          <t>Année N</t>
        </is>
      </c>
      <c r="F8" s="1750" t="inlineStr">
        <is>
          <t>Année N-1</t>
        </is>
      </c>
      <c r="G8" s="1750" t="inlineStr">
        <is>
          <t>Variation
en valeur
absolue</t>
        </is>
      </c>
      <c r="H8" s="1750" t="inlineStr">
        <is>
          <t>Variation
en %</t>
        </is>
      </c>
      <c r="I8" s="1750" t="inlineStr">
        <is>
          <t>Dettes à un an
au plus</t>
        </is>
      </c>
      <c r="J8" s="1750" t="inlineStr">
        <is>
          <t>Dettes à plus d'un
an et à deux ans
au plus</t>
        </is>
      </c>
      <c r="K8" s="1751" t="inlineStr">
        <is>
          <t>Dettes à plus
de deux ans</t>
        </is>
      </c>
    </row>
    <row r="9" ht="14.1" customHeight="1" s="1225">
      <c r="A9" s="1512" t="inlineStr">
        <is>
          <t>Emprunts obligataires</t>
        </is>
      </c>
      <c r="B9" s="1420" t="n"/>
      <c r="C9" s="1420" t="n"/>
      <c r="D9" s="1411" t="n"/>
      <c r="E9" s="1570" t="n"/>
      <c r="F9" s="1570" t="n">
        <v>0</v>
      </c>
      <c r="G9" s="109">
        <f>ABS(E9-F9)</f>
        <v/>
      </c>
      <c r="H9" s="416">
        <f>IF(F9,(E9-F9)/F9,IF(ISBLANK(F9),"",IF(E9,IF( E9 &gt; 0,1,-1),"")))</f>
        <v/>
      </c>
      <c r="I9" s="1570" t="n"/>
      <c r="J9" s="1570" t="n"/>
      <c r="K9" s="798" t="n"/>
    </row>
    <row r="10" ht="14.1" customHeight="1" s="1225">
      <c r="A10" s="1512" t="inlineStr">
        <is>
          <t>Emprunts et dettes auprès des établissements de crédit</t>
        </is>
      </c>
      <c r="B10" s="1420" t="n"/>
      <c r="C10" s="1420" t="n"/>
      <c r="D10" s="1411" t="n"/>
      <c r="E10" s="1570" t="n"/>
      <c r="F10" s="1570" t="n"/>
      <c r="G10" s="109" t="n"/>
      <c r="H10" s="416" t="n"/>
      <c r="I10" s="1570" t="n"/>
      <c r="J10" s="1570" t="n"/>
      <c r="K10" s="798" t="n"/>
    </row>
    <row r="11" ht="14.1" customHeight="1" s="1225">
      <c r="A11" s="1512" t="inlineStr">
        <is>
          <t>Avances reçues de l'Etat</t>
        </is>
      </c>
      <c r="B11" s="1420" t="n"/>
      <c r="C11" s="1420" t="n"/>
      <c r="D11" s="1411" t="n"/>
      <c r="E11" s="1570" t="n"/>
      <c r="F11" s="1570" t="n"/>
      <c r="G11" s="109">
        <f>ABS(E11-F11)</f>
        <v/>
      </c>
      <c r="H11" s="416">
        <f>IF(F11,(E11-F11)/F11,IF(ISBLANK(F11),"",IF(E11,IF( E11 &gt; 0,1,-1),"")))</f>
        <v/>
      </c>
      <c r="I11" s="1570" t="n"/>
      <c r="J11" s="1570" t="n"/>
      <c r="K11" s="798" t="n"/>
    </row>
    <row r="12" ht="14.1" customHeight="1" s="1225">
      <c r="A12" s="1512" t="inlineStr">
        <is>
          <t>Avances reçues et comptes courants bloqués</t>
        </is>
      </c>
      <c r="B12" s="1420" t="n"/>
      <c r="C12" s="1420" t="n"/>
      <c r="D12" s="1411" t="n"/>
      <c r="E12" s="1570" t="n"/>
      <c r="F12" s="1570" t="n"/>
      <c r="G12" s="109">
        <f>ABS(E12-F12)</f>
        <v/>
      </c>
      <c r="H12" s="416">
        <f>IF(F12,(E12-F12)/F12,IF(ISBLANK(F12),"",IF(E12,IF( E12 &gt; 0,1,-1),"")))</f>
        <v/>
      </c>
      <c r="I12" s="1570" t="n"/>
      <c r="J12" s="1570" t="n"/>
      <c r="K12" s="798" t="n"/>
    </row>
    <row r="13" ht="14.1" customHeight="1" s="1225">
      <c r="A13" s="1512" t="inlineStr">
        <is>
          <t>Dépôts et cautionnements reçus</t>
        </is>
      </c>
      <c r="B13" s="1420" t="n"/>
      <c r="C13" s="1420" t="n"/>
      <c r="D13" s="1411" t="n"/>
      <c r="E13" s="1570" t="n"/>
      <c r="F13" s="1570" t="n"/>
      <c r="G13" s="109">
        <f>ABS(E13-F13)</f>
        <v/>
      </c>
      <c r="H13" s="416">
        <f>IF(F13,(E13-F13)/F13,IF(ISBLANK(F13),"",IF(E13,IF( E13 &gt; 0,1,-1),"")))</f>
        <v/>
      </c>
      <c r="I13" s="1570" t="n"/>
      <c r="J13" s="1570" t="n"/>
      <c r="K13" s="798" t="n"/>
    </row>
    <row r="14" ht="14.1" customHeight="1" s="1225">
      <c r="A14" s="1512" t="inlineStr">
        <is>
          <t>Intérêts courus</t>
        </is>
      </c>
      <c r="B14" s="1420" t="n"/>
      <c r="C14" s="1420" t="n"/>
      <c r="D14" s="1411" t="n"/>
      <c r="E14" s="1570" t="n"/>
      <c r="F14" s="1570" t="n"/>
      <c r="G14" s="109">
        <f>ABS(E14-F14)</f>
        <v/>
      </c>
      <c r="H14" s="416">
        <f>IF(F14,(E14-F14)/F14,IF(ISBLANK(F14),"",IF(E14,IF( E14 &gt; 0,1,-1),"")))</f>
        <v/>
      </c>
      <c r="I14" s="1570" t="n"/>
      <c r="J14" s="1570" t="n"/>
      <c r="K14" s="798" t="n"/>
    </row>
    <row r="15" ht="14.1" customHeight="1" s="1225">
      <c r="A15" s="1512" t="inlineStr">
        <is>
          <t>Avances et dettes assorties de conditions particulières</t>
        </is>
      </c>
      <c r="B15" s="1420" t="n"/>
      <c r="C15" s="1420" t="n"/>
      <c r="D15" s="1411" t="n"/>
      <c r="E15" s="1570" t="n"/>
      <c r="F15" s="1570" t="n"/>
      <c r="G15" s="109">
        <f>ABS(E15-F15)</f>
        <v/>
      </c>
      <c r="H15" s="416">
        <f>IF(F15,(E15-F15)/F15,IF(ISBLANK(F15),"",IF(E15,IF( E15 &gt; 0,1,-1),"")))</f>
        <v/>
      </c>
      <c r="I15" s="1570" t="n"/>
      <c r="J15" s="1570" t="n"/>
      <c r="K15" s="798" t="n"/>
    </row>
    <row r="16" ht="14.1" customHeight="1" s="1225">
      <c r="A16" s="1512" t="inlineStr">
        <is>
          <t>Autres emprunts et dettes</t>
        </is>
      </c>
      <c r="B16" s="1420" t="n"/>
      <c r="C16" s="1420" t="n"/>
      <c r="D16" s="1411" t="n"/>
      <c r="E16" s="1570" t="n"/>
      <c r="F16" s="1570" t="n"/>
      <c r="G16" s="109">
        <f>ABS(E16-F16)</f>
        <v/>
      </c>
      <c r="H16" s="416">
        <f>IF(F16,(E16-F16)/F16,IF(ISBLANK(F16),"",IF(E16,IF( E16 &gt; 0,1,-1),"")))</f>
        <v/>
      </c>
      <c r="I16" s="1570" t="n"/>
      <c r="J16" s="1570" t="n"/>
      <c r="K16" s="798" t="n"/>
    </row>
    <row r="17" ht="14.1" customHeight="1" s="1225">
      <c r="A17" s="1512" t="inlineStr">
        <is>
          <t>Dettes liées à des participations et sociétés en participation</t>
        </is>
      </c>
      <c r="B17" s="1420" t="n"/>
      <c r="C17" s="1420" t="n"/>
      <c r="D17" s="1411" t="n"/>
      <c r="E17" s="1570" t="n"/>
      <c r="F17" s="1570" t="n"/>
      <c r="G17" s="109">
        <f>ABS(E17-F17)</f>
        <v/>
      </c>
      <c r="H17" s="416">
        <f>IF(F17,(E17-F17)/F17,IF(ISBLANK(F17),"",IF(E17,IF( E17 &gt; 0,1,-1),"")))</f>
        <v/>
      </c>
      <c r="I17" s="1570" t="n"/>
      <c r="J17" s="1570" t="n"/>
      <c r="K17" s="798" t="n"/>
    </row>
    <row r="18" ht="14.1" customHeight="1" s="1225">
      <c r="A18" s="1512" t="inlineStr">
        <is>
          <t>Comptes permanents bloqués des établissements et succursales</t>
        </is>
      </c>
      <c r="B18" s="1420" t="n"/>
      <c r="C18" s="1420" t="n"/>
      <c r="D18" s="1411" t="n"/>
      <c r="E18" s="1570" t="n"/>
      <c r="F18" s="1570" t="n"/>
      <c r="G18" s="109">
        <f>ABS(E18-F18)</f>
        <v/>
      </c>
      <c r="H18" s="416">
        <f>IF(F18,(E18-F18)/F18,IF(ISBLANK(F18),"",IF(E18,IF( E18 &gt; 0,1,-1),"")))</f>
        <v/>
      </c>
      <c r="I18" s="1570" t="n"/>
      <c r="J18" s="1570" t="n"/>
      <c r="K18" s="798" t="n"/>
    </row>
    <row r="19" ht="14.1" customHeight="1" s="1225">
      <c r="A19" s="1544" t="inlineStr">
        <is>
          <t>TOTAL EMPRUNTS ET DETTES FINANCIERES</t>
        </is>
      </c>
      <c r="B19" s="1420" t="n"/>
      <c r="C19" s="1420" t="n"/>
      <c r="D19" s="1411" t="n"/>
      <c r="E19" s="1631">
        <f>SUM(E9:E18)</f>
        <v/>
      </c>
      <c r="F19" s="1631">
        <f>SUM(F9:F18)</f>
        <v/>
      </c>
      <c r="G19" s="1631">
        <f>ABS(E19-F19)</f>
        <v/>
      </c>
      <c r="H19" s="417">
        <f>IF(F19,(E19-F19)/F19,IF(ISBLANK(F19),"",IF(E19,IF( E19 &gt; 0,1,-1),"")))</f>
        <v/>
      </c>
      <c r="I19" s="1631">
        <f>SUM(I9:I18)</f>
        <v/>
      </c>
      <c r="J19" s="1631">
        <f>SUM(J9:J18)</f>
        <v/>
      </c>
      <c r="K19" s="840">
        <f>SUM(K9:K18)</f>
        <v/>
      </c>
    </row>
    <row r="20" ht="14.1" customHeight="1" s="1225">
      <c r="A20" s="1512" t="inlineStr">
        <is>
          <t>Crédit bail immobilier</t>
        </is>
      </c>
      <c r="B20" s="1420" t="n"/>
      <c r="C20" s="1420" t="n"/>
      <c r="D20" s="1411" t="n"/>
      <c r="E20" s="1570" t="n"/>
      <c r="F20" s="1570" t="n"/>
      <c r="G20" s="109">
        <f>ABS(E20-F20)</f>
        <v/>
      </c>
      <c r="H20" s="416">
        <f>IF(F20,(E20-F20)/F20,IF(ISBLANK(F20),"",IF(E20,IF( E20 &gt; 0,1,-1),"")))</f>
        <v/>
      </c>
      <c r="I20" s="1570" t="n"/>
      <c r="J20" s="1570" t="n"/>
      <c r="K20" s="798" t="n"/>
    </row>
    <row r="21" ht="14.1" customHeight="1" s="1225">
      <c r="A21" s="1512" t="inlineStr">
        <is>
          <t>Crédit bail mobilier</t>
        </is>
      </c>
      <c r="B21" s="1420" t="n"/>
      <c r="C21" s="1420" t="n"/>
      <c r="D21" s="1411" t="n"/>
      <c r="E21" s="1570" t="n"/>
      <c r="F21" s="1570" t="n"/>
      <c r="G21" s="109">
        <f>ABS(E21-F21)</f>
        <v/>
      </c>
      <c r="H21" s="416">
        <f>IF(F21,(E21-F21)/F21,IF(ISBLANK(F21),"",IF(E21,IF( E21 &gt; 0,1,-1),"")))</f>
        <v/>
      </c>
      <c r="I21" s="1570" t="n"/>
      <c r="J21" s="1570" t="n"/>
      <c r="K21" s="798" t="n"/>
    </row>
    <row r="22" ht="14.1" customHeight="1" s="1225">
      <c r="A22" s="1512" t="inlineStr">
        <is>
          <t>Location vente</t>
        </is>
      </c>
      <c r="B22" s="1420" t="n"/>
      <c r="C22" s="1420" t="n"/>
      <c r="D22" s="1411" t="n"/>
      <c r="E22" s="1570" t="n"/>
      <c r="F22" s="1570" t="n"/>
      <c r="G22" s="109">
        <f>ABS(E22-F22)</f>
        <v/>
      </c>
      <c r="H22" s="416">
        <f>IF(F22,(E22-F22)/F22,IF(ISBLANK(F22),"",IF(E22,IF( E22 &gt; 0,1,-1),"")))</f>
        <v/>
      </c>
      <c r="I22" s="1570" t="n"/>
      <c r="J22" s="1570" t="n"/>
      <c r="K22" s="798" t="n"/>
    </row>
    <row r="23" ht="14.1" customHeight="1" s="1225">
      <c r="A23" s="1512" t="inlineStr">
        <is>
          <t>Intérêts courus</t>
        </is>
      </c>
      <c r="B23" s="1420" t="n"/>
      <c r="C23" s="1420" t="n"/>
      <c r="D23" s="1411" t="n"/>
      <c r="E23" s="1570" t="n"/>
      <c r="F23" s="1570" t="n"/>
      <c r="G23" s="109">
        <f>ABS(E23-F23)</f>
        <v/>
      </c>
      <c r="H23" s="416">
        <f>IF(F23,(E23-F23)/F23,IF(ISBLANK(F23),"",IF(E23,IF( E23 &gt; 0,1,-1),"")))</f>
        <v/>
      </c>
      <c r="I23" s="1570" t="n"/>
      <c r="J23" s="1570" t="n"/>
      <c r="K23" s="798" t="n"/>
    </row>
    <row r="24" ht="14.1" customHeight="1" s="1225">
      <c r="A24" s="1512" t="inlineStr">
        <is>
          <t>Autres dettes de location acquisition</t>
        </is>
      </c>
      <c r="B24" s="1420" t="n"/>
      <c r="C24" s="1420" t="n"/>
      <c r="D24" s="1411" t="n"/>
      <c r="E24" s="1570" t="n"/>
      <c r="F24" s="1570" t="n"/>
      <c r="G24" s="109">
        <f>ABS(E24-F24)</f>
        <v/>
      </c>
      <c r="H24" s="416">
        <f>IF(F24,(E24-F24)/F24,IF(ISBLANK(F24),"",IF(E24,IF( E24 &gt; 0,1,-1),"")))</f>
        <v/>
      </c>
      <c r="I24" s="1570" t="n"/>
      <c r="J24" s="1570" t="n"/>
      <c r="K24" s="798" t="n"/>
    </row>
    <row r="25" ht="14.1" customHeight="1" s="1225">
      <c r="A25" s="1544" t="inlineStr">
        <is>
          <t>TOTAL DETTES DE LOCATION ACQUISITION</t>
        </is>
      </c>
      <c r="B25" s="1420" t="n"/>
      <c r="C25" s="1420" t="n"/>
      <c r="D25" s="1411" t="n"/>
      <c r="E25" s="1631">
        <f>SUM(E20:E24)</f>
        <v/>
      </c>
      <c r="F25" s="1631">
        <f>SUM(F20:F24)</f>
        <v/>
      </c>
      <c r="G25" s="1631">
        <f>ABS(E25-F25)</f>
        <v/>
      </c>
      <c r="H25" s="417">
        <f>IF(F25,(E25-F25)/F25,IF(ISBLANK(F25),"",IF(E25,IF( E25 &gt; 0,1,-1),"")))</f>
        <v/>
      </c>
      <c r="I25" s="1631">
        <f>SUM(I20:I24)</f>
        <v/>
      </c>
      <c r="J25" s="1631">
        <f>SUM(J20:J24)</f>
        <v/>
      </c>
      <c r="K25" s="840">
        <f>SUM(K20:K24)</f>
        <v/>
      </c>
    </row>
    <row r="26" ht="14.1" customHeight="1" s="1225">
      <c r="A26" s="1512" t="inlineStr">
        <is>
          <t>Provisions pour litiges</t>
        </is>
      </c>
      <c r="B26" s="1420" t="n"/>
      <c r="C26" s="1420" t="n"/>
      <c r="D26" s="1411" t="n"/>
      <c r="E26" s="1570" t="n"/>
      <c r="F26" s="1570" t="n"/>
      <c r="G26" s="109">
        <f>ABS(E26-F26)</f>
        <v/>
      </c>
      <c r="H26" s="416">
        <f>IF(F26,(E26-F26)/F26,IF(ISBLANK(F26),"",IF(E26,IF( E26 &gt; 0,1,-1),"")))</f>
        <v/>
      </c>
      <c r="I26" s="350" t="n"/>
      <c r="J26" s="351" t="n"/>
      <c r="K26" s="878" t="n"/>
    </row>
    <row r="27" ht="14.1" customHeight="1" s="1225">
      <c r="A27" s="1512" t="inlineStr">
        <is>
          <t>Provisions pour garantie donnés aux clients</t>
        </is>
      </c>
      <c r="B27" s="1420" t="n"/>
      <c r="C27" s="1420" t="n"/>
      <c r="D27" s="1411" t="n"/>
      <c r="E27" s="1570" t="n"/>
      <c r="F27" s="1570" t="n"/>
      <c r="G27" s="109">
        <f>ABS(E27-F27)</f>
        <v/>
      </c>
      <c r="H27" s="416">
        <f>IF(F27,(E27-F27)/F27,IF(ISBLANK(F27),"",IF(E27,IF( E27 &gt; 0,1,-1),"")))</f>
        <v/>
      </c>
      <c r="I27" s="352" t="n"/>
      <c r="J27" s="353" t="n"/>
      <c r="K27" s="879" t="n"/>
    </row>
    <row r="28" ht="14.1" customHeight="1" s="1225">
      <c r="A28" s="1512" t="inlineStr">
        <is>
          <t>Provisions pour pertes sur marchés à achèvement futur</t>
        </is>
      </c>
      <c r="B28" s="1420" t="n"/>
      <c r="C28" s="1420" t="n"/>
      <c r="D28" s="1411" t="n"/>
      <c r="E28" s="1570" t="n"/>
      <c r="F28" s="1570" t="n"/>
      <c r="G28" s="109">
        <f>ABS(E28-F28)</f>
        <v/>
      </c>
      <c r="H28" s="416">
        <f>IF(F28,(E28-F28)/F28,IF(ISBLANK(F28),"",IF(E28,IF( E28 &gt; 0,1,-1),"")))</f>
        <v/>
      </c>
      <c r="I28" s="352" t="n"/>
      <c r="J28" s="353" t="n"/>
      <c r="K28" s="879" t="n"/>
    </row>
    <row r="29" ht="14.1" customHeight="1" s="1225">
      <c r="A29" s="1512" t="inlineStr">
        <is>
          <t>Provisions pour pertes de change</t>
        </is>
      </c>
      <c r="B29" s="1420" t="n"/>
      <c r="C29" s="1420" t="n"/>
      <c r="D29" s="1411" t="n"/>
      <c r="E29" s="1570" t="n"/>
      <c r="F29" s="1570" t="n"/>
      <c r="G29" s="109">
        <f>ABS(E29-F29)</f>
        <v/>
      </c>
      <c r="H29" s="416">
        <f>IF(F29,(E29-F29)/F29,IF(ISBLANK(F29),"",IF(E29,IF( E29 &gt; 0,1,-1),"")))</f>
        <v/>
      </c>
      <c r="I29" s="352" t="n"/>
      <c r="J29" s="353" t="n"/>
      <c r="K29" s="879" t="n"/>
    </row>
    <row r="30" ht="14.1" customHeight="1" s="1225">
      <c r="A30" s="1512" t="inlineStr">
        <is>
          <t>Provisions pour impôts</t>
        </is>
      </c>
      <c r="B30" s="1420" t="n"/>
      <c r="C30" s="1420" t="n"/>
      <c r="D30" s="1411" t="n"/>
      <c r="E30" s="1570" t="n"/>
      <c r="F30" s="1570" t="n"/>
      <c r="G30" s="109">
        <f>ABS(E30-F30)</f>
        <v/>
      </c>
      <c r="H30" s="416">
        <f>IF(F30,(E30-F30)/F30,IF(ISBLANK(F30),"",IF(E30,IF( E30 &gt; 0,1,-1),"")))</f>
        <v/>
      </c>
      <c r="I30" s="352" t="n"/>
      <c r="J30" s="353" t="n"/>
      <c r="K30" s="879" t="n"/>
    </row>
    <row r="31" ht="14.1" customHeight="1" s="1225">
      <c r="A31" s="1512" t="inlineStr">
        <is>
          <t>Provisions pour pensions et obligations assimilées - engagements de retraite</t>
        </is>
      </c>
      <c r="B31" s="1420" t="n"/>
      <c r="C31" s="1420" t="n"/>
      <c r="D31" s="1411" t="n"/>
      <c r="E31" s="1570" t="n"/>
      <c r="F31" s="1570" t="n"/>
      <c r="G31" s="109">
        <f>ABS(E31-F31)</f>
        <v/>
      </c>
      <c r="H31" s="416">
        <f>IF(F31,(E31-F31)/F31,IF(ISBLANK(F31),"",IF(E31,IF( E31 &gt; 0,1,-1),"")))</f>
        <v/>
      </c>
      <c r="I31" s="352" t="n"/>
      <c r="J31" s="353" t="n"/>
      <c r="K31" s="879" t="n"/>
    </row>
    <row r="32" ht="14.1" customHeight="1" s="1225">
      <c r="A32" s="1512" t="inlineStr">
        <is>
          <t>Actif du régime de retraite (1)</t>
        </is>
      </c>
      <c r="B32" s="1420" t="n"/>
      <c r="C32" s="1420" t="n"/>
      <c r="D32" s="1411" t="n"/>
      <c r="E32" s="1570" t="n"/>
      <c r="F32" s="1570" t="n"/>
      <c r="G32" s="109">
        <f>ABS(E32-F32)</f>
        <v/>
      </c>
      <c r="H32" s="416">
        <f>IF(F32,(E32-F32)/F32,IF(ISBLANK(F32),"",IF(E32,IF( E32 &gt; 0,1,-1),"")))</f>
        <v/>
      </c>
      <c r="I32" s="352" t="n"/>
      <c r="J32" s="353" t="n"/>
      <c r="K32" s="879" t="n"/>
    </row>
    <row r="33" ht="14.1" customHeight="1" s="1225">
      <c r="A33" s="1512" t="inlineStr">
        <is>
          <t>Provisions pour restructuration</t>
        </is>
      </c>
      <c r="B33" s="1420" t="n"/>
      <c r="C33" s="1420" t="n"/>
      <c r="D33" s="1411" t="n"/>
      <c r="E33" s="1570" t="n"/>
      <c r="F33" s="1570" t="n"/>
      <c r="G33" s="109">
        <f>ABS(E33-F33)</f>
        <v/>
      </c>
      <c r="H33" s="416">
        <f>IF(F33,(E33-F33)/F33,IF(ISBLANK(F33),"",IF(E33,IF( E33 &gt; 0,1,-1),"")))</f>
        <v/>
      </c>
      <c r="I33" s="352" t="n"/>
      <c r="J33" s="353" t="n"/>
      <c r="K33" s="879" t="n"/>
    </row>
    <row r="34" ht="14.1" customHeight="1" s="1225">
      <c r="A34" s="1512" t="inlineStr">
        <is>
          <t>Provisions pour amendes et pénalités</t>
        </is>
      </c>
      <c r="B34" s="1420" t="n"/>
      <c r="C34" s="1420" t="n"/>
      <c r="D34" s="1411" t="n"/>
      <c r="E34" s="1570" t="n"/>
      <c r="F34" s="1570" t="n"/>
      <c r="G34" s="109">
        <f>ABS(E34-F34)</f>
        <v/>
      </c>
      <c r="H34" s="416">
        <f>IF(F34,(E34-F34)/F34,IF(ISBLANK(F34),"",IF(E34,IF( E34 &gt; 0,1,-1),"")))</f>
        <v/>
      </c>
      <c r="I34" s="352" t="n"/>
      <c r="J34" s="353" t="n"/>
      <c r="K34" s="879" t="n"/>
    </row>
    <row r="35" ht="14.1" customHeight="1" s="1225">
      <c r="A35" s="1512" t="inlineStr">
        <is>
          <t>Provisions pour propre assureur</t>
        </is>
      </c>
      <c r="B35" s="1420" t="n"/>
      <c r="C35" s="1420" t="n"/>
      <c r="D35" s="1411" t="n"/>
      <c r="E35" s="1570" t="n"/>
      <c r="F35" s="1570" t="n"/>
      <c r="G35" s="109">
        <f>ABS(E35-F35)</f>
        <v/>
      </c>
      <c r="H35" s="416">
        <f>IF(F35,(E35-F35)/F35,IF(ISBLANK(F35),"",IF(E35,IF( E35 &gt; 0,1,-1),"")))</f>
        <v/>
      </c>
      <c r="I35" s="352" t="n"/>
      <c r="J35" s="353" t="n"/>
      <c r="K35" s="879" t="n"/>
    </row>
    <row r="36" ht="14.1" customHeight="1" s="1225">
      <c r="A36" s="1512" t="inlineStr">
        <is>
          <t>Provisions pour démantèlement et remise en état</t>
        </is>
      </c>
      <c r="B36" s="1420" t="n"/>
      <c r="C36" s="1420" t="n"/>
      <c r="D36" s="1411" t="n"/>
      <c r="E36" s="1570" t="n"/>
      <c r="F36" s="1570" t="n"/>
      <c r="G36" s="109">
        <f>ABS(E36-F36)</f>
        <v/>
      </c>
      <c r="H36" s="416">
        <f>IF(F36,(E36-F36)/F36,IF(ISBLANK(F36),"",IF(E36,IF( E36 &gt; 0,1,-1),"")))</f>
        <v/>
      </c>
      <c r="I36" s="352" t="n"/>
      <c r="J36" s="353" t="n"/>
      <c r="K36" s="879" t="n"/>
    </row>
    <row r="37" ht="14.1" customHeight="1" s="1225">
      <c r="A37" s="1512" t="inlineStr">
        <is>
          <t>Provisions de droits à réduction ou avantage en nature</t>
        </is>
      </c>
      <c r="B37" s="1420" t="n"/>
      <c r="C37" s="1420" t="n"/>
      <c r="D37" s="1411" t="n"/>
      <c r="E37" s="1570" t="n"/>
      <c r="F37" s="1570" t="n"/>
      <c r="G37" s="109">
        <f>ABS(E37-F37)</f>
        <v/>
      </c>
      <c r="H37" s="416">
        <f>IF(F37,(E37-F37)/F37,IF(ISBLANK(F37),"",IF(E37,IF( E37 &gt; 0,1,-1),"")))</f>
        <v/>
      </c>
      <c r="I37" s="352" t="n"/>
      <c r="J37" s="353" t="n"/>
      <c r="K37" s="879" t="n"/>
    </row>
    <row r="38" ht="14.1" customHeight="1" s="1225">
      <c r="A38" s="1512" t="inlineStr">
        <is>
          <t>Autres provisions</t>
        </is>
      </c>
      <c r="B38" s="1420" t="n"/>
      <c r="C38" s="1420" t="n"/>
      <c r="D38" s="1411" t="n"/>
      <c r="E38" s="1570" t="n"/>
      <c r="F38" s="1570" t="n"/>
      <c r="G38" s="109">
        <f>ABS(E38-F38)</f>
        <v/>
      </c>
      <c r="H38" s="416">
        <f>IF(F38,(E38-F38)/F38,IF(ISBLANK(F38),"",IF(E38,IF( E38 &gt; 0,1,-1),"")))</f>
        <v/>
      </c>
      <c r="I38" s="352" t="n"/>
      <c r="J38" s="353" t="n"/>
      <c r="K38" s="879" t="n"/>
    </row>
    <row r="39" ht="14.1" customHeight="1" s="1225" thickBot="1">
      <c r="A39" s="1629" t="inlineStr">
        <is>
          <t>TOTAL PROVISIONS POUR RISQUES ET CHARGES</t>
        </is>
      </c>
      <c r="B39" s="1527" t="n"/>
      <c r="C39" s="1527" t="n"/>
      <c r="D39" s="1528" t="n"/>
      <c r="E39" s="1628">
        <f>SUM(E26:E38)</f>
        <v/>
      </c>
      <c r="F39" s="1628">
        <f>SUM(F26:F38)</f>
        <v/>
      </c>
      <c r="G39" s="1628">
        <f>ABS(E39-F39)</f>
        <v/>
      </c>
      <c r="H39" s="842">
        <f>IF(F39,(E39-F39)/F39,IF(ISBLANK(F39),"",IF(E39,IF( E39 &gt; 0,1,-1),"")))</f>
        <v/>
      </c>
      <c r="I39" s="880" t="n"/>
      <c r="J39" s="881" t="n"/>
      <c r="K39" s="882" t="n"/>
    </row>
    <row r="40">
      <c r="A40" s="1681" t="inlineStr">
        <is>
          <t>(1): Le solde de ce compte est débiteur</t>
        </is>
      </c>
    </row>
    <row r="41" ht="10.15" customFormat="1" customHeight="1" s="1680">
      <c r="A41" s="567" t="inlineStr">
        <is>
          <t>Commentaire:</t>
        </is>
      </c>
    </row>
    <row r="42" ht="11.25" customFormat="1" customHeight="1" s="1680">
      <c r="A42" s="618" t="inlineStr">
        <is>
          <t>Pour chaque emprunt et dette de location acquisition: mentionner la date d'octroi, le nom de l'organisme financier, le montant initial de l'emprunt ou de la dette, la durée du crédit, les garanties données par la société.</t>
        </is>
      </c>
    </row>
    <row r="43" ht="11.25" customFormat="1" customHeight="1" s="1680">
      <c r="A43" s="618" t="inlineStr">
        <is>
          <t>●   Indiquer les événements et circonstances qui ont conduit à la provision et à la reprise.</t>
        </is>
      </c>
    </row>
    <row r="44" ht="11.25" customFormat="1" customHeight="1" s="1680">
      <c r="A44" s="554" t="inlineStr">
        <is>
          <t>●   Pour les pensions et obligations de retraite, indiquer :</t>
        </is>
      </c>
    </row>
    <row r="45" ht="11.25" customFormat="1" customHeight="1" s="1683">
      <c r="A45" s="1684" t="inlineStr">
        <is>
          <t xml:space="preserve">    - la méthode d'évaluation retenue</t>
        </is>
      </c>
      <c r="G45" s="569" t="n"/>
      <c r="H45" s="569" t="n"/>
      <c r="I45" s="570" t="n"/>
      <c r="J45" s="570" t="n"/>
    </row>
    <row r="46" ht="11.25" customFormat="1" customHeight="1" s="1683">
      <c r="A46" s="1682" t="inlineStr">
        <is>
          <t xml:space="preserve">     - le nom de la compagnie d'assurance ou du fonds de pension, le descriptif de la convention signée avec l'organisme, la périodicité des versements, le montant et la durée de la convention, pour les actifs du régime.</t>
        </is>
      </c>
    </row>
  </sheetData>
  <mergeCells count="43">
    <mergeCell ref="A17:D17"/>
    <mergeCell ref="A23:D23"/>
    <mergeCell ref="A8:D8"/>
    <mergeCell ref="A22:D22"/>
    <mergeCell ref="A35:D35"/>
    <mergeCell ref="A20:D20"/>
    <mergeCell ref="A38:D38"/>
    <mergeCell ref="A29:D29"/>
    <mergeCell ref="A19:D19"/>
    <mergeCell ref="A10:D10"/>
    <mergeCell ref="A28:D28"/>
    <mergeCell ref="A1:K1"/>
    <mergeCell ref="A13:D13"/>
    <mergeCell ref="A9:D9"/>
    <mergeCell ref="A31:D31"/>
    <mergeCell ref="A34:D34"/>
    <mergeCell ref="A7:K7"/>
    <mergeCell ref="A30:D30"/>
    <mergeCell ref="A39:D39"/>
    <mergeCell ref="C6:F6"/>
    <mergeCell ref="A15:D15"/>
    <mergeCell ref="A24:D24"/>
    <mergeCell ref="A11:D11"/>
    <mergeCell ref="C5:F5"/>
    <mergeCell ref="A36:D36"/>
    <mergeCell ref="G5:H5"/>
    <mergeCell ref="A25:D25"/>
    <mergeCell ref="C3:K3"/>
    <mergeCell ref="A16:D16"/>
    <mergeCell ref="A40:K40"/>
    <mergeCell ref="A37:D37"/>
    <mergeCell ref="A18:D18"/>
    <mergeCell ref="A46:J46"/>
    <mergeCell ref="A27:D27"/>
    <mergeCell ref="A12:D12"/>
    <mergeCell ref="J2:K2"/>
    <mergeCell ref="A45:F45"/>
    <mergeCell ref="A26:D26"/>
    <mergeCell ref="A21:D21"/>
    <mergeCell ref="A33:D33"/>
    <mergeCell ref="A32:D32"/>
    <mergeCell ref="B4:I4"/>
    <mergeCell ref="A14:D14"/>
  </mergeCells>
  <dataValidations count="1">
    <dataValidation sqref="E9:F18 E20:F24 E26:F38 I9:K18 I20:K24"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1181102362204725" footer="0.1181102362204725"/>
  <pageSetup orientation="landscape" paperSize="9" scale="79"/>
</worksheet>
</file>

<file path=xl/worksheets/sheet40.xml><?xml version="1.0" encoding="utf-8"?>
<worksheet xmlns="http://schemas.openxmlformats.org/spreadsheetml/2006/main">
  <sheetPr codeName="Feuil39">
    <tabColor theme="4" tint="0.5999938962981048"/>
    <outlinePr summaryBelow="1" summaryRight="1"/>
    <pageSetUpPr fitToPage="1"/>
  </sheetPr>
  <dimension ref="A1:I38"/>
  <sheetViews>
    <sheetView showGridLines="0" topLeftCell="A13" workbookViewId="0">
      <selection activeCell="B14" sqref="B14"/>
    </sheetView>
  </sheetViews>
  <sheetFormatPr baseColWidth="10" defaultRowHeight="15"/>
  <cols>
    <col width="16.140625" customWidth="1" style="1225" min="2" max="2"/>
    <col width="6.140625" customWidth="1" style="1225" min="3" max="3"/>
    <col width="7.28515625" customWidth="1" style="1225" min="4" max="4"/>
    <col width="11" customWidth="1" style="1225" min="5" max="5"/>
    <col width="14.28515625" customWidth="1" style="1225" min="6" max="6"/>
    <col width="14.85546875" customWidth="1" style="1225" min="7" max="7"/>
    <col width="15.28515625" customWidth="1" style="1225" min="8" max="9"/>
  </cols>
  <sheetData>
    <row r="1">
      <c r="A1" s="1429" t="inlineStr">
        <is>
          <t>- 0 -</t>
        </is>
      </c>
    </row>
    <row r="2" ht="24.95" customHeight="1" s="1225">
      <c r="A2" s="1429" t="n"/>
      <c r="B2" s="1429" t="n"/>
      <c r="C2" s="1429" t="n"/>
      <c r="D2" s="1429" t="n"/>
      <c r="E2" s="1429" t="n"/>
      <c r="F2" s="1429" t="n"/>
      <c r="G2" s="1429" t="n"/>
      <c r="H2" s="1438" t="inlineStr">
        <is>
          <t>NOTE 16B
SYSTEME NORMAL</t>
        </is>
      </c>
      <c r="I2" s="1411" t="n"/>
    </row>
    <row r="3" ht="15" customFormat="1" customHeight="1" s="1382">
      <c r="A3" s="1451" t="inlineStr">
        <is>
          <t>Dénomination sociale de l'entité :</t>
        </is>
      </c>
      <c r="B3" s="1451" t="n"/>
      <c r="C3" s="1276">
        <f>'NOTE 11'!C3</f>
        <v/>
      </c>
      <c r="D3" s="1277" t="n"/>
      <c r="E3" s="1277" t="n"/>
      <c r="F3" s="1277" t="n"/>
      <c r="G3" s="1277" t="n"/>
      <c r="H3" s="1277" t="n"/>
      <c r="I3" s="1277" t="n"/>
    </row>
    <row r="4" ht="15" customFormat="1" customHeight="1" s="1382">
      <c r="A4" s="1451" t="inlineStr">
        <is>
          <t>Adresse :</t>
        </is>
      </c>
      <c r="B4" s="1276">
        <f>'NOTE 11'!B4</f>
        <v/>
      </c>
      <c r="C4" s="1277" t="n"/>
      <c r="D4" s="1277" t="n"/>
      <c r="E4" s="1277" t="n"/>
      <c r="F4" s="1277" t="n"/>
      <c r="G4" s="1277" t="n"/>
      <c r="H4" s="1589" t="inlineStr">
        <is>
          <t>Sigle usuel :</t>
        </is>
      </c>
      <c r="I4" s="1488">
        <f>'NOTE 11'!I4</f>
        <v/>
      </c>
    </row>
    <row r="5" ht="15" customFormat="1" customHeight="1" s="1382">
      <c r="A5" s="1451" t="inlineStr">
        <is>
          <t>N° IFU :</t>
        </is>
      </c>
      <c r="B5" s="1451" t="n"/>
      <c r="C5" s="1280">
        <f>'NOTE 11'!C5</f>
        <v/>
      </c>
      <c r="D5" s="1279" t="n"/>
      <c r="E5" s="1279" t="n"/>
      <c r="F5" s="1457" t="inlineStr">
        <is>
          <t>Exercice clos le :</t>
        </is>
      </c>
      <c r="G5" s="1601" t="n"/>
      <c r="H5" s="1589" t="inlineStr">
        <is>
          <t>Durée (en mois) :</t>
        </is>
      </c>
      <c r="I5" s="111">
        <f>'NOTE 11'!I5</f>
        <v/>
      </c>
    </row>
    <row r="6" ht="15" customFormat="1" customHeight="1" s="1382">
      <c r="A6" s="1451" t="inlineStr">
        <is>
          <t>N° de télédéclarant (NES):</t>
        </is>
      </c>
      <c r="B6" s="1451" t="n"/>
      <c r="C6" s="1520">
        <f>'NOTE 11'!C6</f>
        <v/>
      </c>
      <c r="D6" s="1521" t="n"/>
      <c r="E6" s="1521" t="n"/>
      <c r="F6" s="253" t="n"/>
      <c r="G6" s="1970" t="n"/>
      <c r="H6" s="254" t="n"/>
      <c r="I6" s="1970" t="n"/>
    </row>
    <row r="7" ht="35.1" customHeight="1" s="1225" thickBot="1">
      <c r="A7" s="1341" t="inlineStr">
        <is>
          <t>NOTE 16B : ENGAGEMENTS DE RETRAITE ET AVANTAGES ASSIMILES : (METHODE ACTUARIELLE)</t>
        </is>
      </c>
    </row>
    <row r="8" ht="27.75" customHeight="1" s="1225">
      <c r="A8" s="1685" t="inlineStr">
        <is>
          <t>HYPOTHESES ACTUARIELLES</t>
        </is>
      </c>
      <c r="B8" s="1509" t="n"/>
      <c r="C8" s="1509" t="n"/>
      <c r="D8" s="1509" t="n"/>
      <c r="E8" s="1509" t="n"/>
      <c r="F8" s="1509" t="n"/>
      <c r="G8" s="1509" t="n"/>
      <c r="H8" s="1509" t="n"/>
      <c r="I8" s="1562" t="n"/>
    </row>
    <row r="9" ht="18.75" customHeight="1" s="1225">
      <c r="A9" s="1687" t="inlineStr">
        <is>
          <t>Libellés</t>
        </is>
      </c>
      <c r="B9" s="1420" t="n"/>
      <c r="C9" s="1420" t="n"/>
      <c r="D9" s="1420" t="n"/>
      <c r="E9" s="1420" t="n"/>
      <c r="F9" s="1420" t="n"/>
      <c r="G9" s="1411" t="n"/>
      <c r="H9" s="1426" t="inlineStr">
        <is>
          <t>Année N</t>
        </is>
      </c>
      <c r="I9" s="763" t="inlineStr">
        <is>
          <t>Année N-1</t>
        </is>
      </c>
    </row>
    <row r="10" ht="18.75" customHeight="1" s="1225">
      <c r="A10" s="1512" t="inlineStr">
        <is>
          <t>Taux d'augmentation des salaires</t>
        </is>
      </c>
      <c r="B10" s="1420" t="n"/>
      <c r="C10" s="1420" t="n"/>
      <c r="D10" s="1420" t="n"/>
      <c r="E10" s="1420" t="n"/>
      <c r="F10" s="1420" t="n"/>
      <c r="G10" s="1411" t="n"/>
      <c r="H10" s="1570" t="n"/>
      <c r="I10" s="798" t="n"/>
    </row>
    <row r="11" ht="18.75" customHeight="1" s="1225">
      <c r="A11" s="1512" t="inlineStr">
        <is>
          <t>Taux d'actualisation</t>
        </is>
      </c>
      <c r="B11" s="1420" t="n"/>
      <c r="C11" s="1420" t="n"/>
      <c r="D11" s="1420" t="n"/>
      <c r="E11" s="1420" t="n"/>
      <c r="F11" s="1420" t="n"/>
      <c r="G11" s="1411" t="n"/>
      <c r="H11" s="1570" t="n"/>
      <c r="I11" s="798" t="n"/>
    </row>
    <row r="12" ht="18.75" customHeight="1" s="1225">
      <c r="A12" s="1512" t="inlineStr">
        <is>
          <t>Taux d'inflation</t>
        </is>
      </c>
      <c r="B12" s="1420" t="n"/>
      <c r="C12" s="1420" t="n"/>
      <c r="D12" s="1420" t="n"/>
      <c r="E12" s="1420" t="n"/>
      <c r="F12" s="1420" t="n"/>
      <c r="G12" s="1411" t="n"/>
      <c r="H12" s="1570" t="n"/>
      <c r="I12" s="798" t="n"/>
    </row>
    <row r="13" ht="18.75" customHeight="1" s="1225">
      <c r="A13" s="1512" t="inlineStr">
        <is>
          <t>Probabilité d'être présent dans l'entité à la date de départ à la retraite (expérience passée)</t>
        </is>
      </c>
      <c r="B13" s="1420" t="n"/>
      <c r="C13" s="1420" t="n"/>
      <c r="D13" s="1420" t="n"/>
      <c r="E13" s="1420" t="n"/>
      <c r="F13" s="1420" t="n"/>
      <c r="G13" s="1411" t="n"/>
      <c r="H13" s="1570" t="n"/>
      <c r="I13" s="798" t="n"/>
    </row>
    <row r="14" ht="18.75" customHeight="1" s="1225">
      <c r="A14" s="1512" t="inlineStr">
        <is>
          <t>Probabilité d'être en vie à l'âge de départ à la retraite (table de mortalité)</t>
        </is>
      </c>
      <c r="B14" s="1420" t="n"/>
      <c r="C14" s="1420" t="n"/>
      <c r="D14" s="1420" t="n"/>
      <c r="E14" s="1420" t="n"/>
      <c r="F14" s="1420" t="n"/>
      <c r="G14" s="1411" t="n"/>
      <c r="H14" s="1570" t="n"/>
      <c r="I14" s="798" t="n"/>
    </row>
    <row r="15" ht="18.75" customHeight="1" s="1225" thickBot="1">
      <c r="A15" s="1688" t="inlineStr">
        <is>
          <t>Taux de rendement effectif des actifs du régime</t>
        </is>
      </c>
      <c r="B15" s="1527" t="n"/>
      <c r="C15" s="1527" t="n"/>
      <c r="D15" s="1527" t="n"/>
      <c r="E15" s="1527" t="n"/>
      <c r="F15" s="1527" t="n"/>
      <c r="G15" s="1528" t="n"/>
      <c r="H15" s="830" t="n"/>
      <c r="I15" s="831" t="n"/>
    </row>
    <row r="16" ht="12" customFormat="1" customHeight="1" s="1356">
      <c r="A16" s="559" t="inlineStr">
        <is>
          <t>Commentaire :</t>
        </is>
      </c>
      <c r="B16" s="113" t="n"/>
      <c r="C16" s="113" t="n"/>
      <c r="D16" s="113" t="n"/>
      <c r="E16" s="113" t="n"/>
      <c r="F16" s="113" t="n"/>
      <c r="G16" s="113" t="n"/>
      <c r="H16" s="563" t="n"/>
      <c r="I16" s="563" t="n"/>
    </row>
    <row r="17" ht="12" customFormat="1" customHeight="1" s="1356">
      <c r="A17" s="618" t="inlineStr">
        <is>
          <t>●   Commenter les variations d'hypothèses actuarielles utilisées pour le calcul des engagements de retraite et avantages assimilés.</t>
        </is>
      </c>
      <c r="B17" s="113" t="n"/>
      <c r="C17" s="113" t="n"/>
      <c r="D17" s="113" t="n"/>
      <c r="E17" s="113" t="n"/>
      <c r="F17" s="113" t="n"/>
      <c r="G17" s="113" t="n"/>
      <c r="H17" s="563" t="n"/>
      <c r="I17" s="563" t="n"/>
    </row>
    <row r="18" ht="12.75" customHeight="1" s="1225" thickBot="1">
      <c r="B18" s="1451" t="n"/>
      <c r="C18" s="1451" t="n"/>
      <c r="D18" s="1451" t="n"/>
      <c r="E18" s="1451" t="n"/>
      <c r="F18" s="1451" t="n"/>
      <c r="G18" s="1451" t="n"/>
      <c r="H18" s="1451" t="n"/>
      <c r="I18" s="1382" t="n"/>
    </row>
    <row r="19" ht="27.75" customHeight="1" s="1225">
      <c r="A19" s="1685" t="inlineStr">
        <is>
          <t>VARIATION DE LA VALEUR DE L'ENGAGEMENT DE RETRAITE 
AU COURS DE L'EXERCICE</t>
        </is>
      </c>
      <c r="B19" s="1509" t="n"/>
      <c r="C19" s="1509" t="n"/>
      <c r="D19" s="1509" t="n"/>
      <c r="E19" s="1509" t="n"/>
      <c r="F19" s="1509" t="n"/>
      <c r="G19" s="1509" t="n"/>
      <c r="H19" s="1509" t="n"/>
      <c r="I19" s="1562" t="n"/>
    </row>
    <row r="20" ht="18.75" customHeight="1" s="1225">
      <c r="A20" s="1687" t="inlineStr">
        <is>
          <t>Libellés</t>
        </is>
      </c>
      <c r="B20" s="1420" t="n"/>
      <c r="C20" s="1420" t="n"/>
      <c r="D20" s="1420" t="n"/>
      <c r="E20" s="1420" t="n"/>
      <c r="F20" s="1420" t="n"/>
      <c r="G20" s="1411" t="n"/>
      <c r="H20" s="1426" t="inlineStr">
        <is>
          <t>Année N</t>
        </is>
      </c>
      <c r="I20" s="763" t="inlineStr">
        <is>
          <t>Année N-1</t>
        </is>
      </c>
    </row>
    <row r="21" ht="18.75" customHeight="1" s="1225">
      <c r="A21" s="1525" t="inlineStr">
        <is>
          <t>Obligation au titre des engagements de retraite à l'ouverture</t>
        </is>
      </c>
      <c r="B21" s="1420" t="n"/>
      <c r="C21" s="1420" t="n"/>
      <c r="D21" s="1420" t="n"/>
      <c r="E21" s="1420" t="n"/>
      <c r="F21" s="1420" t="n"/>
      <c r="G21" s="1411" t="n"/>
      <c r="H21" s="139" t="n"/>
      <c r="I21" s="883" t="n"/>
    </row>
    <row r="22" ht="18.75" customHeight="1" s="1225">
      <c r="A22" s="1512" t="inlineStr">
        <is>
          <t>Coût des services rendus au cours de l'exercice</t>
        </is>
      </c>
      <c r="B22" s="1420" t="n"/>
      <c r="C22" s="1420" t="n"/>
      <c r="D22" s="1420" t="n"/>
      <c r="E22" s="1420" t="n"/>
      <c r="F22" s="1420" t="n"/>
      <c r="G22" s="1411" t="n"/>
      <c r="H22" s="1570" t="n"/>
      <c r="I22" s="798" t="n"/>
    </row>
    <row r="23" ht="18.75" customHeight="1" s="1225">
      <c r="A23" s="1512" t="inlineStr">
        <is>
          <t>Coût financier</t>
        </is>
      </c>
      <c r="B23" s="1420" t="n"/>
      <c r="C23" s="1420" t="n"/>
      <c r="D23" s="1420" t="n"/>
      <c r="E23" s="1420" t="n"/>
      <c r="F23" s="1420" t="n"/>
      <c r="G23" s="1411" t="n"/>
      <c r="H23" s="1570" t="n"/>
      <c r="I23" s="798" t="n"/>
    </row>
    <row r="24" ht="18.75" customHeight="1" s="1225">
      <c r="A24" s="1512" t="inlineStr">
        <is>
          <t>Pertes actuarielles / (gain)</t>
        </is>
      </c>
      <c r="B24" s="1420" t="n"/>
      <c r="C24" s="1420" t="n"/>
      <c r="D24" s="1420" t="n"/>
      <c r="E24" s="1420" t="n"/>
      <c r="F24" s="1420" t="n"/>
      <c r="G24" s="1411" t="n"/>
      <c r="H24" s="1570" t="n"/>
      <c r="I24" s="798" t="n"/>
    </row>
    <row r="25" ht="18.75" customHeight="1" s="1225">
      <c r="A25" s="1512" t="inlineStr">
        <is>
          <t>Prestations payées au cours de l'exercice</t>
        </is>
      </c>
      <c r="B25" s="1420" t="n"/>
      <c r="C25" s="1420" t="n"/>
      <c r="D25" s="1420" t="n"/>
      <c r="E25" s="1420" t="n"/>
      <c r="F25" s="1420" t="n"/>
      <c r="G25" s="1411" t="n"/>
      <c r="H25" s="1570" t="n"/>
      <c r="I25" s="798" t="n"/>
    </row>
    <row r="26" ht="18.75" customHeight="1" s="1225">
      <c r="A26" s="1512" t="inlineStr">
        <is>
          <t>Coût des services passés</t>
        </is>
      </c>
      <c r="B26" s="1420" t="n"/>
      <c r="C26" s="1420" t="n"/>
      <c r="D26" s="1420" t="n"/>
      <c r="E26" s="1420" t="n"/>
      <c r="F26" s="1420" t="n"/>
      <c r="G26" s="1411" t="n"/>
      <c r="H26" s="1570" t="n"/>
      <c r="I26" s="798" t="n"/>
    </row>
    <row r="27" ht="18.75" customHeight="1" s="1225" thickBot="1">
      <c r="A27" s="1633" t="inlineStr">
        <is>
          <t>Obligation au titre des engagements de retraite à la clôture</t>
        </is>
      </c>
      <c r="B27" s="1527" t="n"/>
      <c r="C27" s="1527" t="n"/>
      <c r="D27" s="1527" t="n"/>
      <c r="E27" s="1527" t="n"/>
      <c r="F27" s="1527" t="n"/>
      <c r="G27" s="1528" t="n"/>
      <c r="H27" s="867" t="n"/>
      <c r="I27" s="884" t="n"/>
    </row>
    <row r="28" ht="12" customFormat="1" customHeight="1" s="1356">
      <c r="A28" s="559" t="inlineStr">
        <is>
          <t>Commentaire :</t>
        </is>
      </c>
      <c r="B28" s="572" t="n"/>
      <c r="C28" s="572" t="n"/>
      <c r="D28" s="572" t="n"/>
      <c r="E28" s="572" t="n"/>
      <c r="F28" s="572" t="n"/>
      <c r="G28" s="572" t="n"/>
      <c r="H28" s="573" t="n"/>
      <c r="I28" s="573" t="n"/>
    </row>
    <row r="29" ht="12" customFormat="1" customHeight="1" s="1356">
      <c r="A29" s="618" t="inlineStr">
        <is>
          <t>●   Indiquer le montant de la charge par nature comptabilisée au cours de exercice</t>
        </is>
      </c>
      <c r="B29" s="572" t="n"/>
      <c r="C29" s="572" t="n"/>
      <c r="D29" s="572" t="n"/>
      <c r="E29" s="572" t="n"/>
      <c r="F29" s="572" t="n"/>
      <c r="G29" s="572" t="n"/>
      <c r="H29" s="573" t="n"/>
      <c r="I29" s="573" t="n"/>
    </row>
    <row r="30" ht="15" customHeight="1" s="1225" thickBot="1">
      <c r="A30" s="1451" t="n"/>
      <c r="B30" s="1451" t="n"/>
      <c r="C30" s="1451" t="n"/>
      <c r="D30" s="1451" t="n"/>
      <c r="E30" s="1451" t="n"/>
      <c r="F30" s="1451" t="n"/>
      <c r="G30" s="1451" t="n"/>
      <c r="H30" s="1451" t="n"/>
      <c r="I30" s="1382" t="n"/>
    </row>
    <row r="31" ht="27.75" customHeight="1" s="1225">
      <c r="A31" s="1685" t="inlineStr">
        <is>
          <t>ANALYSE DE SENSIBILITE DES HYPOTHESES ACTUARIELLES</t>
        </is>
      </c>
      <c r="B31" s="1509" t="n"/>
      <c r="C31" s="1509" t="n"/>
      <c r="D31" s="1509" t="n"/>
      <c r="E31" s="1509" t="n"/>
      <c r="F31" s="1509" t="n"/>
      <c r="G31" s="1509" t="n"/>
      <c r="H31" s="1509" t="n"/>
      <c r="I31" s="1562" t="n"/>
    </row>
    <row r="32" ht="18.75" customHeight="1" s="1225">
      <c r="A32" s="1687" t="inlineStr">
        <is>
          <t>Libellés</t>
        </is>
      </c>
      <c r="B32" s="1420" t="n"/>
      <c r="C32" s="1420" t="n"/>
      <c r="D32" s="1420" t="n"/>
      <c r="E32" s="1411" t="n"/>
      <c r="F32" s="1426" t="inlineStr">
        <is>
          <t>Année N</t>
        </is>
      </c>
      <c r="G32" s="1411" t="n"/>
      <c r="H32" s="1426" t="inlineStr">
        <is>
          <t>Année N-1</t>
        </is>
      </c>
      <c r="I32" s="1411" t="n"/>
    </row>
    <row r="33">
      <c r="A33" s="1686" t="n"/>
      <c r="B33" s="1420" t="n"/>
      <c r="C33" s="1420" t="n"/>
      <c r="D33" s="1420" t="n"/>
      <c r="E33" s="1411" t="n"/>
      <c r="F33" s="143" t="inlineStr">
        <is>
          <t>Augmentation</t>
        </is>
      </c>
      <c r="G33" s="143" t="inlineStr">
        <is>
          <t>Diminution</t>
        </is>
      </c>
      <c r="H33" s="143" t="inlineStr">
        <is>
          <t>Augmentation</t>
        </is>
      </c>
      <c r="I33" s="885" t="inlineStr">
        <is>
          <t>Diminution</t>
        </is>
      </c>
    </row>
    <row r="34" ht="18.75" customHeight="1" s="1225">
      <c r="A34" s="1512" t="inlineStr">
        <is>
          <t>Taux d'actualisation (variation de ...%)</t>
        </is>
      </c>
      <c r="B34" s="1420" t="n"/>
      <c r="C34" s="1420" t="n"/>
      <c r="D34" s="1420" t="n"/>
      <c r="E34" s="1411" t="n"/>
      <c r="F34" s="1570" t="n"/>
      <c r="G34" s="1570" t="n"/>
      <c r="H34" s="1570" t="n"/>
      <c r="I34" s="798" t="n"/>
    </row>
    <row r="35" ht="18.75" customHeight="1" s="1225">
      <c r="A35" s="1512" t="inlineStr">
        <is>
          <t>Taux de progression des salaires (variation de ...%)</t>
        </is>
      </c>
      <c r="B35" s="1420" t="n"/>
      <c r="C35" s="1420" t="n"/>
      <c r="D35" s="1420" t="n"/>
      <c r="E35" s="1411" t="n"/>
      <c r="F35" s="1570" t="n"/>
      <c r="G35" s="1570" t="n"/>
      <c r="H35" s="1570" t="n"/>
      <c r="I35" s="798" t="n"/>
    </row>
    <row r="36" ht="18.75" customHeight="1" s="1225" thickBot="1">
      <c r="A36" s="1688" t="inlineStr">
        <is>
          <t>Taux de départ du personnel (variation de ...%)</t>
        </is>
      </c>
      <c r="B36" s="1527" t="n"/>
      <c r="C36" s="1527" t="n"/>
      <c r="D36" s="1527" t="n"/>
      <c r="E36" s="1528" t="n"/>
      <c r="F36" s="830" t="n"/>
      <c r="G36" s="830" t="n"/>
      <c r="H36" s="830" t="n"/>
      <c r="I36" s="831" t="n"/>
    </row>
    <row r="37" ht="12" customFormat="1" customHeight="1" s="1356">
      <c r="A37" s="559" t="inlineStr">
        <is>
          <t>Commentaire :</t>
        </is>
      </c>
    </row>
    <row r="38" ht="12" customFormat="1" customHeight="1" s="1356">
      <c r="A38" s="618" t="inlineStr">
        <is>
          <t>●   Indiquer l’impact des variations obtenues sur le montant des engagements de retraite.</t>
        </is>
      </c>
    </row>
  </sheetData>
  <mergeCells count="32">
    <mergeCell ref="A7:I7"/>
    <mergeCell ref="A14:G14"/>
    <mergeCell ref="A34:E34"/>
    <mergeCell ref="A22:G22"/>
    <mergeCell ref="A20:G20"/>
    <mergeCell ref="A36:E36"/>
    <mergeCell ref="A10:G10"/>
    <mergeCell ref="A13:G13"/>
    <mergeCell ref="A9:G9"/>
    <mergeCell ref="C3:I3"/>
    <mergeCell ref="A24:G24"/>
    <mergeCell ref="A8:I8"/>
    <mergeCell ref="A15:G15"/>
    <mergeCell ref="F32:G32"/>
    <mergeCell ref="A11:G11"/>
    <mergeCell ref="H2:I2"/>
    <mergeCell ref="A19:I19"/>
    <mergeCell ref="H32:I32"/>
    <mergeCell ref="A33:E33"/>
    <mergeCell ref="B4:G4"/>
    <mergeCell ref="A31:I31"/>
    <mergeCell ref="A32:E32"/>
    <mergeCell ref="A25:G25"/>
    <mergeCell ref="C6:E6"/>
    <mergeCell ref="A35:E35"/>
    <mergeCell ref="C5:E5"/>
    <mergeCell ref="A27:G27"/>
    <mergeCell ref="A21:G21"/>
    <mergeCell ref="A12:G12"/>
    <mergeCell ref="A1:I1"/>
    <mergeCell ref="A26:G26"/>
    <mergeCell ref="A23:G23"/>
  </mergeCells>
  <dataValidations count="1">
    <dataValidation sqref="F34:I36 H10:I15 H21:I27"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86"/>
</worksheet>
</file>

<file path=xl/worksheets/sheet41.xml><?xml version="1.0" encoding="utf-8"?>
<worksheet xmlns="http://schemas.openxmlformats.org/spreadsheetml/2006/main">
  <sheetPr codeName="Feuil40">
    <tabColor theme="4" tint="0.5999938962981048"/>
    <outlinePr summaryBelow="1" summaryRight="1"/>
    <pageSetUpPr fitToPage="1"/>
  </sheetPr>
  <dimension ref="A1:I25"/>
  <sheetViews>
    <sheetView showGridLines="0" topLeftCell="A13" workbookViewId="0">
      <selection activeCell="B14" sqref="B14"/>
    </sheetView>
  </sheetViews>
  <sheetFormatPr baseColWidth="10" defaultRowHeight="15"/>
  <cols>
    <col width="15.7109375" customWidth="1" style="1225" min="2" max="2"/>
    <col width="8.7109375" customWidth="1" style="1225" min="3" max="3"/>
    <col width="9" customWidth="1" style="1225" min="4" max="4"/>
    <col width="5.7109375" customWidth="1" style="1225" min="5" max="5"/>
    <col width="18.5703125" customWidth="1" style="1225" min="6" max="7"/>
    <col width="17" customWidth="1" style="1225" min="8" max="9"/>
  </cols>
  <sheetData>
    <row r="1">
      <c r="A1" s="1429" t="inlineStr">
        <is>
          <t>- 0 -</t>
        </is>
      </c>
    </row>
    <row r="2" ht="24.95" customHeight="1" s="1225">
      <c r="A2" s="1429" t="n"/>
      <c r="B2" s="1429" t="n"/>
      <c r="C2" s="1429" t="n"/>
      <c r="D2" s="1429" t="n"/>
      <c r="E2" s="1429" t="n"/>
      <c r="F2" s="1429" t="n"/>
      <c r="G2" s="1429" t="n"/>
      <c r="H2" s="1438" t="inlineStr">
        <is>
          <t>NOTE 16B BIS
SYSTEME NORMAL</t>
        </is>
      </c>
      <c r="I2" s="1411" t="n"/>
    </row>
    <row r="3" ht="15" customFormat="1" customHeight="1" s="1382">
      <c r="A3" s="1451" t="inlineStr">
        <is>
          <t>Dénomination sociale de l'entité :</t>
        </is>
      </c>
      <c r="B3" s="1451" t="n"/>
      <c r="C3" s="1276">
        <f>'NOTE 11'!C3</f>
        <v/>
      </c>
      <c r="D3" s="1277" t="n"/>
      <c r="E3" s="1277" t="n"/>
      <c r="F3" s="1277" t="n"/>
      <c r="G3" s="1277" t="n"/>
      <c r="H3" s="1277" t="n"/>
      <c r="I3" s="1277" t="n"/>
    </row>
    <row r="4" ht="15" customFormat="1" customHeight="1" s="1382">
      <c r="A4" s="1451" t="inlineStr">
        <is>
          <t>Adresse :</t>
        </is>
      </c>
      <c r="B4" s="1276">
        <f>'NOTE 11'!B4</f>
        <v/>
      </c>
      <c r="C4" s="1277" t="n"/>
      <c r="D4" s="1277" t="n"/>
      <c r="E4" s="1277" t="n"/>
      <c r="F4" s="1277" t="n"/>
      <c r="G4" s="1277" t="n"/>
      <c r="H4" s="1589" t="inlineStr">
        <is>
          <t>Sigle usuel :</t>
        </is>
      </c>
      <c r="I4" s="1970">
        <f>'NOTE 11'!I4</f>
        <v/>
      </c>
    </row>
    <row r="5" ht="15" customFormat="1" customHeight="1" s="1382">
      <c r="A5" s="1451" t="inlineStr">
        <is>
          <t>N° IFU :</t>
        </is>
      </c>
      <c r="B5" s="1451" t="n"/>
      <c r="C5" s="1280">
        <f>'NOTE 11'!C5</f>
        <v/>
      </c>
      <c r="D5" s="1279" t="n"/>
      <c r="E5" s="1279" t="n"/>
      <c r="F5" s="1457" t="inlineStr">
        <is>
          <t>Exercice clos le :</t>
        </is>
      </c>
      <c r="G5" s="1601">
        <f>'NOTE 11'!F5</f>
        <v/>
      </c>
      <c r="H5" s="1589" t="inlineStr">
        <is>
          <t>Durée (en mois) :</t>
        </is>
      </c>
      <c r="I5" s="111">
        <f>'NOTE 11'!I5</f>
        <v/>
      </c>
    </row>
    <row r="6" ht="15" customFormat="1" customHeight="1" s="1382">
      <c r="A6" s="1451" t="inlineStr">
        <is>
          <t>N° de télédéclarant (NES):</t>
        </is>
      </c>
      <c r="B6" s="1451" t="n"/>
      <c r="C6" s="1520">
        <f>'NOTE 11'!C6</f>
        <v/>
      </c>
      <c r="D6" s="1521" t="n"/>
      <c r="E6" s="1970" t="n"/>
      <c r="F6" s="253" t="n"/>
      <c r="G6" s="1970" t="n"/>
      <c r="H6" s="254" t="n"/>
      <c r="I6" s="1970" t="n"/>
    </row>
    <row r="7" ht="36" customHeight="1" s="1225" thickBot="1">
      <c r="A7" s="1341" t="inlineStr">
        <is>
          <t>NOTE 16B BIS : ENGAGEMENTS DE RETRAITE ET AVANTAGES ASSIMILES : (METHODE ACTUARIELLE SUITE)</t>
        </is>
      </c>
    </row>
    <row r="8" ht="27.75" customHeight="1" s="1225">
      <c r="A8" s="1685" t="inlineStr">
        <is>
          <t>ACTIF/PASSIF NET COMPTABILISE AU TITRE DES REGIMES FINANCES</t>
        </is>
      </c>
      <c r="B8" s="1509" t="n"/>
      <c r="C8" s="1509" t="n"/>
      <c r="D8" s="1509" t="n"/>
      <c r="E8" s="1509" t="n"/>
      <c r="F8" s="1509" t="n"/>
      <c r="G8" s="1509" t="n"/>
      <c r="H8" s="1509" t="n"/>
      <c r="I8" s="1562" t="n"/>
    </row>
    <row r="9" ht="20.25" customHeight="1" s="1225">
      <c r="A9" s="1687" t="inlineStr">
        <is>
          <t>Libellés</t>
        </is>
      </c>
      <c r="B9" s="1420" t="n"/>
      <c r="C9" s="1420" t="n"/>
      <c r="D9" s="1420" t="n"/>
      <c r="E9" s="1420" t="n"/>
      <c r="F9" s="1420" t="n"/>
      <c r="G9" s="1411" t="n"/>
      <c r="H9" s="1426" t="inlineStr">
        <is>
          <t>Année N</t>
        </is>
      </c>
      <c r="I9" s="763" t="inlineStr">
        <is>
          <t>Année N-1</t>
        </is>
      </c>
    </row>
    <row r="10" ht="25.5" customHeight="1" s="1225">
      <c r="A10" s="1512" t="inlineStr">
        <is>
          <t>Valeur actuelle de l'obligation résultant de régimes financés</t>
        </is>
      </c>
      <c r="B10" s="1420" t="n"/>
      <c r="C10" s="1420" t="n"/>
      <c r="D10" s="1420" t="n"/>
      <c r="E10" s="1420" t="n"/>
      <c r="F10" s="1420" t="n"/>
      <c r="G10" s="1411" t="n"/>
      <c r="H10" s="1570" t="n"/>
      <c r="I10" s="798" t="n"/>
    </row>
    <row r="11" ht="25.5" customHeight="1" s="1225">
      <c r="A11" s="1512" t="inlineStr">
        <is>
          <t>Valeur actuelle des actifs affectés aux plans de retraite</t>
        </is>
      </c>
      <c r="B11" s="1420" t="n"/>
      <c r="C11" s="1420" t="n"/>
      <c r="D11" s="1420" t="n"/>
      <c r="E11" s="1420" t="n"/>
      <c r="F11" s="1420" t="n"/>
      <c r="G11" s="1411" t="n"/>
      <c r="H11" s="1570" t="n"/>
      <c r="I11" s="798" t="n"/>
    </row>
    <row r="12" ht="25.5" customHeight="1" s="1225" thickBot="1">
      <c r="A12" s="1633" t="inlineStr">
        <is>
          <t>Excédent / Déficit de régime</t>
        </is>
      </c>
      <c r="B12" s="1527" t="n"/>
      <c r="C12" s="1527" t="n"/>
      <c r="D12" s="1527" t="n"/>
      <c r="E12" s="1527" t="n"/>
      <c r="F12" s="1527" t="n"/>
      <c r="G12" s="1528" t="n"/>
      <c r="H12" s="886" t="n"/>
      <c r="I12" s="887" t="n"/>
    </row>
    <row r="13" ht="12" customFormat="1" customHeight="1" s="1356">
      <c r="A13" s="559" t="inlineStr">
        <is>
          <t>Commentaire :</t>
        </is>
      </c>
      <c r="B13" s="572" t="n"/>
      <c r="C13" s="572" t="n"/>
      <c r="D13" s="572" t="n"/>
      <c r="E13" s="572" t="n"/>
      <c r="F13" s="572" t="n"/>
      <c r="G13" s="572" t="n"/>
      <c r="H13" s="573" t="n"/>
      <c r="I13" s="573" t="n"/>
    </row>
    <row r="14" ht="12" customFormat="1" customHeight="1" s="1356">
      <c r="A14" s="618" t="inlineStr">
        <is>
          <t>●   Indiquer le montant comptabilisé au passif (ou actif) à la clôture de l'exercice.</t>
        </is>
      </c>
      <c r="B14" s="572" t="n"/>
      <c r="C14" s="572" t="n"/>
      <c r="D14" s="572" t="n"/>
      <c r="E14" s="572" t="n"/>
      <c r="F14" s="572" t="n"/>
      <c r="G14" s="572" t="n"/>
      <c r="H14" s="573" t="n"/>
      <c r="I14" s="573" t="n"/>
    </row>
    <row r="15" ht="15" customHeight="1" s="1225" thickBot="1">
      <c r="A15" s="1382" t="n"/>
      <c r="B15" s="1382" t="n"/>
      <c r="C15" s="1382" t="n"/>
      <c r="D15" s="1382" t="n"/>
      <c r="E15" s="1382" t="n"/>
      <c r="F15" s="1382" t="n"/>
      <c r="G15" s="1382" t="n"/>
      <c r="H15" s="1382" t="n"/>
      <c r="I15" s="1382" t="n"/>
    </row>
    <row r="16" ht="27.75" customHeight="1" s="1225">
      <c r="A16" s="1685" t="inlineStr">
        <is>
          <t>VALEUR ACTUELLE DES ACTIFS DU REGIME</t>
        </is>
      </c>
      <c r="B16" s="1509" t="n"/>
      <c r="C16" s="1509" t="n"/>
      <c r="D16" s="1509" t="n"/>
      <c r="E16" s="1509" t="n"/>
      <c r="F16" s="1509" t="n"/>
      <c r="G16" s="1509" t="n"/>
      <c r="H16" s="1509" t="n"/>
      <c r="I16" s="1562" t="n"/>
    </row>
    <row r="17" ht="20.25" customHeight="1" s="1225">
      <c r="A17" s="1687" t="inlineStr">
        <is>
          <t>Libellés</t>
        </is>
      </c>
      <c r="B17" s="1420" t="n"/>
      <c r="C17" s="1420" t="n"/>
      <c r="D17" s="1420" t="n"/>
      <c r="E17" s="1411" t="n"/>
      <c r="F17" s="1426" t="inlineStr">
        <is>
          <t>Année N</t>
        </is>
      </c>
      <c r="G17" s="1411" t="n"/>
      <c r="H17" s="1426" t="inlineStr">
        <is>
          <t>Année N-1</t>
        </is>
      </c>
      <c r="I17" s="1411" t="n"/>
    </row>
    <row r="18" ht="26.25" customHeight="1" s="1225">
      <c r="A18" s="1689" t="n"/>
      <c r="B18" s="1420" t="n"/>
      <c r="C18" s="1420" t="n"/>
      <c r="D18" s="1420" t="n"/>
      <c r="E18" s="1411" t="n"/>
      <c r="F18" s="143" t="inlineStr">
        <is>
          <t>Rendement
attendu</t>
        </is>
      </c>
      <c r="G18" s="143" t="inlineStr">
        <is>
          <t>Juste valeur
des actifs</t>
        </is>
      </c>
      <c r="H18" s="143" t="inlineStr">
        <is>
          <t>Rendement 
attendu</t>
        </is>
      </c>
      <c r="I18" s="885" t="inlineStr">
        <is>
          <t>Juste valeur
des actifs</t>
        </is>
      </c>
    </row>
    <row r="19" ht="25.5" customHeight="1" s="1225">
      <c r="A19" s="1512" t="inlineStr">
        <is>
          <t>Actions</t>
        </is>
      </c>
      <c r="B19" s="1420" t="n"/>
      <c r="C19" s="1420" t="n"/>
      <c r="D19" s="1420" t="n"/>
      <c r="E19" s="1411" t="n"/>
      <c r="F19" s="1570" t="n"/>
      <c r="G19" s="1570" t="n"/>
      <c r="H19" s="1570" t="n"/>
      <c r="I19" s="798" t="n"/>
    </row>
    <row r="20" ht="25.5" customHeight="1" s="1225">
      <c r="A20" s="1512" t="inlineStr">
        <is>
          <t>Obligations</t>
        </is>
      </c>
      <c r="B20" s="1420" t="n"/>
      <c r="C20" s="1420" t="n"/>
      <c r="D20" s="1420" t="n"/>
      <c r="E20" s="1411" t="n"/>
      <c r="F20" s="1570" t="n"/>
      <c r="G20" s="1570" t="n"/>
      <c r="H20" s="1570" t="n"/>
      <c r="I20" s="798" t="n"/>
    </row>
    <row r="21" ht="25.5" customHeight="1" s="1225">
      <c r="A21" s="1512" t="inlineStr">
        <is>
          <t>Autres</t>
        </is>
      </c>
      <c r="B21" s="1420" t="n"/>
      <c r="C21" s="1420" t="n"/>
      <c r="D21" s="1420" t="n"/>
      <c r="E21" s="1411" t="n"/>
      <c r="F21" s="1570" t="n"/>
      <c r="G21" s="1570" t="n"/>
      <c r="H21" s="1570" t="n"/>
      <c r="I21" s="798" t="n"/>
    </row>
    <row r="22" ht="25.5" customHeight="1" s="1225" thickBot="1">
      <c r="A22" s="1633" t="inlineStr">
        <is>
          <t>Total</t>
        </is>
      </c>
      <c r="B22" s="1527" t="n"/>
      <c r="C22" s="1527" t="n"/>
      <c r="D22" s="1527" t="n"/>
      <c r="E22" s="1528" t="n"/>
      <c r="F22" s="1632">
        <f>SUM(F19:F21)</f>
        <v/>
      </c>
      <c r="G22" s="1632">
        <f>SUM(G19:G21)</f>
        <v/>
      </c>
      <c r="H22" s="1632">
        <f>SUM(H19:H21)</f>
        <v/>
      </c>
      <c r="I22" s="888">
        <f>SUM(I19:I21)</f>
        <v/>
      </c>
    </row>
    <row r="23" ht="12" customFormat="1" customHeight="1" s="1356">
      <c r="A23" s="559" t="inlineStr">
        <is>
          <t>Commentaire :</t>
        </is>
      </c>
    </row>
    <row r="24" ht="12" customFormat="1" customHeight="1" s="1356">
      <c r="A24" s="618" t="inlineStr">
        <is>
          <t>●   Expliquer comment les taux de rendement par catégorie d’actifs et global ont été déterminés</t>
        </is>
      </c>
    </row>
    <row r="25" ht="12" customFormat="1" customHeight="1" s="1356">
      <c r="A25" s="618" t="inlineStr">
        <is>
          <t>●   Indiquer le montant des rendements réels des actifs affectés aux plans en N et N-1</t>
        </is>
      </c>
    </row>
  </sheetData>
  <mergeCells count="21">
    <mergeCell ref="A7:I7"/>
    <mergeCell ref="C6:D6"/>
    <mergeCell ref="A10:G10"/>
    <mergeCell ref="A9:G9"/>
    <mergeCell ref="C3:I3"/>
    <mergeCell ref="A8:I8"/>
    <mergeCell ref="A11:G11"/>
    <mergeCell ref="F17:G17"/>
    <mergeCell ref="A18:E18"/>
    <mergeCell ref="H17:I17"/>
    <mergeCell ref="A21:E21"/>
    <mergeCell ref="H2:I2"/>
    <mergeCell ref="B4:G4"/>
    <mergeCell ref="A22:E22"/>
    <mergeCell ref="A17:E17"/>
    <mergeCell ref="A20:E20"/>
    <mergeCell ref="C5:E5"/>
    <mergeCell ref="A12:G12"/>
    <mergeCell ref="A19:E19"/>
    <mergeCell ref="A1:I1"/>
    <mergeCell ref="A16:I16"/>
  </mergeCells>
  <dataValidations count="2">
    <dataValidation sqref="G19:G21 I19:I21" showDropDown="0" showInputMessage="1" showErrorMessage="1" allowBlank="1" errorTitle="Attention!" error="Valeur numérique attendue" type="whole">
      <formula1>-9999999999999</formula1>
      <formula2>9999999999999</formula2>
    </dataValidation>
    <dataValidation sqref="F19:F21 H19:H21" showDropDown="0" showInputMessage="1" showErrorMessage="1" allowBlank="1" errorTitle="Attention!" error="Valeur numérique attendue" type="decimal">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80"/>
</worksheet>
</file>

<file path=xl/worksheets/sheet42.xml><?xml version="1.0" encoding="utf-8"?>
<worksheet xmlns="http://schemas.openxmlformats.org/spreadsheetml/2006/main">
  <sheetPr codeName="Feuil41">
    <tabColor theme="4" tint="0.5999938962981048"/>
    <outlinePr summaryBelow="1" summaryRight="1"/>
    <pageSetUpPr fitToPage="1"/>
  </sheetPr>
  <dimension ref="A1:H30"/>
  <sheetViews>
    <sheetView showGridLines="0" topLeftCell="A22" workbookViewId="0">
      <selection activeCell="B14" sqref="B14"/>
    </sheetView>
  </sheetViews>
  <sheetFormatPr baseColWidth="10" defaultRowHeight="15"/>
  <cols>
    <col width="15.85546875" customWidth="1" style="1225" min="2" max="2"/>
    <col width="10.140625" customWidth="1" style="1225" min="3" max="3"/>
    <col width="9.28515625" customWidth="1" style="1225" min="4" max="4"/>
    <col width="13.85546875" customWidth="1" style="1225" min="5" max="6"/>
    <col width="15.7109375" customWidth="1" style="1225" min="7" max="8"/>
  </cols>
  <sheetData>
    <row r="1">
      <c r="A1" s="1429" t="inlineStr">
        <is>
          <t>- 0 -</t>
        </is>
      </c>
    </row>
    <row r="2" ht="24.95" customHeight="1" s="1225">
      <c r="A2" s="1429" t="n"/>
      <c r="B2" s="1429" t="n"/>
      <c r="C2" s="1429" t="n"/>
      <c r="D2" s="1429" t="n"/>
      <c r="E2" s="1429" t="n"/>
      <c r="F2" s="1429" t="n"/>
      <c r="G2" s="1438" t="inlineStr">
        <is>
          <t>NOTE 16C
SYSTEME NORMAL</t>
        </is>
      </c>
      <c r="H2" s="1411" t="n"/>
    </row>
    <row r="3" ht="15" customFormat="1" customHeight="1" s="1382">
      <c r="A3" s="1451" t="inlineStr">
        <is>
          <t>Dénomination sociale de l'entité :</t>
        </is>
      </c>
      <c r="B3" s="1451" t="n"/>
      <c r="C3" s="1276">
        <f>'NOTE 11'!C3</f>
        <v/>
      </c>
      <c r="D3" s="1277" t="n"/>
      <c r="E3" s="1277" t="n"/>
      <c r="F3" s="1277" t="n"/>
      <c r="G3" s="1277" t="n"/>
      <c r="H3" s="1277" t="n"/>
    </row>
    <row r="4" ht="15" customFormat="1" customHeight="1" s="1382">
      <c r="A4" s="1451" t="inlineStr">
        <is>
          <t>Adresse :</t>
        </is>
      </c>
      <c r="B4" s="1276">
        <f>'NOTE 11'!B4</f>
        <v/>
      </c>
      <c r="C4" s="1277" t="n"/>
      <c r="D4" s="1277" t="n"/>
      <c r="E4" s="1277" t="n"/>
      <c r="F4" s="1277" t="n"/>
      <c r="G4" s="1589" t="inlineStr">
        <is>
          <t>Sigle usuel :</t>
        </is>
      </c>
      <c r="H4" s="1488">
        <f>'NOTE 11'!I4</f>
        <v/>
      </c>
    </row>
    <row r="5" ht="15" customFormat="1" customHeight="1" s="1382">
      <c r="A5" s="1451" t="inlineStr">
        <is>
          <t>N° IFU :</t>
        </is>
      </c>
      <c r="B5" s="1451" t="n"/>
      <c r="C5" s="1280">
        <f>'NOTE 11'!C5</f>
        <v/>
      </c>
      <c r="D5" s="1279" t="n"/>
      <c r="E5" s="1457" t="inlineStr">
        <is>
          <t>Exercice clos le :</t>
        </is>
      </c>
      <c r="F5" s="1601">
        <f>'NOTE 11'!F5</f>
        <v/>
      </c>
      <c r="G5" s="1589" t="inlineStr">
        <is>
          <t>Durée (en mois) :</t>
        </is>
      </c>
      <c r="H5" s="111">
        <f>'NOTE 11'!I5</f>
        <v/>
      </c>
    </row>
    <row r="6" ht="15" customFormat="1" customHeight="1" s="1382">
      <c r="A6" s="1451" t="inlineStr">
        <is>
          <t xml:space="preserve">N° de télédéclarant (NES): </t>
        </is>
      </c>
      <c r="B6" s="1451" t="n"/>
      <c r="C6" s="1488">
        <f>'NOTE 11'!C6</f>
        <v/>
      </c>
      <c r="D6" s="1288" t="n"/>
      <c r="E6" s="1288" t="n"/>
      <c r="F6" s="1970" t="n"/>
      <c r="G6" s="254" t="n"/>
      <c r="H6" s="1970" t="n"/>
    </row>
    <row r="7" ht="35.1" customHeight="1" s="1225" thickBot="1">
      <c r="A7" s="1341" t="inlineStr">
        <is>
          <t>NOTE 16C : ACTIFS ET PASSIFS EVENTUELS</t>
        </is>
      </c>
    </row>
    <row r="8" ht="27.75" customHeight="1" s="1225">
      <c r="A8" s="1667" t="inlineStr">
        <is>
          <t>Libellés</t>
        </is>
      </c>
      <c r="B8" s="1509" t="n"/>
      <c r="C8" s="1509" t="n"/>
      <c r="D8" s="1509" t="n"/>
      <c r="E8" s="1509" t="n"/>
      <c r="F8" s="1562" t="n"/>
      <c r="G8" s="1750" t="inlineStr">
        <is>
          <t>Année N</t>
        </is>
      </c>
      <c r="H8" s="1751" t="inlineStr">
        <is>
          <t>Année N-1</t>
        </is>
      </c>
    </row>
    <row r="9" ht="21" customHeight="1" s="1225">
      <c r="A9" s="1544" t="inlineStr">
        <is>
          <t>Actif éventuel</t>
        </is>
      </c>
      <c r="B9" s="1420" t="n"/>
      <c r="C9" s="1420" t="n"/>
      <c r="D9" s="1420" t="n"/>
      <c r="E9" s="1420" t="n"/>
      <c r="F9" s="1411" t="n"/>
      <c r="G9" s="66">
        <f>SUM(G11:G18)</f>
        <v/>
      </c>
      <c r="H9" s="889">
        <f>SUM(H11:H18)</f>
        <v/>
      </c>
    </row>
    <row r="10" ht="16.5" customHeight="1" s="1225">
      <c r="A10" s="1672" t="inlineStr">
        <is>
          <t>Litiges</t>
        </is>
      </c>
      <c r="B10" s="1420" t="n"/>
      <c r="C10" s="1420" t="n"/>
      <c r="D10" s="1420" t="n"/>
      <c r="E10" s="1420" t="n"/>
      <c r="F10" s="1411" t="n"/>
      <c r="G10" s="109" t="n"/>
      <c r="H10" s="1585" t="n"/>
    </row>
    <row r="11" ht="24.75" customHeight="1" s="1225">
      <c r="A11" s="1690" t="n"/>
      <c r="B11" s="1395" t="n"/>
      <c r="C11" s="1395" t="n"/>
      <c r="D11" s="1395" t="n"/>
      <c r="E11" s="1395" t="n"/>
      <c r="F11" s="1396" t="n"/>
      <c r="G11" s="1570" t="n"/>
      <c r="H11" s="798" t="n"/>
    </row>
    <row r="12" ht="24.75" customHeight="1" s="1225">
      <c r="A12" s="1690" t="n"/>
      <c r="B12" s="1395" t="n"/>
      <c r="C12" s="1395" t="n"/>
      <c r="D12" s="1395" t="n"/>
      <c r="E12" s="1395" t="n"/>
      <c r="F12" s="1396" t="n"/>
      <c r="G12" s="1570" t="n"/>
      <c r="H12" s="798" t="n"/>
    </row>
    <row r="13" ht="24.75" customHeight="1" s="1225">
      <c r="A13" s="1690" t="n"/>
      <c r="B13" s="1395" t="n"/>
      <c r="C13" s="1395" t="n"/>
      <c r="D13" s="1395" t="n"/>
      <c r="E13" s="1395" t="n"/>
      <c r="F13" s="1396" t="n"/>
      <c r="G13" s="1570" t="n"/>
      <c r="H13" s="798" t="n"/>
    </row>
    <row r="14" ht="24.75" customHeight="1" s="1225">
      <c r="A14" s="1690" t="n"/>
      <c r="B14" s="1395" t="n"/>
      <c r="C14" s="1395" t="n"/>
      <c r="D14" s="1395" t="n"/>
      <c r="E14" s="1395" t="n"/>
      <c r="F14" s="1396" t="n"/>
      <c r="G14" s="1570" t="n"/>
      <c r="H14" s="798" t="n"/>
    </row>
    <row r="15" ht="24.75" customHeight="1" s="1225">
      <c r="A15" s="1690" t="n"/>
      <c r="B15" s="1395" t="n"/>
      <c r="C15" s="1395" t="n"/>
      <c r="D15" s="1395" t="n"/>
      <c r="E15" s="1395" t="n"/>
      <c r="F15" s="1396" t="n"/>
      <c r="G15" s="1570" t="n"/>
      <c r="H15" s="798" t="n"/>
    </row>
    <row r="16" ht="24.75" customHeight="1" s="1225">
      <c r="A16" s="1690" t="n"/>
      <c r="B16" s="1395" t="n"/>
      <c r="C16" s="1395" t="n"/>
      <c r="D16" s="1395" t="n"/>
      <c r="E16" s="1395" t="n"/>
      <c r="F16" s="1396" t="n"/>
      <c r="G16" s="1570" t="n"/>
      <c r="H16" s="798" t="n"/>
    </row>
    <row r="17" ht="24.75" customHeight="1" s="1225">
      <c r="A17" s="1690" t="n"/>
      <c r="B17" s="1395" t="n"/>
      <c r="C17" s="1395" t="n"/>
      <c r="D17" s="1395" t="n"/>
      <c r="E17" s="1395" t="n"/>
      <c r="F17" s="1396" t="n"/>
      <c r="G17" s="1570" t="n"/>
      <c r="H17" s="798" t="n"/>
    </row>
    <row r="18" ht="24.75" customHeight="1" s="1225">
      <c r="A18" s="1690" t="n"/>
      <c r="B18" s="1395" t="n"/>
      <c r="C18" s="1395" t="n"/>
      <c r="D18" s="1395" t="n"/>
      <c r="E18" s="1395" t="n"/>
      <c r="F18" s="1396" t="n"/>
      <c r="G18" s="1570" t="n"/>
      <c r="H18" s="798" t="n"/>
    </row>
    <row r="19" ht="21" customHeight="1" s="1225">
      <c r="A19" s="1544" t="inlineStr">
        <is>
          <t>Passif éventuel</t>
        </is>
      </c>
      <c r="B19" s="1420" t="n"/>
      <c r="C19" s="1420" t="n"/>
      <c r="D19" s="1420" t="n"/>
      <c r="E19" s="1420" t="n"/>
      <c r="F19" s="1411" t="n"/>
      <c r="G19" s="1631">
        <f>SUM(G21:G28)</f>
        <v/>
      </c>
      <c r="H19" s="840">
        <f>SUM(H21:H28)</f>
        <v/>
      </c>
    </row>
    <row r="20" ht="16.5" customHeight="1" s="1225">
      <c r="A20" s="1672" t="inlineStr">
        <is>
          <t>Litiges</t>
        </is>
      </c>
      <c r="B20" s="1420" t="n"/>
      <c r="C20" s="1420" t="n"/>
      <c r="D20" s="1420" t="n"/>
      <c r="E20" s="1420" t="n"/>
      <c r="F20" s="1411" t="n"/>
      <c r="G20" s="109" t="n"/>
      <c r="H20" s="1585" t="n"/>
    </row>
    <row r="21" ht="24.75" customHeight="1" s="1225">
      <c r="A21" s="1690" t="n"/>
      <c r="B21" s="1395" t="n"/>
      <c r="C21" s="1395" t="n"/>
      <c r="D21" s="1395" t="n"/>
      <c r="E21" s="1395" t="n"/>
      <c r="F21" s="1396" t="n"/>
      <c r="G21" s="1570" t="n"/>
      <c r="H21" s="798" t="n"/>
    </row>
    <row r="22" ht="24.75" customHeight="1" s="1225">
      <c r="A22" s="1690" t="n"/>
      <c r="B22" s="1395" t="n"/>
      <c r="C22" s="1395" t="n"/>
      <c r="D22" s="1395" t="n"/>
      <c r="E22" s="1395" t="n"/>
      <c r="F22" s="1396" t="n"/>
      <c r="G22" s="1570" t="n"/>
      <c r="H22" s="798" t="n"/>
    </row>
    <row r="23" ht="24.75" customHeight="1" s="1225">
      <c r="A23" s="1690" t="n"/>
      <c r="B23" s="1395" t="n"/>
      <c r="C23" s="1395" t="n"/>
      <c r="D23" s="1395" t="n"/>
      <c r="E23" s="1395" t="n"/>
      <c r="F23" s="1396" t="n"/>
      <c r="G23" s="1570" t="n"/>
      <c r="H23" s="798" t="n"/>
    </row>
    <row r="24" ht="24.75" customHeight="1" s="1225">
      <c r="A24" s="1690" t="n"/>
      <c r="B24" s="1395" t="n"/>
      <c r="C24" s="1395" t="n"/>
      <c r="D24" s="1395" t="n"/>
      <c r="E24" s="1395" t="n"/>
      <c r="F24" s="1396" t="n"/>
      <c r="G24" s="1570" t="n"/>
      <c r="H24" s="798" t="n"/>
    </row>
    <row r="25" ht="24.75" customHeight="1" s="1225">
      <c r="A25" s="1690" t="n"/>
      <c r="B25" s="1395" t="n"/>
      <c r="C25" s="1395" t="n"/>
      <c r="D25" s="1395" t="n"/>
      <c r="E25" s="1395" t="n"/>
      <c r="F25" s="1396" t="n"/>
      <c r="G25" s="1570" t="n"/>
      <c r="H25" s="798" t="n"/>
    </row>
    <row r="26" ht="24.75" customHeight="1" s="1225">
      <c r="A26" s="1690" t="n"/>
      <c r="B26" s="1395" t="n"/>
      <c r="C26" s="1395" t="n"/>
      <c r="D26" s="1395" t="n"/>
      <c r="E26" s="1395" t="n"/>
      <c r="F26" s="1396" t="n"/>
      <c r="G26" s="1570" t="n"/>
      <c r="H26" s="798" t="n"/>
    </row>
    <row r="27" ht="24.75" customHeight="1" s="1225">
      <c r="A27" s="1690" t="n"/>
      <c r="B27" s="1395" t="n"/>
      <c r="C27" s="1395" t="n"/>
      <c r="D27" s="1395" t="n"/>
      <c r="E27" s="1395" t="n"/>
      <c r="F27" s="1396" t="n"/>
      <c r="G27" s="1570" t="n"/>
      <c r="H27" s="798" t="n"/>
    </row>
    <row r="28" ht="24.75" customHeight="1" s="1225" thickBot="1">
      <c r="A28" s="1692" t="n"/>
      <c r="B28" s="1389" t="n"/>
      <c r="C28" s="1389" t="n"/>
      <c r="D28" s="1389" t="n"/>
      <c r="E28" s="1389" t="n"/>
      <c r="F28" s="1416" t="n"/>
      <c r="G28" s="830" t="n"/>
      <c r="H28" s="831" t="n"/>
    </row>
    <row r="29" ht="14.25" customFormat="1" customHeight="1" s="1356">
      <c r="A29" s="559" t="inlineStr">
        <is>
          <t>Commentaire :</t>
        </is>
      </c>
    </row>
    <row r="30" ht="24.75" customFormat="1" customHeight="1" s="1356">
      <c r="A30" s="1691" t="inlineStr">
        <is>
          <t>●   Décrire les principales caractéristiques des actifs / passifs éventuels, l’horizon de temps auquel les encaissements / décaissements sont attendus et les éventuels remboursements à percevoir.</t>
        </is>
      </c>
    </row>
  </sheetData>
  <mergeCells count="29">
    <mergeCell ref="B4:F4"/>
    <mergeCell ref="A16:F16"/>
    <mergeCell ref="A30:H30"/>
    <mergeCell ref="G2:H2"/>
    <mergeCell ref="C5:D5"/>
    <mergeCell ref="A27:F27"/>
    <mergeCell ref="A12:F12"/>
    <mergeCell ref="A18:F18"/>
    <mergeCell ref="A1:H1"/>
    <mergeCell ref="A26:F26"/>
    <mergeCell ref="A21:F21"/>
    <mergeCell ref="A7:H7"/>
    <mergeCell ref="A14:F14"/>
    <mergeCell ref="A23:F23"/>
    <mergeCell ref="A8:F8"/>
    <mergeCell ref="A22:F22"/>
    <mergeCell ref="A17:F17"/>
    <mergeCell ref="A20:F20"/>
    <mergeCell ref="A10:F10"/>
    <mergeCell ref="A28:F28"/>
    <mergeCell ref="A13:F13"/>
    <mergeCell ref="A19:F19"/>
    <mergeCell ref="A9:F9"/>
    <mergeCell ref="C3:H3"/>
    <mergeCell ref="A15:F15"/>
    <mergeCell ref="C6:E6"/>
    <mergeCell ref="A24:F24"/>
    <mergeCell ref="A11:F11"/>
    <mergeCell ref="A25:F25"/>
  </mergeCells>
  <dataValidations count="1">
    <dataValidation sqref="G10:H18 G20:H28"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1"/>
</worksheet>
</file>

<file path=xl/worksheets/sheet43.xml><?xml version="1.0" encoding="utf-8"?>
<worksheet xmlns="http://schemas.openxmlformats.org/spreadsheetml/2006/main">
  <sheetPr codeName="Feuil42">
    <tabColor theme="4" tint="0.5999938962981048"/>
    <outlinePr summaryBelow="1" summaryRight="1"/>
    <pageSetUpPr fitToPage="1"/>
  </sheetPr>
  <dimension ref="A1:K22"/>
  <sheetViews>
    <sheetView showGridLines="0" topLeftCell="A10" workbookViewId="0">
      <selection activeCell="B14" sqref="B14"/>
    </sheetView>
  </sheetViews>
  <sheetFormatPr baseColWidth="10" defaultRowHeight="15"/>
  <cols>
    <col width="16.5703125" customWidth="1" style="1225" min="2" max="2"/>
    <col width="5.42578125" customWidth="1" style="1225" min="5" max="5"/>
    <col width="15.7109375" customWidth="1" style="1225" min="6" max="7"/>
    <col width="11.28515625" customWidth="1" style="1225" min="8" max="8"/>
    <col width="15.7109375" customWidth="1" style="1225" min="9" max="11"/>
  </cols>
  <sheetData>
    <row r="1">
      <c r="A1" s="1429" t="inlineStr">
        <is>
          <t>- 13 -</t>
        </is>
      </c>
    </row>
    <row r="2" ht="24.95" customHeight="1" s="1225">
      <c r="A2" s="1429" t="n"/>
      <c r="B2" s="1429" t="n"/>
      <c r="C2" s="1429" t="n"/>
      <c r="D2" s="1429" t="n"/>
      <c r="E2" s="1429" t="n"/>
      <c r="F2" s="1429" t="n"/>
      <c r="J2" s="1438" t="inlineStr">
        <is>
          <t>NOTE 17
SYSTEME NORMAL</t>
        </is>
      </c>
      <c r="K2" s="1411" t="n"/>
    </row>
    <row r="3" ht="15" customFormat="1" customHeight="1" s="1382">
      <c r="A3" s="1451" t="inlineStr">
        <is>
          <t>Dénomination sociale de l'entité :</t>
        </is>
      </c>
      <c r="B3" s="1451" t="n"/>
      <c r="C3" s="1276">
        <f>'NOTE 11'!C3</f>
        <v/>
      </c>
      <c r="D3" s="1277" t="n"/>
      <c r="E3" s="1277" t="n"/>
      <c r="F3" s="1277" t="n"/>
      <c r="G3" s="1277" t="n"/>
      <c r="H3" s="1277" t="n"/>
      <c r="I3" s="1277" t="n"/>
      <c r="J3" s="1277" t="n"/>
      <c r="K3" s="1277" t="n"/>
    </row>
    <row r="4" ht="15" customFormat="1" customHeight="1" s="1382">
      <c r="A4" s="1451" t="inlineStr">
        <is>
          <t>Adresse :</t>
        </is>
      </c>
      <c r="B4" s="1276">
        <f>'NOTE 11'!B4</f>
        <v/>
      </c>
      <c r="C4" s="1277" t="n"/>
      <c r="D4" s="1277" t="n"/>
      <c r="E4" s="1277" t="n"/>
      <c r="F4" s="1277" t="n"/>
      <c r="G4" s="1277" t="n"/>
      <c r="H4" s="1277" t="n"/>
      <c r="I4" s="1277" t="n"/>
      <c r="J4" s="1589" t="inlineStr">
        <is>
          <t>Sigle usuel :</t>
        </is>
      </c>
      <c r="K4" s="1276">
        <f>'NOTE 11'!I4</f>
        <v/>
      </c>
    </row>
    <row r="5" ht="15" customFormat="1" customHeight="1" s="1382">
      <c r="A5" s="1451" t="inlineStr">
        <is>
          <t>N° IFU :</t>
        </is>
      </c>
      <c r="B5" s="1451" t="n"/>
      <c r="C5" s="1276">
        <f>'NOTE 11'!C5</f>
        <v/>
      </c>
      <c r="D5" s="1277" t="n"/>
      <c r="E5" s="1277" t="n"/>
      <c r="F5" s="1457" t="inlineStr">
        <is>
          <t>Exercice clos le :</t>
        </is>
      </c>
      <c r="G5" s="1563">
        <f>'NOTE 11'!F5</f>
        <v/>
      </c>
      <c r="H5" s="1277" t="n"/>
      <c r="I5" s="1277" t="n"/>
      <c r="J5" s="1589" t="inlineStr">
        <is>
          <t>Durée (en mois) :</t>
        </is>
      </c>
      <c r="K5" s="1970">
        <f>'NOTE 11'!I5</f>
        <v/>
      </c>
    </row>
    <row r="6" ht="15" customFormat="1" customHeight="1" s="1382">
      <c r="A6" s="259" t="inlineStr">
        <is>
          <t xml:space="preserve">N° de télédéclarant (NES): </t>
        </is>
      </c>
      <c r="B6" s="1451" t="n"/>
      <c r="C6" s="1520">
        <f>'NOTE 11'!C6</f>
        <v/>
      </c>
      <c r="D6" s="1521" t="n"/>
      <c r="E6" s="1521" t="n"/>
      <c r="F6" s="253" t="n"/>
      <c r="G6" s="1970" t="n"/>
      <c r="H6" s="1970" t="n"/>
      <c r="I6" s="1970" t="n"/>
      <c r="J6" s="254" t="n"/>
      <c r="K6" s="1970" t="n"/>
    </row>
    <row r="7" ht="35.1" customHeight="1" s="1225" thickBot="1">
      <c r="A7" s="1341" t="inlineStr">
        <is>
          <t>NOTE 17 : FOURNISSEURS D'EXPLOITATION</t>
        </is>
      </c>
    </row>
    <row r="8" ht="60" customHeight="1" s="1225">
      <c r="A8" s="1667" t="inlineStr">
        <is>
          <t>Libellés</t>
        </is>
      </c>
      <c r="B8" s="1509" t="n"/>
      <c r="C8" s="1509" t="n"/>
      <c r="D8" s="1509" t="n"/>
      <c r="E8" s="1562" t="n"/>
      <c r="F8" s="1750" t="inlineStr">
        <is>
          <t>Année N</t>
        </is>
      </c>
      <c r="G8" s="1750" t="inlineStr">
        <is>
          <t>Année N-1</t>
        </is>
      </c>
      <c r="H8" s="1750" t="inlineStr">
        <is>
          <t>Variation
en %</t>
        </is>
      </c>
      <c r="I8" s="1750" t="inlineStr">
        <is>
          <t>Dettes à un
an au plus</t>
        </is>
      </c>
      <c r="J8" s="1750" t="inlineStr">
        <is>
          <t>Dettes à plus
d'un an et à
deux ans
au plus</t>
        </is>
      </c>
      <c r="K8" s="1751" t="inlineStr">
        <is>
          <t>Dettes à plus
de deux ans</t>
        </is>
      </c>
    </row>
    <row r="9" ht="23.25" customHeight="1" s="1225">
      <c r="A9" s="1512" t="inlineStr">
        <is>
          <t>Fournisseurs dettes en compte (hors groupe)</t>
        </is>
      </c>
      <c r="B9" s="1420" t="n"/>
      <c r="C9" s="1420" t="n"/>
      <c r="D9" s="1420" t="n"/>
      <c r="E9" s="1411" t="n"/>
      <c r="F9" s="1570" t="n"/>
      <c r="G9" s="1570" t="n"/>
      <c r="H9" s="416" t="n"/>
      <c r="I9" s="1570" t="n"/>
      <c r="J9" s="1570" t="n"/>
      <c r="K9" s="798" t="n"/>
    </row>
    <row r="10" ht="23.25" customHeight="1" s="1225">
      <c r="A10" s="1512" t="inlineStr">
        <is>
          <t>Fournisseurs effets à payer (hors groupe)</t>
        </is>
      </c>
      <c r="B10" s="1420" t="n"/>
      <c r="C10" s="1420" t="n"/>
      <c r="D10" s="1420" t="n"/>
      <c r="E10" s="1411" t="n"/>
      <c r="F10" s="1570" t="n"/>
      <c r="G10" s="1570" t="n"/>
      <c r="H10" s="416" t="n"/>
      <c r="I10" s="1570" t="n"/>
      <c r="J10" s="1570" t="n"/>
      <c r="K10" s="798" t="n"/>
    </row>
    <row r="11" ht="23.25" customHeight="1" s="1225">
      <c r="A11" s="1512" t="inlineStr">
        <is>
          <t>Fournisseurs, dettes et effets à payer groupe</t>
        </is>
      </c>
      <c r="B11" s="1420" t="n"/>
      <c r="C11" s="1420" t="n"/>
      <c r="D11" s="1420" t="n"/>
      <c r="E11" s="1411" t="n"/>
      <c r="F11" s="1570" t="n"/>
      <c r="G11" s="1570" t="n"/>
      <c r="H11" s="416" t="n"/>
      <c r="I11" s="1570" t="n"/>
      <c r="J11" s="1570" t="n"/>
      <c r="K11" s="798" t="n"/>
    </row>
    <row r="12" ht="23.25" customHeight="1" s="1225">
      <c r="A12" s="1512" t="inlineStr">
        <is>
          <t>Fournisseurs factures non parvenues (hors groupe)</t>
        </is>
      </c>
      <c r="B12" s="1420" t="n"/>
      <c r="C12" s="1420" t="n"/>
      <c r="D12" s="1420" t="n"/>
      <c r="E12" s="1411" t="n"/>
      <c r="F12" s="1570" t="n"/>
      <c r="G12" s="1570" t="n"/>
      <c r="H12" s="416" t="n"/>
      <c r="I12" s="1570" t="n"/>
      <c r="J12" s="1570" t="n"/>
      <c r="K12" s="798" t="n"/>
    </row>
    <row r="13" ht="23.25" customHeight="1" s="1225">
      <c r="A13" s="1512" t="inlineStr">
        <is>
          <t>Fournisseurs factures non parvenues groupe</t>
        </is>
      </c>
      <c r="B13" s="1420" t="n"/>
      <c r="C13" s="1420" t="n"/>
      <c r="D13" s="1420" t="n"/>
      <c r="E13" s="1411" t="n"/>
      <c r="F13" s="1570" t="n"/>
      <c r="G13" s="1570" t="n"/>
      <c r="H13" s="416">
        <f>IF(G13,(F13-G13)/G13,IF(ISBLANK(G13),"",IF(F13,IF( F13 &gt; 0,1,-1),"")))</f>
        <v/>
      </c>
      <c r="I13" s="1570" t="n"/>
      <c r="J13" s="1570" t="n"/>
      <c r="K13" s="798" t="n"/>
    </row>
    <row r="14" ht="23.25" customHeight="1" s="1225">
      <c r="A14" s="1544" t="inlineStr">
        <is>
          <t>TOTAL FOURNISSEURS</t>
        </is>
      </c>
      <c r="B14" s="1420" t="n"/>
      <c r="C14" s="1420" t="n"/>
      <c r="D14" s="1420" t="n"/>
      <c r="E14" s="1411" t="n"/>
      <c r="F14" s="1631">
        <f>SUM(F9:F13)</f>
        <v/>
      </c>
      <c r="G14" s="1631">
        <f>SUM(G9:G13)</f>
        <v/>
      </c>
      <c r="H14" s="417">
        <f>IF(G14,(F14-G14)/G14,IF(ISBLANK(G14),"",IF(F14,IF( F14 &gt; 0,1,-1),"")))</f>
        <v/>
      </c>
      <c r="I14" s="1631">
        <f>SUM(I9:I13)</f>
        <v/>
      </c>
      <c r="J14" s="1631">
        <f>SUM(J9:J13)</f>
        <v/>
      </c>
      <c r="K14" s="840">
        <f>SUM(K9:K13)</f>
        <v/>
      </c>
    </row>
    <row r="15" ht="23.25" customHeight="1" s="1225">
      <c r="A15" s="1512" t="inlineStr">
        <is>
          <t>Fournisseurs, avances et acomptes (hors groupe)</t>
        </is>
      </c>
      <c r="B15" s="1420" t="n"/>
      <c r="C15" s="1420" t="n"/>
      <c r="D15" s="1420" t="n"/>
      <c r="E15" s="1411" t="n"/>
      <c r="F15" s="1570">
        <f>+BILAN!F30</f>
        <v/>
      </c>
      <c r="G15" s="1570" t="n"/>
      <c r="H15" s="416" t="n"/>
      <c r="I15" s="1570" t="n"/>
      <c r="J15" s="1570" t="n"/>
      <c r="K15" s="798" t="n"/>
    </row>
    <row r="16" ht="23.25" customHeight="1" s="1225">
      <c r="A16" s="1512" t="inlineStr">
        <is>
          <t>Fournisseurs, avances et acomptes groupe</t>
        </is>
      </c>
      <c r="B16" s="1420" t="n"/>
      <c r="C16" s="1420" t="n"/>
      <c r="D16" s="1420" t="n"/>
      <c r="E16" s="1411" t="n"/>
      <c r="F16" s="1570" t="n"/>
      <c r="G16" s="1570" t="n"/>
      <c r="H16" s="416">
        <f>IF(G16,(F16-G16)/G16,IF(ISBLANK(G16),"",IF(F16,IF( F16 &gt; 0,1,-1),"")))</f>
        <v/>
      </c>
      <c r="I16" s="1570" t="n"/>
      <c r="J16" s="1570" t="n"/>
      <c r="K16" s="798" t="n"/>
    </row>
    <row r="17" ht="23.25" customHeight="1" s="1225">
      <c r="A17" s="1512" t="inlineStr">
        <is>
          <t>Autres fournisseurs débiteurs</t>
        </is>
      </c>
      <c r="B17" s="1420" t="n"/>
      <c r="C17" s="1420" t="n"/>
      <c r="D17" s="1420" t="n"/>
      <c r="E17" s="1411" t="n"/>
      <c r="F17" s="1570" t="n">
        <v>0</v>
      </c>
      <c r="G17" s="1570" t="n"/>
      <c r="H17" s="416">
        <f>IF(G17,(F17-G17)/G17,IF(ISBLANK(G17),"",IF(F17,IF( F17 &gt; 0,1,-1),"")))</f>
        <v/>
      </c>
      <c r="I17" s="1570" t="n"/>
      <c r="J17" s="1570" t="n"/>
      <c r="K17" s="798" t="n"/>
    </row>
    <row r="18" ht="23.25" customHeight="1" s="1225" thickBot="1">
      <c r="A18" s="1629" t="inlineStr">
        <is>
          <t>TOTAL FOURNISSEURS DEBITEURS</t>
        </is>
      </c>
      <c r="B18" s="1527" t="n"/>
      <c r="C18" s="1527" t="n"/>
      <c r="D18" s="1527" t="n"/>
      <c r="E18" s="1528" t="n"/>
      <c r="F18" s="1628">
        <f>SUM(F15:F17)</f>
        <v/>
      </c>
      <c r="G18" s="1628">
        <f>SUM(G15:G17)</f>
        <v/>
      </c>
      <c r="H18" s="842">
        <f>IF(G18,(F18-G18)/G18,IF(ISBLANK(G18),"",IF(F18,IF( F18 &gt; 0,1,-1),"")))</f>
        <v/>
      </c>
      <c r="I18" s="1628">
        <f>SUM(I15:I17)</f>
        <v/>
      </c>
      <c r="J18" s="1628">
        <f>SUM(J15:J17)</f>
        <v/>
      </c>
      <c r="K18" s="843">
        <f>SUM(K15:K17)</f>
        <v/>
      </c>
    </row>
    <row r="19">
      <c r="A19" s="559" t="inlineStr">
        <is>
          <t>Commentaire:</t>
        </is>
      </c>
      <c r="B19" s="1356" t="n"/>
    </row>
    <row r="20" ht="12" customHeight="1" s="1225">
      <c r="A20" s="618" t="inlineStr">
        <is>
          <t>●   Commenter toutes variations significatives.</t>
        </is>
      </c>
      <c r="B20" s="1356" t="n"/>
    </row>
    <row r="21" ht="12" customHeight="1" s="1225">
      <c r="A21" s="618" t="inlineStr">
        <is>
          <t>●   Indiquer pour les dettes du groupe le nom de la société du groupe et le % de titres détenus.</t>
        </is>
      </c>
      <c r="B21" s="1356" t="n"/>
    </row>
    <row r="22" ht="12" customHeight="1" s="1225">
      <c r="A22" s="618" t="inlineStr">
        <is>
          <t>●   Commenter les dettes anciennes.</t>
        </is>
      </c>
      <c r="B22" s="1356" t="n"/>
    </row>
  </sheetData>
  <mergeCells count="19">
    <mergeCell ref="A15:E15"/>
    <mergeCell ref="A11:E11"/>
    <mergeCell ref="A1:K1"/>
    <mergeCell ref="A16:E16"/>
    <mergeCell ref="G5:I5"/>
    <mergeCell ref="A7:K7"/>
    <mergeCell ref="A18:E18"/>
    <mergeCell ref="A12:E12"/>
    <mergeCell ref="C3:K3"/>
    <mergeCell ref="A8:E8"/>
    <mergeCell ref="A14:E14"/>
    <mergeCell ref="A17:E17"/>
    <mergeCell ref="C6:E6"/>
    <mergeCell ref="C5:E5"/>
    <mergeCell ref="J2:K2"/>
    <mergeCell ref="A10:E10"/>
    <mergeCell ref="A13:E13"/>
    <mergeCell ref="A9:E9"/>
    <mergeCell ref="B4:I4"/>
  </mergeCells>
  <dataValidations count="1">
    <dataValidation sqref="F9:G13 F15:G17 I9:K13 I15:K17"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6"/>
</worksheet>
</file>

<file path=xl/worksheets/sheet44.xml><?xml version="1.0" encoding="utf-8"?>
<worksheet xmlns="http://schemas.openxmlformats.org/spreadsheetml/2006/main">
  <sheetPr codeName="Feuil43">
    <tabColor theme="4" tint="0.5999938962981048"/>
    <outlinePr summaryBelow="1" summaryRight="1"/>
    <pageSetUpPr fitToPage="1"/>
  </sheetPr>
  <dimension ref="A1:K25"/>
  <sheetViews>
    <sheetView showGridLines="0" topLeftCell="A12" workbookViewId="0">
      <selection activeCell="B14" sqref="B14"/>
    </sheetView>
  </sheetViews>
  <sheetFormatPr baseColWidth="10" defaultRowHeight="15"/>
  <cols>
    <col width="16.5703125" customWidth="1" style="1225" min="2" max="2"/>
    <col width="15.28515625" customWidth="1" style="1225" min="5" max="7"/>
    <col width="11.140625" customWidth="1" style="1225" min="8" max="8"/>
    <col width="15.28515625" customWidth="1" style="1225" min="9" max="11"/>
  </cols>
  <sheetData>
    <row r="1">
      <c r="A1" s="1429" t="inlineStr">
        <is>
          <t>- 0 -</t>
        </is>
      </c>
    </row>
    <row r="2" ht="24.95" customHeight="1" s="1225">
      <c r="A2" s="1429" t="n"/>
      <c r="B2" s="1429" t="n"/>
      <c r="C2" s="1429" t="n"/>
      <c r="D2" s="1429" t="n"/>
      <c r="E2" s="1429" t="n"/>
      <c r="F2" s="1429" t="n"/>
      <c r="G2" s="1429" t="n"/>
      <c r="J2" s="1438" t="inlineStr">
        <is>
          <t>NOTE 18
SYSTEME NORMAL</t>
        </is>
      </c>
      <c r="K2" s="1411" t="n"/>
    </row>
    <row r="3" ht="15" customFormat="1" customHeight="1" s="1382">
      <c r="A3" s="1451" t="inlineStr">
        <is>
          <t>Dénomination sociale de l'entité :</t>
        </is>
      </c>
      <c r="B3" s="1451" t="n"/>
      <c r="C3" s="1276">
        <f>'NOTE 11'!C3</f>
        <v/>
      </c>
      <c r="D3" s="1277" t="n"/>
      <c r="E3" s="1277" t="n"/>
      <c r="F3" s="1277" t="n"/>
      <c r="G3" s="1277" t="n"/>
      <c r="H3" s="1277" t="n"/>
      <c r="I3" s="1277" t="n"/>
      <c r="J3" s="1277" t="n"/>
      <c r="K3" s="1277" t="n"/>
    </row>
    <row r="4" ht="15" customFormat="1" customHeight="1" s="1382">
      <c r="A4" s="1451" t="inlineStr">
        <is>
          <t>Adresse :</t>
        </is>
      </c>
      <c r="B4" s="1276">
        <f>'NOTE 11'!B4</f>
        <v/>
      </c>
      <c r="C4" s="1277" t="n"/>
      <c r="D4" s="1277" t="n"/>
      <c r="E4" s="1277" t="n"/>
      <c r="F4" s="1277" t="n"/>
      <c r="G4" s="1277" t="n"/>
      <c r="H4" s="1277" t="n"/>
      <c r="I4" s="1277" t="n"/>
      <c r="J4" s="1589" t="inlineStr">
        <is>
          <t>Sigle usuel :</t>
        </is>
      </c>
      <c r="K4" s="1798">
        <f>'NOTE 11'!I4</f>
        <v/>
      </c>
    </row>
    <row r="5" ht="15" customFormat="1" customHeight="1" s="1382">
      <c r="A5" s="1451" t="inlineStr">
        <is>
          <t>N° IFU :</t>
        </is>
      </c>
      <c r="B5" s="1451" t="n"/>
      <c r="C5" s="1276">
        <f>'NOTE 11'!C5</f>
        <v/>
      </c>
      <c r="D5" s="1277" t="n"/>
      <c r="E5" s="1277" t="n"/>
      <c r="F5" s="1277" t="n"/>
      <c r="G5" s="1457" t="inlineStr">
        <is>
          <t>Exercice clos le :</t>
        </is>
      </c>
      <c r="H5" s="1563">
        <f>'NOTE 11'!F5</f>
        <v/>
      </c>
      <c r="I5" s="1277" t="n"/>
      <c r="J5" s="1589" t="inlineStr">
        <is>
          <t>Durée (en mois) :</t>
        </is>
      </c>
      <c r="K5" s="1970">
        <f>'NOTE 11'!I5</f>
        <v/>
      </c>
    </row>
    <row r="6" ht="15" customFormat="1" customHeight="1" s="1382">
      <c r="A6" s="259" t="inlineStr">
        <is>
          <t xml:space="preserve">N° de télédéclarant (NES): </t>
        </is>
      </c>
      <c r="B6" s="1451" t="n"/>
      <c r="C6" s="1520">
        <f>'NOTE 11'!C6</f>
        <v/>
      </c>
      <c r="D6" s="1521" t="n"/>
      <c r="E6" s="1521" t="n"/>
      <c r="F6" s="1521" t="n"/>
      <c r="G6" s="253" t="n"/>
      <c r="H6" s="1970" t="n"/>
      <c r="I6" s="1970" t="n"/>
      <c r="J6" s="254" t="n"/>
      <c r="K6" s="1970" t="n"/>
    </row>
    <row r="7" ht="35.1" customHeight="1" s="1225" thickBot="1">
      <c r="A7" s="1341" t="inlineStr">
        <is>
          <t>NOTE 18 : DETTES FISCALES ET SOCIALES</t>
        </is>
      </c>
    </row>
    <row r="8" ht="58.5" customHeight="1" s="1225">
      <c r="A8" s="1667" t="inlineStr">
        <is>
          <t>Libellés</t>
        </is>
      </c>
      <c r="B8" s="1509" t="n"/>
      <c r="C8" s="1509" t="n"/>
      <c r="D8" s="1562" t="n"/>
      <c r="E8" s="1750" t="inlineStr">
        <is>
          <t>Année N</t>
        </is>
      </c>
      <c r="F8" s="1750" t="inlineStr">
        <is>
          <t>Année N-1</t>
        </is>
      </c>
      <c r="G8" s="1750" t="inlineStr">
        <is>
          <t>Variation en
valeur absolue</t>
        </is>
      </c>
      <c r="H8" s="1750" t="inlineStr">
        <is>
          <t>Variation
en %</t>
        </is>
      </c>
      <c r="I8" s="1750" t="inlineStr">
        <is>
          <t>Dettes à un an
au plus</t>
        </is>
      </c>
      <c r="J8" s="1750" t="inlineStr">
        <is>
          <t>Dettes à plus
d'un an et à
deux ans au plus</t>
        </is>
      </c>
      <c r="K8" s="1751" t="inlineStr">
        <is>
          <t>Dettes à plus
de deux ans</t>
        </is>
      </c>
    </row>
    <row r="9" ht="21" customHeight="1" s="1225">
      <c r="A9" s="1512" t="inlineStr">
        <is>
          <t>Personnel avances et acomptes</t>
        </is>
      </c>
      <c r="B9" s="1420" t="n"/>
      <c r="C9" s="1420" t="n"/>
      <c r="D9" s="1411" t="n"/>
      <c r="E9" s="1570" t="n"/>
      <c r="F9" s="1570" t="n"/>
      <c r="G9" s="109" t="n"/>
      <c r="H9" s="416" t="n"/>
      <c r="I9" s="1570" t="n"/>
      <c r="J9" s="1570" t="n"/>
      <c r="K9" s="798" t="n"/>
    </row>
    <row r="10" ht="21" customHeight="1" s="1225">
      <c r="A10" s="1512" t="inlineStr">
        <is>
          <t>Personnel rémunérations dues</t>
        </is>
      </c>
      <c r="B10" s="1420" t="n"/>
      <c r="C10" s="1420" t="n"/>
      <c r="D10" s="1411" t="n"/>
      <c r="E10" s="1570" t="n"/>
      <c r="F10" s="1570" t="n"/>
      <c r="G10" s="109" t="n"/>
      <c r="H10" s="416" t="n"/>
      <c r="I10" s="1570" t="n"/>
      <c r="J10" s="1570" t="n"/>
      <c r="K10" s="798" t="n"/>
    </row>
    <row r="11" ht="21" customHeight="1" s="1225">
      <c r="A11" s="1512" t="inlineStr">
        <is>
          <t>Autres personnel</t>
        </is>
      </c>
      <c r="B11" s="1420" t="n"/>
      <c r="C11" s="1420" t="n"/>
      <c r="D11" s="1411" t="n"/>
      <c r="E11" s="1570" t="n"/>
      <c r="F11" s="1570" t="n"/>
      <c r="G11" s="109" t="n"/>
      <c r="H11" s="416" t="n"/>
      <c r="I11" s="1570" t="n"/>
      <c r="J11" s="1570" t="n"/>
      <c r="K11" s="798" t="n"/>
    </row>
    <row r="12" ht="21" customHeight="1" s="1225">
      <c r="A12" s="1512" t="inlineStr">
        <is>
          <t>Caisse de sécurité sociale</t>
        </is>
      </c>
      <c r="B12" s="1420" t="n"/>
      <c r="C12" s="1420" t="n"/>
      <c r="D12" s="1411" t="n"/>
      <c r="E12" s="1570" t="n"/>
      <c r="F12" s="1570" t="n"/>
      <c r="G12" s="109" t="n"/>
      <c r="H12" s="416" t="n"/>
      <c r="I12" s="1570" t="n"/>
      <c r="J12" s="1570" t="n"/>
      <c r="K12" s="798" t="n"/>
    </row>
    <row r="13" ht="21" customHeight="1" s="1225">
      <c r="A13" s="1512" t="inlineStr">
        <is>
          <t>Caisse de retraite</t>
        </is>
      </c>
      <c r="B13" s="1420" t="n"/>
      <c r="C13" s="1420" t="n"/>
      <c r="D13" s="1411" t="n"/>
      <c r="E13" s="1570" t="n"/>
      <c r="F13" s="1570" t="n"/>
      <c r="G13" s="109" t="n"/>
      <c r="H13" s="416" t="n"/>
      <c r="I13" s="1570" t="n"/>
      <c r="J13" s="1570" t="n"/>
      <c r="K13" s="798" t="n"/>
    </row>
    <row r="14" ht="21" customHeight="1" s="1225">
      <c r="A14" s="1512" t="inlineStr">
        <is>
          <t>Autres organismes sociaux</t>
        </is>
      </c>
      <c r="B14" s="1420" t="n"/>
      <c r="C14" s="1420" t="n"/>
      <c r="D14" s="1411" t="n"/>
      <c r="E14" s="1570" t="n"/>
      <c r="F14" s="1570" t="n"/>
      <c r="G14" s="109" t="n"/>
      <c r="H14" s="416" t="n"/>
      <c r="I14" s="1570" t="n"/>
      <c r="J14" s="1570" t="n"/>
      <c r="K14" s="798" t="n"/>
    </row>
    <row r="15" ht="21" customHeight="1" s="1225">
      <c r="A15" s="1525" t="inlineStr">
        <is>
          <t>TOTAL DETTES SOCIALES</t>
        </is>
      </c>
      <c r="B15" s="1420" t="n"/>
      <c r="C15" s="1420" t="n"/>
      <c r="D15" s="1411" t="n"/>
      <c r="E15" s="1574" t="n"/>
      <c r="F15" s="1574" t="n"/>
      <c r="G15" s="1574" t="n"/>
      <c r="H15" s="417" t="n"/>
      <c r="I15" s="1574">
        <f>SUM(I9:I14)</f>
        <v/>
      </c>
      <c r="J15" s="1574">
        <f>SUM(J9:J14)</f>
        <v/>
      </c>
      <c r="K15" s="1586">
        <f>SUM(K9:K14)</f>
        <v/>
      </c>
    </row>
    <row r="16" ht="21" customHeight="1" s="1225">
      <c r="A16" s="1512" t="inlineStr">
        <is>
          <t>Etat, impôts sur les bénéfices</t>
        </is>
      </c>
      <c r="B16" s="1420" t="n"/>
      <c r="C16" s="1420" t="n"/>
      <c r="D16" s="1411" t="n"/>
      <c r="E16" s="1570" t="n"/>
      <c r="F16" s="1570" t="n"/>
      <c r="G16" s="109" t="n"/>
      <c r="H16" s="416" t="n"/>
      <c r="I16" s="1570" t="n"/>
      <c r="J16" s="1570" t="n"/>
      <c r="K16" s="798" t="n"/>
    </row>
    <row r="17" ht="21" customHeight="1" s="1225">
      <c r="A17" s="1512" t="inlineStr">
        <is>
          <t>Etat, impôts et taxes</t>
        </is>
      </c>
      <c r="B17" s="1420" t="n"/>
      <c r="C17" s="1420" t="n"/>
      <c r="D17" s="1411" t="n"/>
      <c r="E17" s="1570" t="n"/>
      <c r="F17" s="1570" t="n"/>
      <c r="G17" s="109" t="n"/>
      <c r="H17" s="416" t="n"/>
      <c r="I17" s="1570" t="n"/>
      <c r="J17" s="1570" t="n"/>
      <c r="K17" s="798" t="n"/>
    </row>
    <row r="18" ht="21" customHeight="1" s="1225">
      <c r="A18" s="1512" t="inlineStr">
        <is>
          <t>Etat, TVA</t>
        </is>
      </c>
      <c r="B18" s="1420" t="n"/>
      <c r="C18" s="1420" t="n"/>
      <c r="D18" s="1411" t="n"/>
      <c r="E18" s="1570" t="n"/>
      <c r="F18" s="1570" t="n"/>
      <c r="G18" s="109" t="n"/>
      <c r="H18" s="416" t="n"/>
      <c r="I18" s="1570" t="n"/>
      <c r="J18" s="1570" t="n"/>
      <c r="K18" s="798" t="n"/>
    </row>
    <row r="19" ht="21" customHeight="1" s="1225">
      <c r="A19" s="1512" t="inlineStr">
        <is>
          <t>Etat, impôts retenus à la source</t>
        </is>
      </c>
      <c r="B19" s="1420" t="n"/>
      <c r="C19" s="1420" t="n"/>
      <c r="D19" s="1411" t="n"/>
      <c r="E19" s="1570" t="n"/>
      <c r="F19" s="1570" t="n"/>
      <c r="G19" s="109" t="n"/>
      <c r="H19" s="416" t="n"/>
      <c r="I19" s="1570" t="n"/>
      <c r="J19" s="1570" t="n"/>
      <c r="K19" s="798" t="n"/>
    </row>
    <row r="20" ht="21" customHeight="1" s="1225">
      <c r="A20" s="1512" t="inlineStr">
        <is>
          <t>Autres dettes Etat</t>
        </is>
      </c>
      <c r="B20" s="1420" t="n"/>
      <c r="C20" s="1420" t="n"/>
      <c r="D20" s="1411" t="n"/>
      <c r="E20" s="1570" t="n"/>
      <c r="F20" s="1570" t="n"/>
      <c r="G20" s="109" t="n"/>
      <c r="H20" s="416" t="n"/>
      <c r="I20" s="1570" t="n"/>
      <c r="J20" s="1570" t="n"/>
      <c r="K20" s="798" t="n"/>
    </row>
    <row r="21" ht="21" customHeight="1" s="1225">
      <c r="A21" s="1525" t="inlineStr">
        <is>
          <t>TOTAL DETTES FISCALES</t>
        </is>
      </c>
      <c r="B21" s="1420" t="n"/>
      <c r="C21" s="1420" t="n"/>
      <c r="D21" s="1411" t="n"/>
      <c r="E21" s="1574">
        <f>SUM(E16:E20)</f>
        <v/>
      </c>
      <c r="F21" s="1574">
        <f>SUM(F16:F20)</f>
        <v/>
      </c>
      <c r="G21" s="1574">
        <f>SUM(G16:G20)</f>
        <v/>
      </c>
      <c r="H21" s="417">
        <f>IF(F21,(E21-F21)/F21,IF(ISBLANK(F21),"",IF(E21,IF( E21 &gt; 0,1,-1),"")))</f>
        <v/>
      </c>
      <c r="I21" s="1574">
        <f>SUM(I16:I20)</f>
        <v/>
      </c>
      <c r="J21" s="1574">
        <f>SUM(J16:J20)</f>
        <v/>
      </c>
      <c r="K21" s="1586">
        <f>SUM(K16:K20)</f>
        <v/>
      </c>
    </row>
    <row r="22" ht="21" customHeight="1" s="1225" thickBot="1">
      <c r="A22" s="1679" t="inlineStr">
        <is>
          <t>TOTAL DETTES SOCIALES ET FISCALES</t>
        </is>
      </c>
      <c r="B22" s="1527" t="n"/>
      <c r="C22" s="1527" t="n"/>
      <c r="D22" s="1528" t="n"/>
      <c r="E22" s="871">
        <f>E15+E21</f>
        <v/>
      </c>
      <c r="F22" s="871">
        <f>F15+F21</f>
        <v/>
      </c>
      <c r="G22" s="871">
        <f>G15+G21</f>
        <v/>
      </c>
      <c r="H22" s="873">
        <f>IF(F22,(E22-F22)/F22,IF(ISBLANK(F22),"",IF(E22,IF( E22 &gt; 0,1,-1),"")))</f>
        <v/>
      </c>
      <c r="I22" s="871">
        <f>I15+I21</f>
        <v/>
      </c>
      <c r="J22" s="871">
        <f>J15+J21</f>
        <v/>
      </c>
      <c r="K22" s="874">
        <f>K15+K21</f>
        <v/>
      </c>
    </row>
    <row r="23" ht="16.5" customFormat="1" customHeight="1" s="1356">
      <c r="A23" s="559" t="inlineStr">
        <is>
          <t>Commentaire:</t>
        </is>
      </c>
    </row>
    <row r="24" ht="10.15" customFormat="1" customHeight="1" s="1356">
      <c r="A24" s="618" t="inlineStr">
        <is>
          <t>●   Commenter toute variation significative.</t>
        </is>
      </c>
      <c r="E24" s="1101" t="n"/>
    </row>
    <row r="25" ht="10.15" customFormat="1" customHeight="1" s="1356">
      <c r="A25" s="618" t="inlineStr">
        <is>
          <t>●   Commenter les dettes anciennes</t>
        </is>
      </c>
    </row>
  </sheetData>
  <mergeCells count="23">
    <mergeCell ref="A17:D17"/>
    <mergeCell ref="A8:D8"/>
    <mergeCell ref="A22:D22"/>
    <mergeCell ref="A20:D20"/>
    <mergeCell ref="A19:D19"/>
    <mergeCell ref="A10:D10"/>
    <mergeCell ref="A1:K1"/>
    <mergeCell ref="A13:D13"/>
    <mergeCell ref="A9:D9"/>
    <mergeCell ref="A7:K7"/>
    <mergeCell ref="C6:F6"/>
    <mergeCell ref="A15:D15"/>
    <mergeCell ref="A11:D11"/>
    <mergeCell ref="C5:F5"/>
    <mergeCell ref="C3:K3"/>
    <mergeCell ref="A16:D16"/>
    <mergeCell ref="A18:D18"/>
    <mergeCell ref="A12:D12"/>
    <mergeCell ref="J2:K2"/>
    <mergeCell ref="A21:D21"/>
    <mergeCell ref="H5:I5"/>
    <mergeCell ref="B4:I4"/>
    <mergeCell ref="A14:D14"/>
  </mergeCells>
  <dataValidations count="1">
    <dataValidation sqref="E9:F14 E16:F20 I9:K14 I16:K20"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1"/>
</worksheet>
</file>

<file path=xl/worksheets/sheet45.xml><?xml version="1.0" encoding="utf-8"?>
<worksheet xmlns="http://schemas.openxmlformats.org/spreadsheetml/2006/main">
  <sheetPr codeName="Feuil44">
    <tabColor theme="4" tint="0.5999938962981048"/>
    <outlinePr summaryBelow="1" summaryRight="1"/>
    <pageSetUpPr fitToPage="1"/>
  </sheetPr>
  <dimension ref="A1:K34"/>
  <sheetViews>
    <sheetView showGridLines="0" topLeftCell="A19" workbookViewId="0">
      <selection activeCell="B14" sqref="B14"/>
    </sheetView>
  </sheetViews>
  <sheetFormatPr baseColWidth="10" defaultRowHeight="15"/>
  <cols>
    <col width="15.7109375" customWidth="1" style="1225" min="1" max="1"/>
    <col width="16.7109375" customWidth="1" style="1225" min="2" max="2"/>
    <col width="12.5703125" customWidth="1" style="1225" min="4" max="4"/>
    <col width="15.140625" customWidth="1" style="1225" min="5" max="6"/>
    <col width="13.140625" customWidth="1" style="1225" min="7" max="7"/>
    <col width="11.28515625" customWidth="1" style="1225" min="8" max="8"/>
    <col width="14.5703125" customWidth="1" style="1225" min="9" max="11"/>
  </cols>
  <sheetData>
    <row r="1">
      <c r="A1" s="1429" t="inlineStr">
        <is>
          <t>- 14 -</t>
        </is>
      </c>
    </row>
    <row r="2" ht="24.95" customHeight="1" s="1225">
      <c r="A2" s="1429" t="n"/>
      <c r="B2" s="1429" t="n"/>
      <c r="C2" s="1429" t="n"/>
      <c r="D2" s="1429" t="n"/>
      <c r="E2" s="1429" t="n"/>
      <c r="F2" s="1429" t="n"/>
      <c r="G2" s="1429" t="n"/>
      <c r="J2" s="1438" t="inlineStr">
        <is>
          <t>NOTE 19
SYSTEME NORMAL</t>
        </is>
      </c>
      <c r="K2" s="1411" t="n"/>
    </row>
    <row r="3" ht="15" customFormat="1" customHeight="1" s="1382">
      <c r="A3" s="1451" t="inlineStr">
        <is>
          <t>Dénomination sociale de l'entité :</t>
        </is>
      </c>
      <c r="B3" s="1451" t="n"/>
      <c r="C3" s="1276">
        <f>'NOTE 11'!C3</f>
        <v/>
      </c>
      <c r="D3" s="1277" t="n"/>
      <c r="E3" s="1277" t="n"/>
      <c r="F3" s="1277" t="n"/>
      <c r="G3" s="1277" t="n"/>
      <c r="H3" s="1277" t="n"/>
      <c r="I3" s="1277" t="n"/>
      <c r="J3" s="1277" t="n"/>
      <c r="K3" s="1277" t="n"/>
    </row>
    <row r="4" ht="15" customFormat="1" customHeight="1" s="1382">
      <c r="A4" s="1451" t="inlineStr">
        <is>
          <t>Adresse :</t>
        </is>
      </c>
      <c r="B4" s="1276">
        <f>'NOTE 11'!B4</f>
        <v/>
      </c>
      <c r="C4" s="1277" t="n"/>
      <c r="D4" s="1277" t="n"/>
      <c r="E4" s="1277" t="n"/>
      <c r="F4" s="1277" t="n"/>
      <c r="G4" s="1277" t="n"/>
      <c r="H4" s="1277" t="n"/>
      <c r="I4" s="1277" t="n"/>
      <c r="J4" s="1589" t="inlineStr">
        <is>
          <t>Sigle usuel :</t>
        </is>
      </c>
      <c r="K4" s="1798">
        <f>'NOTE 11'!I4</f>
        <v/>
      </c>
    </row>
    <row r="5" ht="15" customFormat="1" customHeight="1" s="1382">
      <c r="A5" s="1451" t="inlineStr">
        <is>
          <t>N° IFU :</t>
        </is>
      </c>
      <c r="B5" s="1451" t="n"/>
      <c r="C5" s="1276">
        <f>'NOTE 11'!C5</f>
        <v/>
      </c>
      <c r="D5" s="1277" t="n"/>
      <c r="E5" s="1277" t="n"/>
      <c r="F5" s="1277" t="n"/>
      <c r="G5" s="1282" t="inlineStr">
        <is>
          <t>Exercice clos le :</t>
        </is>
      </c>
      <c r="H5" s="1283" t="n"/>
      <c r="I5" s="1563">
        <f>'NOTE 11'!F5</f>
        <v/>
      </c>
      <c r="J5" s="1589" t="inlineStr">
        <is>
          <t>Durée (en mois) :</t>
        </is>
      </c>
      <c r="K5" s="1970">
        <f>'NOTE 11'!I5</f>
        <v/>
      </c>
    </row>
    <row r="6" ht="15" customFormat="1" customHeight="1" s="1382">
      <c r="A6" s="259" t="inlineStr">
        <is>
          <t xml:space="preserve">N° de télédéclarant (NES): </t>
        </is>
      </c>
      <c r="B6" s="1451" t="n"/>
      <c r="C6" s="1520">
        <f>'NOTE 11'!C6</f>
        <v/>
      </c>
      <c r="D6" s="1521" t="n"/>
      <c r="E6" s="1521" t="n"/>
      <c r="F6" s="1521" t="n"/>
      <c r="G6" s="253" t="n"/>
      <c r="H6" s="1970" t="n"/>
      <c r="I6" s="1970" t="n"/>
      <c r="J6" s="254" t="n"/>
      <c r="K6" s="1970" t="n"/>
    </row>
    <row r="7" ht="35.1" customHeight="1" s="1225" thickBot="1">
      <c r="A7" s="1341" t="inlineStr">
        <is>
          <t>NOTE 19 : AUTRES DETTES ET PROVISIONS POUR RISQUES ET CHARGES A COURT TERME</t>
        </is>
      </c>
    </row>
    <row r="8" ht="41.25" customHeight="1" s="1225">
      <c r="A8" s="1667" t="inlineStr">
        <is>
          <t>Libellés</t>
        </is>
      </c>
      <c r="B8" s="1509" t="n"/>
      <c r="C8" s="1509" t="n"/>
      <c r="D8" s="1562" t="n"/>
      <c r="E8" s="1750" t="inlineStr">
        <is>
          <t>Année N</t>
        </is>
      </c>
      <c r="F8" s="1750" t="inlineStr">
        <is>
          <t>Année N-1</t>
        </is>
      </c>
      <c r="G8" s="1750" t="inlineStr">
        <is>
          <t>Variation en
valeur absolue</t>
        </is>
      </c>
      <c r="H8" s="1750" t="inlineStr">
        <is>
          <t>Variation
en %</t>
        </is>
      </c>
      <c r="I8" s="1750" t="inlineStr">
        <is>
          <t>Dettes à un an
au plus</t>
        </is>
      </c>
      <c r="J8" s="1750" t="inlineStr">
        <is>
          <t>Dettes à plus
d'un an et à deux
ans au plus</t>
        </is>
      </c>
      <c r="K8" s="1751" t="inlineStr">
        <is>
          <t>Dettes à plus
de deux ans</t>
        </is>
      </c>
    </row>
    <row r="9" ht="17.1" customHeight="1" s="1225">
      <c r="A9" s="1512" t="inlineStr">
        <is>
          <t>Organismes internationaux</t>
        </is>
      </c>
      <c r="B9" s="1420" t="n"/>
      <c r="C9" s="1420" t="n"/>
      <c r="D9" s="1411" t="n"/>
      <c r="E9" s="1570" t="n"/>
      <c r="F9" s="1570" t="n"/>
      <c r="G9" s="109">
        <f>ABS(E9-F9)</f>
        <v/>
      </c>
      <c r="H9" s="416">
        <f>IF(F9,(E9-F9)/F9,IF(ISBLANK(F9),"",IF(E9,IF( E9 &gt; 0,1,-1),"")))</f>
        <v/>
      </c>
      <c r="I9" s="1570" t="n"/>
      <c r="J9" s="1570" t="n"/>
      <c r="K9" s="798" t="n"/>
    </row>
    <row r="10" ht="17.1" customHeight="1" s="1225">
      <c r="A10" s="1512" t="inlineStr">
        <is>
          <t>Apporteurs, opérations sur le capital</t>
        </is>
      </c>
      <c r="B10" s="1420" t="n"/>
      <c r="C10" s="1420" t="n"/>
      <c r="D10" s="1411" t="n"/>
      <c r="E10" s="1570" t="n"/>
      <c r="F10" s="1570" t="n"/>
      <c r="G10" s="109">
        <f>ABS(E10-F10)</f>
        <v/>
      </c>
      <c r="H10" s="416">
        <f>IF(F10,(E10-F10)/F10,IF(ISBLANK(F10),"",IF(E10,IF( E10 &gt; 0,1,-1),"")))</f>
        <v/>
      </c>
      <c r="I10" s="1570" t="n"/>
      <c r="J10" s="1570" t="n"/>
      <c r="K10" s="798" t="n"/>
    </row>
    <row r="11" ht="17.1" customHeight="1" s="1225">
      <c r="A11" s="1512" t="inlineStr">
        <is>
          <t>Associés, compte courant</t>
        </is>
      </c>
      <c r="B11" s="1420" t="n"/>
      <c r="C11" s="1420" t="n"/>
      <c r="D11" s="1411" t="n"/>
      <c r="E11" s="1571" t="n"/>
      <c r="F11" s="1571" t="n"/>
      <c r="G11" s="109" t="n"/>
      <c r="H11" s="416" t="n"/>
      <c r="I11" s="1570" t="n"/>
      <c r="J11" s="1570" t="n"/>
      <c r="K11" s="798">
        <f>+G11</f>
        <v/>
      </c>
    </row>
    <row r="12" ht="17.1" customHeight="1" s="1225">
      <c r="A12" s="1512" t="inlineStr">
        <is>
          <t>Associés dividendes à payer</t>
        </is>
      </c>
      <c r="B12" s="1420" t="n"/>
      <c r="C12" s="1420" t="n"/>
      <c r="D12" s="1411" t="n"/>
      <c r="E12" s="1570" t="n"/>
      <c r="F12" s="1570" t="n"/>
      <c r="G12" s="109" t="n"/>
      <c r="H12" s="416" t="n"/>
      <c r="I12" s="1570" t="n"/>
      <c r="J12" s="1570" t="n"/>
      <c r="K12" s="798" t="n"/>
    </row>
    <row r="13" ht="17.1" customHeight="1" s="1225">
      <c r="A13" s="1512" t="inlineStr">
        <is>
          <t>Groupe, comptes courants</t>
        </is>
      </c>
      <c r="B13" s="1420" t="n"/>
      <c r="C13" s="1420" t="n"/>
      <c r="D13" s="1411" t="n"/>
      <c r="E13" s="1570" t="n"/>
      <c r="F13" s="1570" t="n"/>
      <c r="G13" s="109">
        <f>ABS(E13-F13)</f>
        <v/>
      </c>
      <c r="H13" s="416">
        <f>IF(F13,(E13-F13)/F13,IF(ISBLANK(F13),"",IF(E13,IF( E13 &gt; 0,1,-1),"")))</f>
        <v/>
      </c>
      <c r="I13" s="1570" t="n"/>
      <c r="J13" s="1570" t="n"/>
      <c r="K13" s="798" t="n"/>
    </row>
    <row r="14" ht="17.1" customHeight="1" s="1225">
      <c r="A14" s="1512" t="inlineStr">
        <is>
          <t>Autres dettes associés</t>
        </is>
      </c>
      <c r="B14" s="1420" t="n"/>
      <c r="C14" s="1420" t="n"/>
      <c r="D14" s="1411" t="n"/>
      <c r="E14" s="1570" t="n"/>
      <c r="F14" s="1570" t="n"/>
      <c r="G14" s="109">
        <f>ABS(E14-F14)</f>
        <v/>
      </c>
      <c r="H14" s="416">
        <f>IF(F14,(E14-F14)/F14,IF(ISBLANK(F14),"",IF(E14,IF( E14 &gt; 0,1,-1),"")))</f>
        <v/>
      </c>
      <c r="I14" s="1570" t="n"/>
      <c r="J14" s="1570" t="n"/>
      <c r="K14" s="798" t="n"/>
    </row>
    <row r="15" ht="17.1" customHeight="1" s="1225">
      <c r="A15" s="1544" t="inlineStr">
        <is>
          <t>TOTAL DETTES ASSOCIES</t>
        </is>
      </c>
      <c r="B15" s="1420" t="n"/>
      <c r="C15" s="1420" t="n"/>
      <c r="D15" s="1411" t="n"/>
      <c r="E15" s="1631">
        <f>SUM(E9:E14)</f>
        <v/>
      </c>
      <c r="F15" s="1631">
        <f>SUM(F9:F14)</f>
        <v/>
      </c>
      <c r="G15" s="1631">
        <f>SUM(G9:G14)</f>
        <v/>
      </c>
      <c r="H15" s="417">
        <f>IF(F15,(E15-F15)/F15,IF(ISBLANK(F15),"",IF(E15,IF( E15 &gt; 0,1,-1),"")))</f>
        <v/>
      </c>
      <c r="I15" s="1631">
        <f>SUM(I9:I14)</f>
        <v/>
      </c>
      <c r="J15" s="1631">
        <f>SUM(J9:J14)</f>
        <v/>
      </c>
      <c r="K15" s="840">
        <f>SUM(K9:K14)</f>
        <v/>
      </c>
    </row>
    <row r="16" ht="17.1" customHeight="1" s="1225">
      <c r="A16" s="1512" t="inlineStr">
        <is>
          <t>Créditeurs divers</t>
        </is>
      </c>
      <c r="B16" s="1420" t="n"/>
      <c r="C16" s="1420" t="n"/>
      <c r="D16" s="1411" t="n"/>
      <c r="E16" s="1571" t="n"/>
      <c r="F16" s="1571" t="n"/>
      <c r="G16" s="109">
        <f>ABS(E16-F16)</f>
        <v/>
      </c>
      <c r="H16" s="416">
        <f>IF(F16,(E16-F16)/F16,IF(ISBLANK(F16),"",IF(E16,IF( E16 &gt; 0,1,-1),"")))</f>
        <v/>
      </c>
      <c r="I16" s="1570" t="n"/>
      <c r="J16" s="1570" t="n"/>
      <c r="K16" s="798" t="n"/>
    </row>
    <row r="17" ht="17.1" customHeight="1" s="1225">
      <c r="A17" s="1512" t="inlineStr">
        <is>
          <t>Obligataires</t>
        </is>
      </c>
      <c r="B17" s="1420" t="n"/>
      <c r="C17" s="1420" t="n"/>
      <c r="D17" s="1411" t="n"/>
      <c r="E17" s="1570" t="n"/>
      <c r="F17" s="1570" t="n"/>
      <c r="G17" s="109">
        <f>ABS(E17-F17)</f>
        <v/>
      </c>
      <c r="H17" s="416">
        <f>IF(F17,(E17-F17)/F17,IF(ISBLANK(F17),"",IF(E17,IF( E17 &gt; 0,1,-1),"")))</f>
        <v/>
      </c>
      <c r="I17" s="1570" t="n"/>
      <c r="J17" s="1570" t="n"/>
      <c r="K17" s="798" t="n"/>
    </row>
    <row r="18" ht="17.1" customHeight="1" s="1225">
      <c r="A18" s="1512" t="inlineStr">
        <is>
          <t>Rémunérations d'administrateurs</t>
        </is>
      </c>
      <c r="B18" s="1420" t="n"/>
      <c r="C18" s="1420" t="n"/>
      <c r="D18" s="1411" t="n"/>
      <c r="E18" s="1570" t="n"/>
      <c r="F18" s="1570" t="n"/>
      <c r="G18" s="109">
        <f>ABS(E18-F18)</f>
        <v/>
      </c>
      <c r="H18" s="416">
        <f>IF(F18,(E18-F18)/F18,IF(ISBLANK(F18),"",IF(E18,IF( E18 &gt; 0,1,-1),"")))</f>
        <v/>
      </c>
      <c r="I18" s="1570" t="n"/>
      <c r="J18" s="1570" t="n"/>
      <c r="K18" s="798" t="n"/>
    </row>
    <row r="19" ht="17.1" customHeight="1" s="1225">
      <c r="A19" s="1512" t="inlineStr">
        <is>
          <t>Compte d'affacturage et de titrisation</t>
        </is>
      </c>
      <c r="B19" s="1420" t="n"/>
      <c r="C19" s="1420" t="n"/>
      <c r="D19" s="1411" t="n"/>
      <c r="E19" s="1570" t="n"/>
      <c r="F19" s="1570" t="n"/>
      <c r="G19" s="109">
        <f>ABS(E19-F19)</f>
        <v/>
      </c>
      <c r="H19" s="416">
        <f>IF(F19,(E19-F19)/F19,IF(ISBLANK(F19),"",IF(E19,IF( E19 &gt; 0,1,-1),"")))</f>
        <v/>
      </c>
      <c r="I19" s="1570" t="n"/>
      <c r="J19" s="1570" t="n"/>
      <c r="K19" s="798" t="n"/>
    </row>
    <row r="20" ht="25.5" customHeight="1" s="1225">
      <c r="A20" s="1512" t="inlineStr">
        <is>
          <t>Versements restant à effectuer sur titres de placement
non libérés</t>
        </is>
      </c>
      <c r="B20" s="1420" t="n"/>
      <c r="C20" s="1420" t="n"/>
      <c r="D20" s="1411" t="n"/>
      <c r="E20" s="1570" t="n"/>
      <c r="F20" s="1570" t="n"/>
      <c r="G20" s="109">
        <f>ABS(E20-F20)</f>
        <v/>
      </c>
      <c r="H20" s="416">
        <f>IF(F20,(E20-F20)/F20,IF(ISBLANK(F20),"",IF(E20,IF( E20 &gt; 0,1,-1),"")))</f>
        <v/>
      </c>
      <c r="I20" s="1570" t="n"/>
      <c r="J20" s="1570" t="n"/>
      <c r="K20" s="798" t="n"/>
    </row>
    <row r="21" ht="25.5" customHeight="1" s="1225">
      <c r="A21" s="1512" t="inlineStr">
        <is>
          <t>Compte transitoire ajustement spécial lié à la révision du
SYSCOHADA (Voir Note 8B)</t>
        </is>
      </c>
      <c r="B21" s="1420" t="n"/>
      <c r="C21" s="1420" t="n"/>
      <c r="D21" s="1411" t="n"/>
      <c r="E21" s="1570" t="n"/>
      <c r="F21" s="1570" t="n"/>
      <c r="G21" s="109">
        <f>ABS(E21-F21)</f>
        <v/>
      </c>
      <c r="H21" s="416">
        <f>IF(F21,(E21-F21)/F21,IF(ISBLANK(F21),"",IF(E21,IF( E21 &gt; 0,1,-1),"")))</f>
        <v/>
      </c>
      <c r="I21" s="1570" t="n"/>
      <c r="J21" s="1570" t="n"/>
      <c r="K21" s="798" t="n"/>
    </row>
    <row r="22" ht="17.1" customHeight="1" s="1225">
      <c r="A22" s="1512" t="inlineStr">
        <is>
          <t>Autres créditeurs divers</t>
        </is>
      </c>
      <c r="B22" s="1420" t="n"/>
      <c r="C22" s="1420" t="n"/>
      <c r="D22" s="1411" t="n"/>
      <c r="E22" s="1570" t="n"/>
      <c r="F22" s="1570" t="n"/>
      <c r="G22" s="109">
        <f>ABS(E22-F22)</f>
        <v/>
      </c>
      <c r="H22" s="416">
        <f>IF(F22,(E22-F22)/F22,IF(ISBLANK(F22),"",IF(E22,IF( E22 &gt; 0,1,-1),"")))</f>
        <v/>
      </c>
      <c r="I22" s="1570" t="n"/>
      <c r="J22" s="1570" t="n"/>
      <c r="K22" s="798" t="n"/>
    </row>
    <row r="23" ht="17.1" customHeight="1" s="1225">
      <c r="A23" s="1544" t="inlineStr">
        <is>
          <t>TOTAL  CREDITEURS DIVERS</t>
        </is>
      </c>
      <c r="B23" s="1420" t="n"/>
      <c r="C23" s="1420" t="n"/>
      <c r="D23" s="1411" t="n"/>
      <c r="E23" s="1631">
        <f>SUM(E16:E22)</f>
        <v/>
      </c>
      <c r="F23" s="1631">
        <f>SUM(F16:F22)</f>
        <v/>
      </c>
      <c r="G23" s="1631">
        <f>SUM(G16:G22)</f>
        <v/>
      </c>
      <c r="H23" s="417">
        <f>IF(F23,(E23-F23)/F23,IF(ISBLANK(F23),"",IF(E23,IF( E23 &gt; 0,1,-1),"")))</f>
        <v/>
      </c>
      <c r="I23" s="1631">
        <f>SUM(I16:I22)</f>
        <v/>
      </c>
      <c r="J23" s="1631">
        <f>SUM(J16:J22)</f>
        <v/>
      </c>
      <c r="K23" s="840">
        <f>SUM(K16:K22)</f>
        <v/>
      </c>
    </row>
    <row r="24" ht="25.5" customHeight="1" s="1225">
      <c r="A24" s="1512" t="inlineStr">
        <is>
          <t>Comptes permanents non bloqués des établissements et
des succursales</t>
        </is>
      </c>
      <c r="B24" s="1420" t="n"/>
      <c r="C24" s="1420" t="n"/>
      <c r="D24" s="1411" t="n"/>
      <c r="E24" s="1570" t="n"/>
      <c r="F24" s="1570" t="n"/>
      <c r="G24" s="109">
        <f>ABS(E24-F24)</f>
        <v/>
      </c>
      <c r="H24" s="416">
        <f>IF(F24,(E24-F24)/F24,IF(ISBLANK(F24),"",IF(E24,IF( E24 &gt; 0,1,-1),"")))</f>
        <v/>
      </c>
      <c r="I24" s="1570" t="n"/>
      <c r="J24" s="1570" t="n"/>
      <c r="K24" s="798" t="n"/>
    </row>
    <row r="25" ht="17.1" customHeight="1" s="1225">
      <c r="A25" s="1512" t="inlineStr">
        <is>
          <t>Comptes de liaison charges et produits</t>
        </is>
      </c>
      <c r="B25" s="1420" t="n"/>
      <c r="C25" s="1420" t="n"/>
      <c r="D25" s="1411" t="n"/>
      <c r="E25" s="1570" t="n"/>
      <c r="F25" s="1570" t="n"/>
      <c r="G25" s="109">
        <f>ABS(E25-F25)</f>
        <v/>
      </c>
      <c r="H25" s="416">
        <f>IF(F25,(E25-F25)/F25,IF(ISBLANK(F25),"",IF(E25,IF( E25 &gt; 0,1,-1),"")))</f>
        <v/>
      </c>
      <c r="I25" s="1570" t="n"/>
      <c r="J25" s="1570" t="n"/>
      <c r="K25" s="798" t="n"/>
    </row>
    <row r="26" ht="17.1" customHeight="1" s="1225">
      <c r="A26" s="1512" t="inlineStr">
        <is>
          <t>Comptes de liaison des sociétés en participation</t>
        </is>
      </c>
      <c r="B26" s="1420" t="n"/>
      <c r="C26" s="1420" t="n"/>
      <c r="D26" s="1411" t="n"/>
      <c r="E26" s="1570" t="n"/>
      <c r="F26" s="1570" t="n"/>
      <c r="G26" s="109">
        <f>ABS(E26-F26)</f>
        <v/>
      </c>
      <c r="H26" s="416">
        <f>IF(F26,(E26-F26)/F26,IF(ISBLANK(F26),"",IF(E26,IF( E26 &gt; 0,1,-1),"")))</f>
        <v/>
      </c>
      <c r="I26" s="1570" t="n"/>
      <c r="J26" s="1570" t="n"/>
      <c r="K26" s="798" t="n"/>
    </row>
    <row r="27" ht="17.1" customHeight="1" s="1225">
      <c r="A27" s="1544" t="inlineStr">
        <is>
          <t>TOTAL  COMPTES DE LIAISON</t>
        </is>
      </c>
      <c r="B27" s="1420" t="n"/>
      <c r="C27" s="1420" t="n"/>
      <c r="D27" s="1411" t="n"/>
      <c r="E27" s="1631">
        <f>SUM(E24:E26)</f>
        <v/>
      </c>
      <c r="F27" s="1631">
        <f>SUM(F24:F26)</f>
        <v/>
      </c>
      <c r="G27" s="1631">
        <f>SUM(G24:G26)</f>
        <v/>
      </c>
      <c r="H27" s="417">
        <f>IF(F27,(E27-F27)/F27,IF(ISBLANK(F27),"",IF(E27,IF( E27 &gt; 0,1,-1),"")))</f>
        <v/>
      </c>
      <c r="I27" s="1631">
        <f>SUM(I24:I26)</f>
        <v/>
      </c>
      <c r="J27" s="1631">
        <f>SUM(J24:J26)</f>
        <v/>
      </c>
      <c r="K27" s="840">
        <f>SUM(K24:K26)</f>
        <v/>
      </c>
    </row>
    <row r="28" ht="17.1" customHeight="1" s="1225">
      <c r="A28" s="1693" t="inlineStr">
        <is>
          <t>TOTAL  AUTRES DETTES</t>
        </is>
      </c>
      <c r="B28" s="1420" t="n"/>
      <c r="C28" s="1420" t="n"/>
      <c r="D28" s="1411" t="n"/>
      <c r="E28" s="144">
        <f>E15+E23+E27</f>
        <v/>
      </c>
      <c r="F28" s="144">
        <f>F15+F23+F27</f>
        <v/>
      </c>
      <c r="G28" s="144">
        <f>G15+G23+G27</f>
        <v/>
      </c>
      <c r="H28" s="418">
        <f>IF(F28,(E28-F28)/F28,IF(ISBLANK(F28),"",IF(E28,IF( E28 &gt; 0,1,-1),"")))</f>
        <v/>
      </c>
      <c r="I28" s="144">
        <f>I15+I23+I27</f>
        <v/>
      </c>
      <c r="J28" s="144">
        <f>J15+J23+J27</f>
        <v/>
      </c>
      <c r="K28" s="891">
        <f>K15+K23+K27</f>
        <v/>
      </c>
    </row>
    <row r="29" ht="17.1" customHeight="1" s="1225" thickBot="1">
      <c r="A29" s="1688" t="inlineStr">
        <is>
          <t>Provisions pour risques et charges à court terme (voir note 28)</t>
        </is>
      </c>
      <c r="B29" s="1527" t="n"/>
      <c r="C29" s="1527" t="n"/>
      <c r="D29" s="1528" t="n"/>
      <c r="E29" s="830" t="n"/>
      <c r="F29" s="830" t="n"/>
      <c r="G29" s="892">
        <f>ABS(E29-F29)</f>
        <v/>
      </c>
      <c r="H29" s="893">
        <f>IF(F29,(E29-F29)/F29,IF(ISBLANK(F29),"",IF(E29,IF( E29 &gt; 0,1,-1),"")))</f>
        <v/>
      </c>
      <c r="I29" s="830" t="n"/>
      <c r="J29" s="830" t="n"/>
      <c r="K29" s="831" t="n"/>
    </row>
    <row r="30" ht="15" customFormat="1" customHeight="1" s="1356">
      <c r="A30" s="559" t="inlineStr">
        <is>
          <t>Commentaire:</t>
        </is>
      </c>
    </row>
    <row r="31" ht="12" customFormat="1" customHeight="1" s="1356">
      <c r="A31" s="618" t="inlineStr">
        <is>
          <t>●   Commenter toute variation significative.</t>
        </is>
      </c>
    </row>
    <row r="32" ht="12" customFormat="1" customHeight="1" s="1356">
      <c r="A32" s="618" t="inlineStr">
        <is>
          <t>●   Indiquer le taux de rémunération si compte courant rémunéré.</t>
        </is>
      </c>
    </row>
    <row r="33" ht="12" customFormat="1" customHeight="1" s="1356">
      <c r="A33" s="618" t="inlineStr">
        <is>
          <t>●   Commenter les dettes anciennes.</t>
        </is>
      </c>
    </row>
    <row r="34" ht="12" customFormat="1" customHeight="1" s="1356">
      <c r="A34" s="618" t="inlineStr">
        <is>
          <t>●   Compte transitoire ajustement spécial, indiquer le détail du compte et la durée restant pour l'apurement.</t>
        </is>
      </c>
    </row>
  </sheetData>
  <mergeCells count="30">
    <mergeCell ref="A23:D23"/>
    <mergeCell ref="A17:D17"/>
    <mergeCell ref="A8:D8"/>
    <mergeCell ref="A22:D22"/>
    <mergeCell ref="A20:D20"/>
    <mergeCell ref="A29:D29"/>
    <mergeCell ref="A19:D19"/>
    <mergeCell ref="A10:D10"/>
    <mergeCell ref="A28:D28"/>
    <mergeCell ref="A1:K1"/>
    <mergeCell ref="A13:D13"/>
    <mergeCell ref="A9:D9"/>
    <mergeCell ref="A7:K7"/>
    <mergeCell ref="C6:F6"/>
    <mergeCell ref="A15:D15"/>
    <mergeCell ref="A24:D24"/>
    <mergeCell ref="A11:D11"/>
    <mergeCell ref="C5:F5"/>
    <mergeCell ref="G5:H5"/>
    <mergeCell ref="A25:D25"/>
    <mergeCell ref="C3:K3"/>
    <mergeCell ref="A16:D16"/>
    <mergeCell ref="A18:D18"/>
    <mergeCell ref="A27:D27"/>
    <mergeCell ref="A12:D12"/>
    <mergeCell ref="J2:K2"/>
    <mergeCell ref="A26:D26"/>
    <mergeCell ref="A21:D21"/>
    <mergeCell ref="B4:I4"/>
    <mergeCell ref="A14:D14"/>
  </mergeCells>
  <dataValidations count="1">
    <dataValidation sqref="E9:F14 E16:F22 E24:F26 I9:K14 I16:K22 I24:K26"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86"/>
</worksheet>
</file>

<file path=xl/worksheets/sheet46.xml><?xml version="1.0" encoding="utf-8"?>
<worksheet xmlns="http://schemas.openxmlformats.org/spreadsheetml/2006/main">
  <sheetPr codeName="Feuil45">
    <tabColor theme="4" tint="0.5999938962981048"/>
    <outlinePr summaryBelow="1" summaryRight="1"/>
    <pageSetUpPr fitToPage="1"/>
  </sheetPr>
  <dimension ref="A1:H23"/>
  <sheetViews>
    <sheetView showGridLines="0" topLeftCell="A14" workbookViewId="0">
      <selection activeCell="B14" sqref="B14"/>
    </sheetView>
  </sheetViews>
  <sheetFormatPr baseColWidth="10" defaultRowHeight="15"/>
  <cols>
    <col width="17.7109375" customWidth="1" style="1225" min="2" max="2"/>
    <col width="10.42578125" customWidth="1" style="1225" min="3" max="3"/>
    <col width="3.28515625" customWidth="1" style="1225" min="4" max="4"/>
    <col width="13.7109375" customWidth="1" style="1225" min="5" max="5"/>
    <col width="15.7109375" customWidth="1" style="1225" min="6" max="7"/>
    <col width="13.85546875" customWidth="1" style="1225" min="8" max="8"/>
  </cols>
  <sheetData>
    <row r="1">
      <c r="A1" s="1429" t="inlineStr">
        <is>
          <t>- 0 -</t>
        </is>
      </c>
    </row>
    <row r="2" ht="24.95" customHeight="1" s="1225">
      <c r="A2" s="1429" t="n"/>
      <c r="B2" s="1429" t="n"/>
      <c r="C2" s="1429" t="n"/>
      <c r="D2" s="1429" t="n"/>
      <c r="E2" s="1429" t="n"/>
      <c r="F2" s="1429" t="n"/>
      <c r="G2" s="1438" t="inlineStr">
        <is>
          <t>NOTE 20
SYSTEME NORMAL</t>
        </is>
      </c>
      <c r="H2" s="1411" t="n"/>
    </row>
    <row r="3" ht="15" customFormat="1" customHeight="1" s="1382">
      <c r="A3" s="1451" t="inlineStr">
        <is>
          <t>Dénomination sociale de l'entité :</t>
        </is>
      </c>
      <c r="B3" s="1451" t="n"/>
      <c r="C3" s="1276">
        <f>'NOTE 11'!C3</f>
        <v/>
      </c>
      <c r="D3" s="1277" t="n"/>
      <c r="E3" s="1277" t="n"/>
      <c r="F3" s="1277" t="n"/>
      <c r="G3" s="1277" t="n"/>
      <c r="H3" s="1277" t="n"/>
    </row>
    <row r="4" ht="15" customFormat="1" customHeight="1" s="1382">
      <c r="A4" s="1451" t="inlineStr">
        <is>
          <t>Adresse :</t>
        </is>
      </c>
      <c r="B4" s="1276">
        <f>'NOTE 11'!B4</f>
        <v/>
      </c>
      <c r="C4" s="1277" t="n"/>
      <c r="D4" s="1277" t="n"/>
      <c r="E4" s="1277" t="n"/>
      <c r="F4" s="1277" t="n"/>
      <c r="G4" s="1589" t="inlineStr">
        <is>
          <t>Sigle usuel :</t>
        </is>
      </c>
      <c r="H4" s="1488">
        <f>'NOTE 11'!I4</f>
        <v/>
      </c>
    </row>
    <row r="5" ht="15" customFormat="1" customHeight="1" s="1382">
      <c r="A5" s="1451" t="inlineStr">
        <is>
          <t>N° IFU :</t>
        </is>
      </c>
      <c r="B5" s="1451" t="n"/>
      <c r="C5" s="1280">
        <f>'NOTE 11'!C5</f>
        <v/>
      </c>
      <c r="D5" s="1279" t="n"/>
      <c r="E5" s="1457" t="inlineStr">
        <is>
          <t>Exercice clos le :</t>
        </is>
      </c>
      <c r="F5" s="1601">
        <f>'NOTE 11'!F5</f>
        <v/>
      </c>
      <c r="G5" s="1589" t="inlineStr">
        <is>
          <t>Durée (en mois) :</t>
        </is>
      </c>
      <c r="H5" s="111">
        <f>'NOTE 11'!I5</f>
        <v/>
      </c>
    </row>
    <row r="6" ht="15" customFormat="1" customHeight="1" s="1382">
      <c r="A6" s="259" t="inlineStr">
        <is>
          <t xml:space="preserve">N° de télédéclarant (NES): </t>
        </is>
      </c>
      <c r="B6" s="1451" t="n"/>
      <c r="C6" s="1520">
        <f>'NOTE 11'!C6</f>
        <v/>
      </c>
      <c r="D6" s="1521" t="n"/>
      <c r="E6" s="253" t="n"/>
      <c r="F6" s="1970" t="n"/>
      <c r="G6" s="254" t="n"/>
      <c r="H6" s="1970" t="n"/>
    </row>
    <row r="7" ht="35.1" customHeight="1" s="1225" thickBot="1">
      <c r="A7" s="1341" t="inlineStr">
        <is>
          <t>NOTE 20 : BANQUES, CREDIT D'ESCOMPTE ET DE TRESORERIE</t>
        </is>
      </c>
    </row>
    <row r="8" ht="25.5" customHeight="1" s="1225">
      <c r="A8" s="1667" t="inlineStr">
        <is>
          <t>Libellés</t>
        </is>
      </c>
      <c r="B8" s="1509" t="n"/>
      <c r="C8" s="1509" t="n"/>
      <c r="D8" s="1509" t="n"/>
      <c r="E8" s="1562" t="n"/>
      <c r="F8" s="1750" t="inlineStr">
        <is>
          <t>Année N</t>
        </is>
      </c>
      <c r="G8" s="1750" t="inlineStr">
        <is>
          <t>Année N-1</t>
        </is>
      </c>
      <c r="H8" s="1751" t="inlineStr">
        <is>
          <t>Variation
en %</t>
        </is>
      </c>
    </row>
    <row r="9" ht="21.75" customHeight="1" s="1225">
      <c r="A9" s="1512" t="inlineStr">
        <is>
          <t>Escomptes de crédit de campagne</t>
        </is>
      </c>
      <c r="B9" s="1420" t="n"/>
      <c r="C9" s="1420" t="n"/>
      <c r="D9" s="1420" t="n"/>
      <c r="E9" s="1411" t="n"/>
      <c r="F9" s="1570" t="n"/>
      <c r="G9" s="1570" t="n"/>
      <c r="H9" s="834">
        <f>IF(G9,(F9-G9)/G9,IF(ISBLANK(G9),"",IF(F9,IF( F9 &gt; 0,1,-1),"")))</f>
        <v/>
      </c>
    </row>
    <row r="10" ht="21.75" customHeight="1" s="1225">
      <c r="A10" s="1512" t="inlineStr">
        <is>
          <t>Escomptes de crédit ordinaires</t>
        </is>
      </c>
      <c r="B10" s="1420" t="n"/>
      <c r="C10" s="1420" t="n"/>
      <c r="D10" s="1420" t="n"/>
      <c r="E10" s="1411" t="n"/>
      <c r="F10" s="1570" t="n"/>
      <c r="G10" s="1570" t="n"/>
      <c r="H10" s="834">
        <f>IF(G10,(F10-G10)/G10,IF(ISBLANK(G10),"",IF(F10,IF( F10 &gt; 0,1,-1),"")))</f>
        <v/>
      </c>
    </row>
    <row r="11" ht="21.75" customHeight="1" s="1225">
      <c r="A11" s="1544" t="inlineStr">
        <is>
          <t>TOTAL: BANQUES, CREDITS D'ESCOMPTE ET DE TRESORERIE</t>
        </is>
      </c>
      <c r="B11" s="1420" t="n"/>
      <c r="C11" s="1420" t="n"/>
      <c r="D11" s="1420" t="n"/>
      <c r="E11" s="1411" t="n"/>
      <c r="F11" s="1631">
        <f>SUM(F9:F10)</f>
        <v/>
      </c>
      <c r="G11" s="1631">
        <f>SUM(G9:G10)</f>
        <v/>
      </c>
      <c r="H11" s="835">
        <f>IF(G11,(F11-G11)/G11,IF(ISBLANK(G11),"",IF(F11,IF( F11 &gt; 0,1,-1),"")))</f>
        <v/>
      </c>
    </row>
    <row r="12" ht="21.75" customHeight="1" s="1225">
      <c r="A12" s="1512" t="inlineStr">
        <is>
          <t>Banques locales</t>
        </is>
      </c>
      <c r="B12" s="1420" t="n"/>
      <c r="C12" s="1420" t="n"/>
      <c r="D12" s="1420" t="n"/>
      <c r="E12" s="1411" t="n"/>
      <c r="F12" s="1570">
        <f>+BILAN!M36</f>
        <v/>
      </c>
      <c r="G12" s="1570" t="n"/>
      <c r="H12" s="834" t="n"/>
    </row>
    <row r="13" ht="21.75" customHeight="1" s="1225">
      <c r="A13" s="1512" t="inlineStr">
        <is>
          <t>Banques autres états région</t>
        </is>
      </c>
      <c r="B13" s="1420" t="n"/>
      <c r="C13" s="1420" t="n"/>
      <c r="D13" s="1420" t="n"/>
      <c r="E13" s="1411" t="n"/>
      <c r="F13" s="1570" t="n"/>
      <c r="G13" s="1570" t="n"/>
      <c r="H13" s="834">
        <f>IF(G13,(F13-G13)/G13,IF(ISBLANK(G13),"",IF(F13,IF( F13 &gt; 0,1,-1),"")))</f>
        <v/>
      </c>
    </row>
    <row r="14" ht="21.75" customHeight="1" s="1225">
      <c r="A14" s="1512" t="inlineStr">
        <is>
          <t>Autres Banques</t>
        </is>
      </c>
      <c r="B14" s="1420" t="n"/>
      <c r="C14" s="1420" t="n"/>
      <c r="D14" s="1420" t="n"/>
      <c r="E14" s="1411" t="n"/>
      <c r="F14" s="1570" t="n"/>
      <c r="G14" s="1570" t="n"/>
      <c r="H14" s="834">
        <f>IF(G14,(F14-G14)/G14,IF(ISBLANK(G14),"",IF(F14,IF( F14 &gt; 0,1,-1),"")))</f>
        <v/>
      </c>
    </row>
    <row r="15" ht="22.5" customHeight="1" s="1225">
      <c r="A15" s="1512" t="inlineStr">
        <is>
          <t>Banques intérêts courus</t>
        </is>
      </c>
      <c r="B15" s="1420" t="n"/>
      <c r="C15" s="1420" t="n"/>
      <c r="D15" s="1420" t="n"/>
      <c r="E15" s="1411" t="n"/>
      <c r="F15" s="1570" t="n"/>
      <c r="G15" s="1570" t="n"/>
      <c r="H15" s="834">
        <f>IF(G15,(F15-G15)/G15,IF(ISBLANK(G15),"",IF(F15,IF( F15 &gt; 0,1,-1),"")))</f>
        <v/>
      </c>
    </row>
    <row r="16" ht="22.5" customHeight="1" s="1225">
      <c r="A16" s="1512" t="inlineStr">
        <is>
          <t>Crédit de trésorerie</t>
        </is>
      </c>
      <c r="B16" s="1420" t="n"/>
      <c r="C16" s="1420" t="n"/>
      <c r="D16" s="1420" t="n"/>
      <c r="E16" s="1411" t="n"/>
      <c r="F16" s="1570" t="n"/>
      <c r="G16" s="1570" t="n"/>
      <c r="H16" s="834" t="n"/>
    </row>
    <row r="17" ht="21.75" customHeight="1" s="1225">
      <c r="A17" s="1544" t="inlineStr">
        <is>
          <t>TOTAL: BANQUES, CREDITS DE TRESORERIE</t>
        </is>
      </c>
      <c r="B17" s="1420" t="n"/>
      <c r="C17" s="1420" t="n"/>
      <c r="D17" s="1420" t="n"/>
      <c r="E17" s="1411" t="n"/>
      <c r="F17" s="1631">
        <f>SUM(F12:F15)</f>
        <v/>
      </c>
      <c r="G17" s="1631">
        <f>SUM(G12:G15)</f>
        <v/>
      </c>
      <c r="H17" s="835">
        <f>IF(G17,(F17-G17)/G17,IF(ISBLANK(G17),"",IF(F17,IF( F17 &gt; 0,1,-1),"")))</f>
        <v/>
      </c>
    </row>
    <row r="18" ht="21.75" customHeight="1" s="1225" thickBot="1">
      <c r="A18" s="1679" t="inlineStr">
        <is>
          <t>TOTAL GENERAL</t>
        </is>
      </c>
      <c r="B18" s="1527" t="n"/>
      <c r="C18" s="1527" t="n"/>
      <c r="D18" s="1527" t="n"/>
      <c r="E18" s="1528" t="n"/>
      <c r="F18" s="871">
        <f>F11+F17</f>
        <v/>
      </c>
      <c r="G18" s="871">
        <f>G11+G17</f>
        <v/>
      </c>
      <c r="H18" s="894">
        <f>IF(G18,(F18-G18)/G18,IF(ISBLANK(G18),"",IF(F18,IF( F18 &gt; 0,1,-1),"")))</f>
        <v/>
      </c>
    </row>
    <row r="19" ht="18" customFormat="1" customHeight="1" s="1356">
      <c r="A19" s="559" t="inlineStr">
        <is>
          <t>Commentaire:</t>
        </is>
      </c>
    </row>
    <row r="20" ht="10.15" customFormat="1" customHeight="1" s="1356">
      <c r="A20" s="618" t="inlineStr">
        <is>
          <t>●   Commenter toute variation significative.</t>
        </is>
      </c>
    </row>
    <row r="21" ht="10.15" customFormat="1" customHeight="1" s="1356">
      <c r="A21" s="618" t="inlineStr">
        <is>
          <t>●   Indiquer le nom de l'organisme les conditions de crédit, le taux d'intérêt, la durée du crédit.</t>
        </is>
      </c>
    </row>
    <row r="22" ht="3" customFormat="1" customHeight="1" s="1356">
      <c r="A22" s="622" t="n"/>
    </row>
    <row r="23" ht="10.15" customFormat="1" customHeight="1" s="1356">
      <c r="A23" s="574" t="inlineStr">
        <is>
          <t>NB : Banques et intérêts courus figurent dans cette rubrique si le compte principal attaché est créditeur.</t>
        </is>
      </c>
    </row>
  </sheetData>
  <mergeCells count="18">
    <mergeCell ref="B4:F4"/>
    <mergeCell ref="A1:H1"/>
    <mergeCell ref="A12:E12"/>
    <mergeCell ref="C6:D6"/>
    <mergeCell ref="A16:E16"/>
    <mergeCell ref="G2:H2"/>
    <mergeCell ref="A15:E15"/>
    <mergeCell ref="A7:H7"/>
    <mergeCell ref="A10:E10"/>
    <mergeCell ref="C3:H3"/>
    <mergeCell ref="C5:D5"/>
    <mergeCell ref="A11:E11"/>
    <mergeCell ref="A8:E8"/>
    <mergeCell ref="A13:E13"/>
    <mergeCell ref="A14:E14"/>
    <mergeCell ref="A17:E17"/>
    <mergeCell ref="A18:E18"/>
    <mergeCell ref="A9:E9"/>
  </mergeCells>
  <dataValidations count="1">
    <dataValidation sqref="F9:G10 F12:G16"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5"/>
</worksheet>
</file>

<file path=xl/worksheets/sheet47.xml><?xml version="1.0" encoding="utf-8"?>
<worksheet xmlns="http://schemas.openxmlformats.org/spreadsheetml/2006/main">
  <sheetPr codeName="Feuil46">
    <tabColor theme="4" tint="0.5999938962981048"/>
    <outlinePr summaryBelow="1" summaryRight="1"/>
    <pageSetUpPr fitToPage="1"/>
  </sheetPr>
  <dimension ref="A1:H51"/>
  <sheetViews>
    <sheetView showGridLines="0" topLeftCell="A25" workbookViewId="0">
      <selection activeCell="B14" sqref="B14"/>
    </sheetView>
  </sheetViews>
  <sheetFormatPr baseColWidth="10" defaultRowHeight="15"/>
  <cols>
    <col width="18.42578125" customWidth="1" style="1225" min="2" max="2"/>
    <col width="8.7109375" customWidth="1" style="1225" min="3" max="3"/>
    <col width="6" customWidth="1" style="1225" min="4" max="4"/>
    <col width="15.85546875" customWidth="1" style="1225" min="5" max="5"/>
    <col width="17" customWidth="1" style="1225" min="6" max="7"/>
    <col width="14" customWidth="1" style="1225" min="8" max="8"/>
  </cols>
  <sheetData>
    <row r="1">
      <c r="A1" s="1429" t="inlineStr">
        <is>
          <t>- 15 -</t>
        </is>
      </c>
    </row>
    <row r="2" ht="24.95" customHeight="1" s="1225">
      <c r="A2" s="1429" t="n"/>
      <c r="B2" s="1429" t="n"/>
      <c r="C2" s="1429" t="n"/>
      <c r="D2" s="1429" t="n"/>
      <c r="E2" s="1429" t="n"/>
      <c r="F2" s="1429" t="n"/>
      <c r="G2" s="1438" t="inlineStr">
        <is>
          <t>NOTE 21
SYSTEME NORMAL</t>
        </is>
      </c>
      <c r="H2" s="1411" t="n"/>
    </row>
    <row r="3" ht="15" customFormat="1" customHeight="1" s="1382">
      <c r="A3" s="1451" t="inlineStr">
        <is>
          <t>Dénomination sociale de l'entité :</t>
        </is>
      </c>
      <c r="B3" s="1451" t="n"/>
      <c r="C3" s="1276">
        <f>'NOTE 20'!C3:H3</f>
        <v/>
      </c>
      <c r="D3" s="1277" t="n"/>
      <c r="E3" s="1277" t="n"/>
      <c r="F3" s="1277" t="n"/>
      <c r="G3" s="1277" t="n"/>
      <c r="H3" s="1277" t="n"/>
    </row>
    <row r="4" ht="15" customFormat="1" customHeight="1" s="1382">
      <c r="A4" s="1451" t="inlineStr">
        <is>
          <t>Adresse :</t>
        </is>
      </c>
      <c r="B4" s="1276">
        <f>'NOTE 20'!B4:F4</f>
        <v/>
      </c>
      <c r="C4" s="1277" t="n"/>
      <c r="D4" s="1277" t="n"/>
      <c r="E4" s="1277" t="n"/>
      <c r="F4" s="1277" t="n"/>
      <c r="G4" s="1589" t="inlineStr">
        <is>
          <t>Sigle usuel :</t>
        </is>
      </c>
      <c r="H4" s="1488">
        <f>'NOTE 20'!H4</f>
        <v/>
      </c>
    </row>
    <row r="5" ht="15" customFormat="1" customHeight="1" s="1382">
      <c r="A5" s="1451" t="inlineStr">
        <is>
          <t>N° IFU :</t>
        </is>
      </c>
      <c r="B5" s="1451" t="n"/>
      <c r="C5" s="1280">
        <f>'NOTE 20'!C5:D5</f>
        <v/>
      </c>
      <c r="D5" s="1279" t="n"/>
      <c r="E5" s="1457" t="inlineStr">
        <is>
          <t>Exercice clos le :</t>
        </is>
      </c>
      <c r="F5" s="1601">
        <f>'NOTE 20'!F5</f>
        <v/>
      </c>
      <c r="G5" s="1589" t="inlineStr">
        <is>
          <t>Durée (en mois) :</t>
        </is>
      </c>
      <c r="H5" s="111">
        <f>'NOTE 20'!H5</f>
        <v/>
      </c>
    </row>
    <row r="6" ht="15" customFormat="1" customHeight="1" s="1382">
      <c r="A6" s="259" t="inlineStr">
        <is>
          <t xml:space="preserve">N° de télédéclarant (NES): </t>
        </is>
      </c>
      <c r="B6" s="1451" t="n"/>
      <c r="C6" s="1520" t="n"/>
      <c r="D6" s="1521" t="n"/>
      <c r="E6" s="302" t="n"/>
      <c r="F6" s="302" t="n"/>
      <c r="G6" s="302" t="n"/>
      <c r="H6" s="302" t="n"/>
    </row>
    <row r="7" ht="35.1" customHeight="1" s="1225" thickBot="1">
      <c r="A7" s="1341" t="inlineStr">
        <is>
          <t>NOTE 21 : CHIFFRE D’AFFAIRES ET AUTRES PRODUITS</t>
        </is>
      </c>
    </row>
    <row r="8" ht="33" customHeight="1" s="1225">
      <c r="A8" s="1667" t="inlineStr">
        <is>
          <t>Libellés</t>
        </is>
      </c>
      <c r="B8" s="1509" t="n"/>
      <c r="C8" s="1509" t="n"/>
      <c r="D8" s="1509" t="n"/>
      <c r="E8" s="1562" t="n"/>
      <c r="F8" s="1750" t="inlineStr">
        <is>
          <t>Année N</t>
        </is>
      </c>
      <c r="G8" s="1750" t="inlineStr">
        <is>
          <t>Année N-1</t>
        </is>
      </c>
      <c r="H8" s="1751" t="inlineStr">
        <is>
          <t>Variation
en %</t>
        </is>
      </c>
    </row>
    <row r="9" ht="17.25" customHeight="1" s="1225">
      <c r="A9" s="1512" t="inlineStr">
        <is>
          <t>Ventes de marchandises dans l'Etat partie</t>
        </is>
      </c>
      <c r="B9" s="1420" t="n"/>
      <c r="C9" s="1420" t="n"/>
      <c r="D9" s="1420" t="n"/>
      <c r="E9" s="1411" t="n"/>
      <c r="F9" s="1570" t="n"/>
      <c r="G9" s="1570" t="n"/>
      <c r="H9" s="834">
        <f>IF(G9,(F9-G9)/G9,IF(ISBLANK(G9),"",IF(F9,IF( F9 &gt; 0,1,-1),"")))</f>
        <v/>
      </c>
    </row>
    <row r="10" ht="17.25" customHeight="1" s="1225">
      <c r="A10" s="1512" t="inlineStr">
        <is>
          <t>Ventes de marchandises dans les autres Etats parties de la Région</t>
        </is>
      </c>
      <c r="B10" s="1420" t="n"/>
      <c r="C10" s="1420" t="n"/>
      <c r="D10" s="1420" t="n"/>
      <c r="E10" s="1411" t="n"/>
      <c r="F10" s="1570" t="n"/>
      <c r="G10" s="1570" t="n"/>
      <c r="H10" s="834">
        <f>IF(G10,(F10-G10)/G10,IF(ISBLANK(G10),"",IF(F10,IF( F10 &gt; 0,1,-1),"")))</f>
        <v/>
      </c>
    </row>
    <row r="11" ht="17.25" customHeight="1" s="1225">
      <c r="A11" s="1512" t="inlineStr">
        <is>
          <t>Ventes de marchandises hors Région</t>
        </is>
      </c>
      <c r="B11" s="1420" t="n"/>
      <c r="C11" s="1420" t="n"/>
      <c r="D11" s="1420" t="n"/>
      <c r="E11" s="1411" t="n"/>
      <c r="F11" s="1570" t="n"/>
      <c r="G11" s="1570" t="n"/>
      <c r="H11" s="834">
        <f>IF(G11,(F11-G11)/G11,IF(ISBLANK(G11),"",IF(F11,IF( F11 &gt; 0,1,-1),"")))</f>
        <v/>
      </c>
    </row>
    <row r="12" ht="17.25" customHeight="1" s="1225">
      <c r="A12" s="1512" t="inlineStr">
        <is>
          <t>Ventes de marchandises groupe</t>
        </is>
      </c>
      <c r="B12" s="1420" t="n"/>
      <c r="C12" s="1420" t="n"/>
      <c r="D12" s="1420" t="n"/>
      <c r="E12" s="1411" t="n"/>
      <c r="F12" s="1570" t="n"/>
      <c r="G12" s="1570" t="n"/>
      <c r="H12" s="834">
        <f>IF(G12,(F12-G12)/G12,IF(ISBLANK(G12),"",IF(F12,IF( F12 &gt; 0,1,-1),"")))</f>
        <v/>
      </c>
    </row>
    <row r="13" ht="17.25" customHeight="1" s="1225">
      <c r="A13" s="1512" t="inlineStr">
        <is>
          <t>Ventes de marchandises sur internet</t>
        </is>
      </c>
      <c r="B13" s="1420" t="n"/>
      <c r="C13" s="1420" t="n"/>
      <c r="D13" s="1420" t="n"/>
      <c r="E13" s="1411" t="n"/>
      <c r="F13" s="1570" t="n"/>
      <c r="G13" s="1570" t="n"/>
      <c r="H13" s="834">
        <f>IF(G13,(F13-G13)/G13,IF(ISBLANK(G13),"",IF(F13,IF( F13 &gt; 0,1,-1),"")))</f>
        <v/>
      </c>
    </row>
    <row r="14" ht="17.25" customHeight="1" s="1225">
      <c r="A14" s="1544" t="inlineStr">
        <is>
          <t>TOTAL : VENTES MARCHANDISES</t>
        </is>
      </c>
      <c r="B14" s="1420" t="n"/>
      <c r="C14" s="1420" t="n"/>
      <c r="D14" s="1420" t="n"/>
      <c r="E14" s="1411" t="n"/>
      <c r="F14" s="1631">
        <f>SUM(F9:F13)</f>
        <v/>
      </c>
      <c r="G14" s="1631">
        <f>SUM(G9:G13)</f>
        <v/>
      </c>
      <c r="H14" s="895">
        <f>IF(G14,(F14-G14)/G14,IF(ISBLANK(G14),"",IF(F14,IF( F14 &gt; 0,1,-1),"")))</f>
        <v/>
      </c>
    </row>
    <row r="15" ht="17.25" customHeight="1" s="1225">
      <c r="A15" s="1512" t="inlineStr">
        <is>
          <t>Ventes de produits fabriqués dans l'Etat partie</t>
        </is>
      </c>
      <c r="B15" s="1420" t="n"/>
      <c r="C15" s="1420" t="n"/>
      <c r="D15" s="1420" t="n"/>
      <c r="E15" s="1411" t="n"/>
      <c r="F15" s="1570">
        <f>+RESULTAT!I18</f>
        <v/>
      </c>
      <c r="G15" s="1570" t="n"/>
      <c r="H15" s="834">
        <f>IF(G15,(F15-G15)/G15,IF(ISBLANK(G15),"",IF(F15,IF( F15 &gt; 0,1,-1),"")))</f>
        <v/>
      </c>
    </row>
    <row r="16" ht="17.25" customHeight="1" s="1225">
      <c r="A16" s="1512" t="inlineStr">
        <is>
          <t>Ventes de produits fabriqués dans les autres Etats parties de la Région</t>
        </is>
      </c>
      <c r="B16" s="1420" t="n"/>
      <c r="C16" s="1420" t="n"/>
      <c r="D16" s="1420" t="n"/>
      <c r="E16" s="1411" t="n"/>
      <c r="F16" s="1570" t="n"/>
      <c r="G16" s="1570" t="n"/>
      <c r="H16" s="834">
        <f>IF(G16,(F16-G16)/G16,IF(ISBLANK(G16),"",IF(F16,IF( F16 &gt; 0,1,-1),"")))</f>
        <v/>
      </c>
    </row>
    <row r="17" ht="17.25" customHeight="1" s="1225">
      <c r="A17" s="1512" t="inlineStr">
        <is>
          <t>Ventes de produits fabriqués hors Région</t>
        </is>
      </c>
      <c r="B17" s="1420" t="n"/>
      <c r="C17" s="1420" t="n"/>
      <c r="D17" s="1420" t="n"/>
      <c r="E17" s="1411" t="n"/>
      <c r="F17" s="1570" t="n"/>
      <c r="G17" s="1570" t="n"/>
      <c r="H17" s="834">
        <f>IF(G17,(F17-G17)/G17,IF(ISBLANK(G17),"",IF(F17,IF( F17 &gt; 0,1,-1),"")))</f>
        <v/>
      </c>
    </row>
    <row r="18" ht="17.25" customHeight="1" s="1225">
      <c r="A18" s="1512" t="inlineStr">
        <is>
          <t>Ventes de produits fabriqués groupe</t>
        </is>
      </c>
      <c r="B18" s="1420" t="n"/>
      <c r="C18" s="1420" t="n"/>
      <c r="D18" s="1420" t="n"/>
      <c r="E18" s="1411" t="n"/>
      <c r="F18" s="1570" t="n"/>
      <c r="G18" s="1570" t="n"/>
      <c r="H18" s="834">
        <f>IF(G18,(F18-G18)/G18,IF(ISBLANK(G18),"",IF(F18,IF( F18 &gt; 0,1,-1),"")))</f>
        <v/>
      </c>
    </row>
    <row r="19" ht="17.25" customHeight="1" s="1225">
      <c r="A19" s="1512" t="inlineStr">
        <is>
          <t>Ventes de produits fabriqués sur internet</t>
        </is>
      </c>
      <c r="B19" s="1420" t="n"/>
      <c r="C19" s="1420" t="n"/>
      <c r="D19" s="1420" t="n"/>
      <c r="E19" s="1411" t="n"/>
      <c r="F19" s="1570" t="n"/>
      <c r="G19" s="1570" t="n"/>
      <c r="H19" s="834">
        <f>IF(G19,(F19-G19)/G19,IF(ISBLANK(G19),"",IF(F19,IF( F19 &gt; 0,1,-1),"")))</f>
        <v/>
      </c>
    </row>
    <row r="20" ht="17.25" customHeight="1" s="1225">
      <c r="A20" s="1544" t="inlineStr">
        <is>
          <t>TOTAL : VENTES DE PRODUITS FABRIQUES</t>
        </is>
      </c>
      <c r="B20" s="1420" t="n"/>
      <c r="C20" s="1420" t="n"/>
      <c r="D20" s="1420" t="n"/>
      <c r="E20" s="1411" t="n"/>
      <c r="F20" s="1631">
        <f>SUM(F15:F19)</f>
        <v/>
      </c>
      <c r="G20" s="1631">
        <f>SUM(G15:G19)</f>
        <v/>
      </c>
      <c r="H20" s="895">
        <f>IF(G20,(F20-G20)/G20,IF(ISBLANK(G20),"",IF(F20,IF( F20 &gt; 0,1,-1),"")))</f>
        <v/>
      </c>
    </row>
    <row r="21" ht="17.25" customHeight="1" s="1225">
      <c r="A21" s="1512" t="inlineStr">
        <is>
          <t>Ventes  de travaux et services dans l'Etat partie</t>
        </is>
      </c>
      <c r="B21" s="1420" t="n"/>
      <c r="C21" s="1420" t="n"/>
      <c r="D21" s="1420" t="n"/>
      <c r="E21" s="1411" t="n"/>
      <c r="F21" s="1570" t="n"/>
      <c r="G21" s="1570" t="n"/>
      <c r="H21" s="834">
        <f>IF(G21,(F21-G21)/G21,IF(ISBLANK(G21),"",IF(F21,IF( F21 &gt; 0,1,-1),"")))</f>
        <v/>
      </c>
    </row>
    <row r="22" ht="17.25" customHeight="1" s="1225">
      <c r="A22" s="1512" t="inlineStr">
        <is>
          <t>Ventes  de travaux et services dans les autres Etats parties de la Région</t>
        </is>
      </c>
      <c r="B22" s="1420" t="n"/>
      <c r="C22" s="1420" t="n"/>
      <c r="D22" s="1420" t="n"/>
      <c r="E22" s="1411" t="n"/>
      <c r="F22" s="1570" t="n"/>
      <c r="G22" s="1570" t="n"/>
      <c r="H22" s="834">
        <f>IF(G22,(F22-G22)/G22,IF(ISBLANK(G22),"",IF(F22,IF( F22 &gt; 0,1,-1),"")))</f>
        <v/>
      </c>
    </row>
    <row r="23" ht="17.25" customHeight="1" s="1225">
      <c r="A23" s="1512" t="inlineStr">
        <is>
          <t>Ventes de travaux et services hors Région</t>
        </is>
      </c>
      <c r="B23" s="1420" t="n"/>
      <c r="C23" s="1420" t="n"/>
      <c r="D23" s="1420" t="n"/>
      <c r="E23" s="1411" t="n"/>
      <c r="F23" s="1570" t="n"/>
      <c r="G23" s="1570" t="n"/>
      <c r="H23" s="834">
        <f>IF(G23,(F23-G23)/G23,IF(ISBLANK(G23),"",IF(F23,IF( F23 &gt; 0,1,-1),"")))</f>
        <v/>
      </c>
    </row>
    <row r="24" ht="17.25" customHeight="1" s="1225">
      <c r="A24" s="1512" t="inlineStr">
        <is>
          <t>Ventes de travaux et services  groupe</t>
        </is>
      </c>
      <c r="B24" s="1420" t="n"/>
      <c r="C24" s="1420" t="n"/>
      <c r="D24" s="1420" t="n"/>
      <c r="E24" s="1411" t="n"/>
      <c r="F24" s="1570" t="n"/>
      <c r="G24" s="1570" t="n"/>
      <c r="H24" s="834">
        <f>IF(G24,(F24-G24)/G24,IF(ISBLANK(G24),"",IF(F24,IF( F24 &gt; 0,1,-1),"")))</f>
        <v/>
      </c>
    </row>
    <row r="25" ht="17.25" customHeight="1" s="1225">
      <c r="A25" s="1512" t="inlineStr">
        <is>
          <t>Ventes de travaux et services  sur internet</t>
        </is>
      </c>
      <c r="B25" s="1420" t="n"/>
      <c r="C25" s="1420" t="n"/>
      <c r="D25" s="1420" t="n"/>
      <c r="E25" s="1411" t="n"/>
      <c r="F25" s="1570" t="n"/>
      <c r="G25" s="1570" t="n"/>
      <c r="H25" s="834">
        <f>IF(G25,(F25-G25)/G25,IF(ISBLANK(G25),"",IF(F25,IF( F25 &gt; 0,1,-1),"")))</f>
        <v/>
      </c>
    </row>
    <row r="26" ht="17.25" customHeight="1" s="1225">
      <c r="A26" s="1544" t="inlineStr">
        <is>
          <t>TOTAL : VENTES DE TRAVAUX ET SERVICES VENDUS</t>
        </is>
      </c>
      <c r="B26" s="1420" t="n"/>
      <c r="C26" s="1420" t="n"/>
      <c r="D26" s="1420" t="n"/>
      <c r="E26" s="1411" t="n"/>
      <c r="F26" s="1631">
        <f>SUM(F21:F25)</f>
        <v/>
      </c>
      <c r="G26" s="1631">
        <f>SUM(G21:G25)</f>
        <v/>
      </c>
      <c r="H26" s="895">
        <f>IF(G26,(F26-G26)/G26,IF(ISBLANK(G26),"",IF(F26,IF( F26 &gt; 0,1,-1),"")))</f>
        <v/>
      </c>
    </row>
    <row r="27" ht="24.75" customHeight="1" s="1225">
      <c r="A27" s="1695" t="inlineStr">
        <is>
          <t>Produits accessoires à détailler par nature d'activité économique :
dont le détail de la rubrique "Divers" de la FIRD 2</t>
        </is>
      </c>
      <c r="B27" s="1420" t="n"/>
      <c r="C27" s="1420" t="n"/>
      <c r="D27" s="1420" t="n"/>
      <c r="E27" s="1411" t="n"/>
      <c r="F27" s="133">
        <f>SUM(F28:F35)</f>
        <v/>
      </c>
      <c r="G27" s="133">
        <f>SUM(G28:G35)</f>
        <v/>
      </c>
      <c r="H27" s="834">
        <f>IF(G27,(F27-G27)/G27,IF(ISBLANK(G27),"",IF(F27,IF( F27 &gt; 0,1,-1),"")))</f>
        <v/>
      </c>
    </row>
    <row r="28" ht="17.25" customHeight="1" s="1225">
      <c r="A28" s="1696" t="n"/>
      <c r="B28" s="1395" t="n"/>
      <c r="C28" s="1395" t="n"/>
      <c r="D28" s="1395" t="n"/>
      <c r="E28" s="1396" t="n"/>
      <c r="F28" s="1570" t="n"/>
      <c r="G28" s="1570" t="n"/>
      <c r="H28" s="834">
        <f>IF(G28,(F28-G28)/G28,IF(ISBLANK(G28),"",IF(F28,IF( F28 &gt; 0,1,-1),"")))</f>
        <v/>
      </c>
    </row>
    <row r="29" ht="17.25" customHeight="1" s="1225">
      <c r="A29" s="1696" t="n"/>
      <c r="B29" s="1395" t="n"/>
      <c r="C29" s="1395" t="n"/>
      <c r="D29" s="1395" t="n"/>
      <c r="E29" s="1396" t="n"/>
      <c r="F29" s="1570" t="n"/>
      <c r="G29" s="1570" t="n"/>
      <c r="H29" s="834">
        <f>IF(G29,(F29-G29)/G29,IF(ISBLANK(G29),"",IF(F29,IF( F29 &gt; 0,1,-1),"")))</f>
        <v/>
      </c>
    </row>
    <row r="30" ht="17.25" customHeight="1" s="1225">
      <c r="A30" s="1696" t="n"/>
      <c r="B30" s="1395" t="n"/>
      <c r="C30" s="1395" t="n"/>
      <c r="D30" s="1395" t="n"/>
      <c r="E30" s="1396" t="n"/>
      <c r="F30" s="1570" t="n"/>
      <c r="G30" s="1570" t="n"/>
      <c r="H30" s="834">
        <f>IF(G30,(F30-G30)/G30,IF(ISBLANK(G30),"",IF(F30,IF( F30 &gt; 0,1,-1),"")))</f>
        <v/>
      </c>
    </row>
    <row r="31" ht="17.25" customHeight="1" s="1225">
      <c r="A31" s="1696" t="n"/>
      <c r="B31" s="1395" t="n"/>
      <c r="C31" s="1395" t="n"/>
      <c r="D31" s="1395" t="n"/>
      <c r="E31" s="1396" t="n"/>
      <c r="F31" s="1570" t="n"/>
      <c r="G31" s="1570" t="n"/>
      <c r="H31" s="834">
        <f>IF(G31,(F31-G31)/G31,IF(ISBLANK(G31),"",IF(F31,IF( F31 &gt; 0,1,-1),"")))</f>
        <v/>
      </c>
    </row>
    <row r="32" ht="17.25" customHeight="1" s="1225">
      <c r="A32" s="1696" t="n"/>
      <c r="B32" s="1395" t="n"/>
      <c r="C32" s="1395" t="n"/>
      <c r="D32" s="1395" t="n"/>
      <c r="E32" s="1396" t="n"/>
      <c r="F32" s="1570" t="n"/>
      <c r="G32" s="1570" t="n"/>
      <c r="H32" s="834">
        <f>IF(G32,(F32-G32)/G32,IF(ISBLANK(G32),"",IF(F32,IF( F32 &gt; 0,1,-1),"")))</f>
        <v/>
      </c>
    </row>
    <row r="33" ht="17.25" customHeight="1" s="1225">
      <c r="A33" s="1696" t="n"/>
      <c r="B33" s="1395" t="n"/>
      <c r="C33" s="1395" t="n"/>
      <c r="D33" s="1395" t="n"/>
      <c r="E33" s="1396" t="n"/>
      <c r="F33" s="1570" t="n"/>
      <c r="G33" s="1570" t="n"/>
      <c r="H33" s="834">
        <f>IF(G33,(F33-G33)/G33,IF(ISBLANK(G33),"",IF(F33,IF( F33 &gt; 0,1,-1),"")))</f>
        <v/>
      </c>
    </row>
    <row r="34" ht="17.25" customHeight="1" s="1225">
      <c r="A34" s="1696" t="n"/>
      <c r="B34" s="1395" t="n"/>
      <c r="C34" s="1395" t="n"/>
      <c r="D34" s="1395" t="n"/>
      <c r="E34" s="1396" t="n"/>
      <c r="F34" s="1570" t="n"/>
      <c r="G34" s="1570" t="n"/>
      <c r="H34" s="834">
        <f>IF(G34,(F34-G34)/G34,IF(ISBLANK(G34),"",IF(F34,IF( F34 &gt; 0,1,-1),"")))</f>
        <v/>
      </c>
    </row>
    <row r="35" ht="17.25" customHeight="1" s="1225">
      <c r="A35" s="1696" t="n"/>
      <c r="B35" s="1395" t="n"/>
      <c r="C35" s="1395" t="n"/>
      <c r="D35" s="1395" t="n"/>
      <c r="E35" s="1396" t="n"/>
      <c r="F35" s="1570" t="n"/>
      <c r="G35" s="1570" t="n"/>
      <c r="H35" s="834">
        <f>IF(G35,(F35-G35)/G35,IF(ISBLANK(G35),"",IF(F35,IF( F35 &gt; 0,1,-1),"")))</f>
        <v/>
      </c>
    </row>
    <row r="36" ht="17.25" customHeight="1" s="1225">
      <c r="A36" s="1699" t="inlineStr">
        <is>
          <t>TOTAL : CHIFFRES D'AFFAIRES</t>
        </is>
      </c>
      <c r="B36" s="1420" t="n"/>
      <c r="C36" s="1420" t="n"/>
      <c r="D36" s="1420" t="n"/>
      <c r="E36" s="1411" t="n"/>
      <c r="F36" s="145">
        <f>F14+F20+F26+F27</f>
        <v/>
      </c>
      <c r="G36" s="145">
        <f>G14+G20+G26+G27</f>
        <v/>
      </c>
      <c r="H36" s="895">
        <f>IF(G36,(F36-G36)/G36,IF(ISBLANK(G36),"",IF(F36,IF( F36 &gt; 0,1,-1),"")))</f>
        <v/>
      </c>
    </row>
    <row r="37" ht="17.25" customHeight="1" s="1225">
      <c r="A37" s="1672" t="inlineStr">
        <is>
          <t>Production immobilisée</t>
        </is>
      </c>
      <c r="B37" s="1420" t="n"/>
      <c r="C37" s="1420" t="n"/>
      <c r="D37" s="1420" t="n"/>
      <c r="E37" s="1411" t="n"/>
      <c r="F37" s="139" t="n"/>
      <c r="G37" s="139" t="n"/>
      <c r="H37" s="834">
        <f>IF(G37,(F37-G37)/G37,IF(ISBLANK(G37),"",IF(F37,IF( F37 &gt; 0,1,-1),"")))</f>
        <v/>
      </c>
    </row>
    <row r="38" ht="17.25" customHeight="1" s="1225">
      <c r="A38" s="1512" t="inlineStr">
        <is>
          <t>Subventions d'exploitation</t>
        </is>
      </c>
      <c r="B38" s="1420" t="n"/>
      <c r="C38" s="1420" t="n"/>
      <c r="D38" s="1420" t="n"/>
      <c r="E38" s="1411" t="n"/>
      <c r="F38" s="139" t="n"/>
      <c r="G38" s="139" t="n"/>
      <c r="H38" s="834">
        <f>IF(G38,(F38-G38)/G38,IF(ISBLANK(G38),"",IF(F38,IF( F38 &gt; 0,1,-1),"")))</f>
        <v/>
      </c>
    </row>
    <row r="39" ht="17.25" customHeight="1" s="1225">
      <c r="A39" s="1512" t="inlineStr">
        <is>
          <t>Autres produits (1)</t>
        </is>
      </c>
      <c r="B39" s="1420" t="n"/>
      <c r="C39" s="1420" t="n"/>
      <c r="D39" s="1420" t="n"/>
      <c r="E39" s="1411" t="n"/>
      <c r="F39" s="139" t="n"/>
      <c r="G39" s="139" t="n"/>
      <c r="H39" s="834" t="n"/>
    </row>
    <row r="40" ht="17.25" customHeight="1" s="1225">
      <c r="A40" s="1699" t="inlineStr">
        <is>
          <t>TOTAL : AUTRES PRODUITS</t>
        </is>
      </c>
      <c r="B40" s="1420" t="n"/>
      <c r="C40" s="1420" t="n"/>
      <c r="D40" s="1420" t="n"/>
      <c r="E40" s="1411" t="n"/>
      <c r="F40" s="145">
        <f>F38+F39</f>
        <v/>
      </c>
      <c r="G40" s="145">
        <f>G38+G39</f>
        <v/>
      </c>
      <c r="H40" s="895">
        <f>IF(G40,(F40-G40)/G40,IF(ISBLANK(G40),"",IF(F40,IF( F40 &gt; 0,1,-1),"")))</f>
        <v/>
      </c>
    </row>
    <row r="41" ht="17.25" customHeight="1" s="1225" thickBot="1">
      <c r="A41" s="1698" t="inlineStr">
        <is>
          <t>TOTAL</t>
        </is>
      </c>
      <c r="B41" s="1527" t="n"/>
      <c r="C41" s="1527" t="n"/>
      <c r="D41" s="1527" t="n"/>
      <c r="E41" s="1528" t="n"/>
      <c r="F41" s="896">
        <f>F36+F37+F40</f>
        <v/>
      </c>
      <c r="G41" s="896">
        <f>G36+G37+G40</f>
        <v/>
      </c>
      <c r="H41" s="894">
        <f>IF(G41,(F41-G41)/G41,IF(ISBLANK(G41),"",IF(F41,IF( F41 &gt; 0,1,-1),"")))</f>
        <v/>
      </c>
    </row>
    <row r="42" ht="10.15" customFormat="1" customHeight="1" s="1356">
      <c r="A42" s="1697" t="inlineStr">
        <is>
          <t>(1): Sous cette rubrique, les "Divers" de la FIRD 2 ne doivent pas figurer. Il s'agit ici des comptes 75…</t>
        </is>
      </c>
    </row>
    <row r="43" ht="14.25" customFormat="1" customHeight="1" s="1356">
      <c r="A43" s="559" t="inlineStr">
        <is>
          <t>Commentaire:</t>
        </is>
      </c>
    </row>
    <row r="44" ht="12" customFormat="1" customHeight="1" s="1356">
      <c r="A44" s="618" t="inlineStr">
        <is>
          <t>●   Justifier toute variation significative.</t>
        </is>
      </c>
    </row>
    <row r="45" ht="12" customFormat="1" customHeight="1" s="1356">
      <c r="A45" s="618" t="inlineStr">
        <is>
          <t>●   Détailler: produits intermédiaires, produits résiduels, produits accessoires et autres produits si significatifs.</t>
        </is>
      </c>
    </row>
    <row r="46" ht="12" customFormat="1" customHeight="1" s="1356">
      <c r="A46" s="623" t="inlineStr">
        <is>
          <t xml:space="preserve">●   Dans le cas de location-financement fournir les informations suivantes : </t>
        </is>
      </c>
    </row>
    <row r="47" ht="12" customFormat="1" customHeight="1" s="1356">
      <c r="A47" s="624" t="inlineStr">
        <is>
          <t xml:space="preserve">- Résultat de la vente </t>
        </is>
      </c>
    </row>
    <row r="48" ht="12" customFormat="1" customHeight="1" s="1356">
      <c r="A48" s="624" t="inlineStr">
        <is>
          <t>- Produits financiers sur l’investissement net</t>
        </is>
      </c>
    </row>
    <row r="49" ht="12" customFormat="1" customHeight="1" s="1356">
      <c r="A49" s="624" t="inlineStr">
        <is>
          <t>- Revenus locatifs liés aux loyers variables  non inclus dans l’investissement net</t>
        </is>
      </c>
    </row>
    <row r="50" ht="12" customFormat="1" customHeight="1" s="1356">
      <c r="A50" s="624" t="inlineStr">
        <is>
          <t>- Echéances des  loyers à recevoir :</t>
        </is>
      </c>
    </row>
    <row r="51" ht="36.75" customFormat="1" customHeight="1" s="1356">
      <c r="A51" s="1694" t="inlineStr">
        <is>
          <t xml:space="preserve">         • jusqu’à 1 an 
         • de 1 an à 5 ans
         • à plus de 5 ans </t>
        </is>
      </c>
    </row>
  </sheetData>
  <mergeCells count="43">
    <mergeCell ref="A30:E30"/>
    <mergeCell ref="A39:E39"/>
    <mergeCell ref="A34:E34"/>
    <mergeCell ref="B4:F4"/>
    <mergeCell ref="C6:D6"/>
    <mergeCell ref="A24:E24"/>
    <mergeCell ref="G2:H2"/>
    <mergeCell ref="A15:E15"/>
    <mergeCell ref="C5:D5"/>
    <mergeCell ref="A11:E11"/>
    <mergeCell ref="A36:E36"/>
    <mergeCell ref="A1:H1"/>
    <mergeCell ref="A7:H7"/>
    <mergeCell ref="A16:E16"/>
    <mergeCell ref="A25:E25"/>
    <mergeCell ref="A41:E41"/>
    <mergeCell ref="A37:E37"/>
    <mergeCell ref="A51:G51"/>
    <mergeCell ref="A18:E18"/>
    <mergeCell ref="A27:E27"/>
    <mergeCell ref="A21:E21"/>
    <mergeCell ref="A12:E12"/>
    <mergeCell ref="A26:E26"/>
    <mergeCell ref="A33:E33"/>
    <mergeCell ref="A42:H42"/>
    <mergeCell ref="A23:E23"/>
    <mergeCell ref="A32:E32"/>
    <mergeCell ref="C3:H3"/>
    <mergeCell ref="A8:E8"/>
    <mergeCell ref="A14:E14"/>
    <mergeCell ref="A22:E22"/>
    <mergeCell ref="A17:E17"/>
    <mergeCell ref="A29:E29"/>
    <mergeCell ref="A35:E35"/>
    <mergeCell ref="A20:E20"/>
    <mergeCell ref="A38:E38"/>
    <mergeCell ref="A10:E10"/>
    <mergeCell ref="A28:E28"/>
    <mergeCell ref="A19:E19"/>
    <mergeCell ref="A13:E13"/>
    <mergeCell ref="A31:E31"/>
    <mergeCell ref="A40:E40"/>
    <mergeCell ref="A9:E9"/>
  </mergeCells>
  <dataValidations count="1">
    <dataValidation sqref="F9:G13 F15:G19 F21:G25 F27:G35 F37:G39"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87"/>
</worksheet>
</file>

<file path=xl/worksheets/sheet48.xml><?xml version="1.0" encoding="utf-8"?>
<worksheet xmlns="http://schemas.openxmlformats.org/spreadsheetml/2006/main">
  <sheetPr codeName="Feuil47">
    <tabColor theme="4" tint="0.5999938962981048"/>
    <outlinePr summaryBelow="1" summaryRight="1"/>
    <pageSetUpPr fitToPage="1"/>
  </sheetPr>
  <dimension ref="A1:H36"/>
  <sheetViews>
    <sheetView showGridLines="0" topLeftCell="A19" workbookViewId="0">
      <selection activeCell="B14" sqref="B14"/>
    </sheetView>
  </sheetViews>
  <sheetFormatPr baseColWidth="10" defaultRowHeight="15"/>
  <cols>
    <col width="17" customWidth="1" style="1225" min="2" max="2"/>
    <col width="1.85546875" customWidth="1" style="1225" min="3" max="3"/>
    <col width="12.7109375" customWidth="1" style="1225" min="4" max="4"/>
    <col width="18" customWidth="1" style="1225" min="5" max="5"/>
    <col width="14.85546875" customWidth="1" style="1225" min="6" max="7"/>
    <col width="11.5703125" customWidth="1" style="1225" min="8" max="8"/>
  </cols>
  <sheetData>
    <row r="1">
      <c r="A1" s="1429" t="inlineStr">
        <is>
          <t>- 16 -</t>
        </is>
      </c>
    </row>
    <row r="2" ht="24.95" customHeight="1" s="1225">
      <c r="A2" s="1429" t="n"/>
      <c r="B2" s="1429" t="n"/>
      <c r="C2" s="1429" t="n"/>
      <c r="D2" s="1429" t="n"/>
      <c r="E2" s="1429" t="n"/>
      <c r="F2" s="1429" t="n"/>
      <c r="G2" s="1438" t="inlineStr">
        <is>
          <t>NOTE 22
SYSTEME NORMAL</t>
        </is>
      </c>
      <c r="H2" s="1411" t="n"/>
    </row>
    <row r="3" ht="15" customFormat="1" customHeight="1" s="1382">
      <c r="A3" s="1451" t="inlineStr">
        <is>
          <t>Dénomination sociale de l'entité :</t>
        </is>
      </c>
      <c r="B3" s="1451" t="n"/>
      <c r="C3" s="1276">
        <f>'NOTE 21'!C3</f>
        <v/>
      </c>
      <c r="D3" s="1277" t="n"/>
      <c r="E3" s="1277" t="n"/>
      <c r="F3" s="1277" t="n"/>
      <c r="G3" s="1277" t="n"/>
      <c r="H3" s="1277" t="n"/>
    </row>
    <row r="4" ht="15" customFormat="1" customHeight="1" s="1382">
      <c r="A4" s="1451" t="inlineStr">
        <is>
          <t>Adresse :</t>
        </is>
      </c>
      <c r="B4" s="1276">
        <f>'NOTE 21'!B4</f>
        <v/>
      </c>
      <c r="C4" s="1277" t="n"/>
      <c r="D4" s="1277" t="n"/>
      <c r="E4" s="1277" t="n"/>
      <c r="F4" s="1277" t="n"/>
      <c r="G4" s="1589" t="inlineStr">
        <is>
          <t>Sigle usuel :</t>
        </is>
      </c>
      <c r="H4" s="1970">
        <f>'NOTE 21'!H4</f>
        <v/>
      </c>
    </row>
    <row r="5" ht="15" customFormat="1" customHeight="1" s="1382">
      <c r="A5" s="1451" t="inlineStr">
        <is>
          <t>N° IFU :</t>
        </is>
      </c>
      <c r="B5" s="1451" t="n"/>
      <c r="C5" s="1280">
        <f>'NOTE 21'!C5</f>
        <v/>
      </c>
      <c r="D5" s="1279" t="n"/>
      <c r="E5" s="1457" t="inlineStr">
        <is>
          <t>Exercice clos le :</t>
        </is>
      </c>
      <c r="F5" s="1601">
        <f>'NOTE 21'!F5</f>
        <v/>
      </c>
      <c r="G5" s="1589" t="inlineStr">
        <is>
          <t>Durée (en mois) :</t>
        </is>
      </c>
      <c r="H5" s="111">
        <f>'NOTE 21'!H5</f>
        <v/>
      </c>
    </row>
    <row r="6" ht="15" customFormat="1" customHeight="1" s="1382">
      <c r="A6" s="259" t="inlineStr">
        <is>
          <t xml:space="preserve">N° de télédéclarant (NES): </t>
        </is>
      </c>
      <c r="B6" s="1451" t="n"/>
      <c r="C6" s="1520">
        <f>'NOTE 21'!C6</f>
        <v/>
      </c>
      <c r="D6" s="1521" t="n"/>
      <c r="E6" s="253" t="n"/>
      <c r="F6" s="1970" t="n"/>
      <c r="G6" s="254" t="n"/>
      <c r="H6" s="1970" t="n"/>
    </row>
    <row r="7" ht="35.1" customHeight="1" s="1225" thickBot="1">
      <c r="A7" s="1341" t="inlineStr">
        <is>
          <t>NOTE 22 : ACHATS</t>
        </is>
      </c>
    </row>
    <row r="8" ht="33" customHeight="1" s="1225">
      <c r="A8" s="1667" t="inlineStr">
        <is>
          <t>Libellés</t>
        </is>
      </c>
      <c r="B8" s="1509" t="n"/>
      <c r="C8" s="1509" t="n"/>
      <c r="D8" s="1509" t="n"/>
      <c r="E8" s="1562" t="n"/>
      <c r="F8" s="1750" t="inlineStr">
        <is>
          <t>Année N</t>
        </is>
      </c>
      <c r="G8" s="1750" t="inlineStr">
        <is>
          <t>Année N-1</t>
        </is>
      </c>
      <c r="H8" s="1751" t="inlineStr">
        <is>
          <t>Variation
en %</t>
        </is>
      </c>
    </row>
    <row r="9" ht="17.1" customHeight="1" s="1225">
      <c r="A9" s="1700" t="inlineStr">
        <is>
          <t>Achats de marchandises dans l'Etat partie</t>
        </is>
      </c>
      <c r="B9" s="1701" t="n"/>
      <c r="C9" s="1701" t="n"/>
      <c r="D9" s="1701" t="n"/>
      <c r="E9" s="1702" t="n"/>
      <c r="F9" s="1570" t="n"/>
      <c r="G9" s="1570" t="n"/>
      <c r="H9" s="834">
        <f>IF(G9,(F9-G9)/G9,IF(ISBLANK(G9),"",IF(F9,IF( F9 &gt; 0,1,-1),"")))</f>
        <v/>
      </c>
    </row>
    <row r="10" ht="17.1" customHeight="1" s="1225">
      <c r="A10" s="1706" t="inlineStr">
        <is>
          <t>Achats de marchandises dans les autres Etats parties de  la Région</t>
        </is>
      </c>
      <c r="B10" s="1707" t="n"/>
      <c r="C10" s="1707" t="n"/>
      <c r="D10" s="1707" t="n"/>
      <c r="E10" s="1708" t="n"/>
      <c r="F10" s="1570" t="n"/>
      <c r="G10" s="1570" t="n"/>
      <c r="H10" s="834">
        <f>IF(G10,(F10-G10)/G10,IF(ISBLANK(G10),"",IF(F10,IF( F10 &gt; 0,1,-1),"")))</f>
        <v/>
      </c>
    </row>
    <row r="11" ht="17.1" customHeight="1" s="1225">
      <c r="A11" s="1706" t="inlineStr">
        <is>
          <t>Achats de marchandises hors Région</t>
        </is>
      </c>
      <c r="B11" s="1707" t="n"/>
      <c r="C11" s="1707" t="n"/>
      <c r="D11" s="1707" t="n"/>
      <c r="E11" s="1708" t="n"/>
      <c r="F11" s="1570" t="n"/>
      <c r="G11" s="1570" t="n"/>
      <c r="H11" s="834">
        <f>IF(G11,(F11-G11)/G11,IF(ISBLANK(G11),"",IF(F11,IF( F11 &gt; 0,1,-1),"")))</f>
        <v/>
      </c>
    </row>
    <row r="12" ht="17.1" customHeight="1" s="1225">
      <c r="A12" s="1703" t="inlineStr">
        <is>
          <t>Achats de marchandises groupe</t>
        </is>
      </c>
      <c r="B12" s="1704" t="n"/>
      <c r="C12" s="1704" t="n"/>
      <c r="D12" s="1704" t="n"/>
      <c r="E12" s="1705" t="n"/>
      <c r="F12" s="1570" t="n"/>
      <c r="G12" s="1570" t="n"/>
      <c r="H12" s="834">
        <f>IF(G12,(F12-G12)/G12,IF(ISBLANK(G12),"",IF(F12,IF( F12 &gt; 0,1,-1),"")))</f>
        <v/>
      </c>
    </row>
    <row r="13" ht="17.1" customHeight="1" s="1225">
      <c r="A13" s="1544" t="inlineStr">
        <is>
          <t>TOTAL : ACHATS DE MARCHANDISES</t>
        </is>
      </c>
      <c r="B13" s="1420" t="n"/>
      <c r="C13" s="1420" t="n"/>
      <c r="D13" s="1420" t="n"/>
      <c r="E13" s="1411" t="n"/>
      <c r="F13" s="1631">
        <f>SUM(F9:F12)</f>
        <v/>
      </c>
      <c r="G13" s="1631">
        <f>SUM(G9:G12)</f>
        <v/>
      </c>
      <c r="H13" s="835">
        <f>IF(G13,(F13-G13)/G13,IF(ISBLANK(G13),"",IF(F13,IF( F13 &gt; 0,1,-1),"")))</f>
        <v/>
      </c>
    </row>
    <row r="14" ht="17.1" customHeight="1" s="1225">
      <c r="A14" s="1700" t="inlineStr">
        <is>
          <t>Achats de matières premières et fournitures liées  dans l'Etat partie</t>
        </is>
      </c>
      <c r="B14" s="1701" t="n"/>
      <c r="C14" s="1701" t="n"/>
      <c r="D14" s="1701" t="n"/>
      <c r="E14" s="1702" t="n"/>
      <c r="F14" s="1570" t="n"/>
      <c r="G14" s="1570" t="n"/>
      <c r="H14" s="834" t="n"/>
    </row>
    <row r="15" ht="27" customHeight="1" s="1225">
      <c r="A15" s="1706" t="inlineStr">
        <is>
          <t>Achats de matères premières et fournitures liées  dans les autres Etats parties de la Région</t>
        </is>
      </c>
      <c r="B15" s="1707" t="n"/>
      <c r="C15" s="1707" t="n"/>
      <c r="D15" s="1707" t="n"/>
      <c r="E15" s="1708" t="n"/>
      <c r="F15" s="1570" t="n"/>
      <c r="G15" s="1570" t="n"/>
      <c r="H15" s="834" t="n"/>
    </row>
    <row r="16" ht="17.1" customHeight="1" s="1225">
      <c r="A16" s="1706" t="inlineStr">
        <is>
          <t>Achats matières premières et fournitures liées hors Région</t>
        </is>
      </c>
      <c r="B16" s="1707" t="n"/>
      <c r="C16" s="1707" t="n"/>
      <c r="D16" s="1707" t="n"/>
      <c r="E16" s="1708" t="n"/>
      <c r="F16" s="1570" t="n"/>
      <c r="G16" s="1570" t="n"/>
      <c r="H16" s="834" t="n"/>
    </row>
    <row r="17" ht="17.1" customHeight="1" s="1225">
      <c r="A17" s="1703" t="inlineStr">
        <is>
          <t>Achats matières premières et fournitures liées groupe</t>
        </is>
      </c>
      <c r="B17" s="1704" t="n"/>
      <c r="C17" s="1704" t="n"/>
      <c r="D17" s="1704" t="n"/>
      <c r="E17" s="1705" t="n"/>
      <c r="F17" s="1570" t="n"/>
      <c r="G17" s="1570" t="n"/>
      <c r="H17" s="834" t="n"/>
    </row>
    <row r="18" ht="17.1" customHeight="1" s="1225">
      <c r="A18" s="1544" t="inlineStr">
        <is>
          <t>TOTAL : ACHATS MATIERES PREMIERES ET FOURNITURES LIEES</t>
        </is>
      </c>
      <c r="B18" s="1420" t="n"/>
      <c r="C18" s="1420" t="n"/>
      <c r="D18" s="1420" t="n"/>
      <c r="E18" s="1411" t="n"/>
      <c r="F18" s="1631" t="n"/>
      <c r="G18" s="1631" t="n"/>
      <c r="H18" s="835" t="n"/>
    </row>
    <row r="19" ht="17.1" customHeight="1" s="1225">
      <c r="A19" s="1512" t="inlineStr">
        <is>
          <t>Matières consommables</t>
        </is>
      </c>
      <c r="B19" s="1420" t="n"/>
      <c r="C19" s="1420" t="n"/>
      <c r="D19" s="1420" t="n"/>
      <c r="E19" s="1411" t="n"/>
      <c r="F19" s="1570" t="n"/>
      <c r="G19" s="1570" t="n"/>
      <c r="H19" s="834" t="n"/>
    </row>
    <row r="20" ht="17.1" customHeight="1" s="1225">
      <c r="A20" s="1512" t="inlineStr">
        <is>
          <t>Matières combustibles</t>
        </is>
      </c>
      <c r="B20" s="1420" t="n"/>
      <c r="C20" s="1420" t="n"/>
      <c r="D20" s="1420" t="n"/>
      <c r="E20" s="1411" t="n"/>
      <c r="F20" s="1570" t="n"/>
      <c r="G20" s="1570" t="n"/>
      <c r="H20" s="834" t="n"/>
    </row>
    <row r="21" ht="17.1" customHeight="1" s="1225">
      <c r="A21" s="1512" t="inlineStr">
        <is>
          <t>Produits d'entretien</t>
        </is>
      </c>
      <c r="B21" s="1420" t="n"/>
      <c r="C21" s="1420" t="n"/>
      <c r="D21" s="1420" t="n"/>
      <c r="E21" s="1411" t="n"/>
      <c r="F21" s="1570" t="n"/>
      <c r="G21" s="1570" t="n"/>
      <c r="H21" s="834" t="n"/>
    </row>
    <row r="22" ht="17.1" customHeight="1" s="1225">
      <c r="A22" s="1512" t="inlineStr">
        <is>
          <t>Fournitures d'atelier, d'usine et de magasin</t>
        </is>
      </c>
      <c r="B22" s="1420" t="n"/>
      <c r="C22" s="1420" t="n"/>
      <c r="D22" s="1420" t="n"/>
      <c r="E22" s="1411" t="n"/>
      <c r="F22" s="1570" t="n"/>
      <c r="G22" s="1570" t="n"/>
      <c r="H22" s="834" t="n"/>
    </row>
    <row r="23" ht="17.1" customHeight="1" s="1225">
      <c r="A23" s="1512" t="inlineStr">
        <is>
          <t>Eau</t>
        </is>
      </c>
      <c r="B23" s="1420" t="n"/>
      <c r="C23" s="1420" t="n"/>
      <c r="D23" s="1420" t="n"/>
      <c r="E23" s="1411" t="n"/>
      <c r="F23" s="1570" t="n"/>
      <c r="G23" s="1570" t="n"/>
      <c r="H23" s="834" t="n"/>
    </row>
    <row r="24" ht="17.1" customHeight="1" s="1225">
      <c r="A24" s="1512" t="inlineStr">
        <is>
          <t>Electricité</t>
        </is>
      </c>
      <c r="B24" s="1420" t="n"/>
      <c r="C24" s="1420" t="n"/>
      <c r="D24" s="1420" t="n"/>
      <c r="E24" s="1411" t="n"/>
      <c r="F24" s="1570" t="n"/>
      <c r="G24" s="1570" t="n"/>
      <c r="H24" s="834" t="n"/>
    </row>
    <row r="25" ht="17.1" customHeight="1" s="1225">
      <c r="A25" s="1512" t="inlineStr">
        <is>
          <t>Autres énergies</t>
        </is>
      </c>
      <c r="B25" s="1420" t="n"/>
      <c r="C25" s="1420" t="n"/>
      <c r="D25" s="1420" t="n"/>
      <c r="E25" s="1411" t="n"/>
      <c r="F25" s="1570" t="n"/>
      <c r="G25" s="1570" t="n"/>
      <c r="H25" s="834" t="n"/>
    </row>
    <row r="26" ht="17.1" customHeight="1" s="1225">
      <c r="A26" s="1512" t="inlineStr">
        <is>
          <t>Fourniture d'entretien</t>
        </is>
      </c>
      <c r="B26" s="1420" t="n"/>
      <c r="C26" s="1420" t="n"/>
      <c r="D26" s="1420" t="n"/>
      <c r="E26" s="1411" t="n"/>
      <c r="F26" s="1570" t="n"/>
      <c r="G26" s="1570" t="n"/>
      <c r="H26" s="834" t="n"/>
    </row>
    <row r="27" ht="17.1" customHeight="1" s="1225">
      <c r="A27" s="1512" t="inlineStr">
        <is>
          <t>Fourniture de bureau</t>
        </is>
      </c>
      <c r="B27" s="1420" t="n"/>
      <c r="C27" s="1420" t="n"/>
      <c r="D27" s="1420" t="n"/>
      <c r="E27" s="1411" t="n"/>
      <c r="F27" s="1570" t="n"/>
      <c r="G27" s="1570" t="n"/>
      <c r="H27" s="834" t="n"/>
    </row>
    <row r="28" ht="17.1" customHeight="1" s="1225">
      <c r="A28" s="1512" t="inlineStr">
        <is>
          <t>Petit matériel et outillages</t>
        </is>
      </c>
      <c r="B28" s="1420" t="n"/>
      <c r="C28" s="1420" t="n"/>
      <c r="D28" s="1420" t="n"/>
      <c r="E28" s="1411" t="n"/>
      <c r="F28" s="1570" t="n"/>
      <c r="G28" s="1570" t="n"/>
      <c r="H28" s="834" t="n"/>
    </row>
    <row r="29" ht="27.75" customHeight="1" s="1225">
      <c r="A29" s="1512" t="inlineStr">
        <is>
          <t>Achats études, prestations de services, de travaux matériels
et équipements</t>
        </is>
      </c>
      <c r="B29" s="1420" t="n"/>
      <c r="C29" s="1420" t="n"/>
      <c r="D29" s="1420" t="n"/>
      <c r="E29" s="1411" t="n"/>
      <c r="F29" s="1570" t="n"/>
      <c r="G29" s="1570" t="n"/>
      <c r="H29" s="834" t="n"/>
    </row>
    <row r="30" ht="17.1" customHeight="1" s="1225">
      <c r="A30" s="1512" t="inlineStr">
        <is>
          <t>Achats d'emballages</t>
        </is>
      </c>
      <c r="B30" s="1420" t="n"/>
      <c r="C30" s="1420" t="n"/>
      <c r="D30" s="1420" t="n"/>
      <c r="E30" s="1411" t="n"/>
      <c r="F30" s="1570" t="n"/>
      <c r="G30" s="1570" t="n"/>
      <c r="H30" s="834" t="n"/>
    </row>
    <row r="31" ht="17.1" customHeight="1" s="1225">
      <c r="A31" s="1512" t="inlineStr">
        <is>
          <t>Frais sur achats (1)</t>
        </is>
      </c>
      <c r="B31" s="1420" t="n"/>
      <c r="C31" s="1420" t="n"/>
      <c r="D31" s="1420" t="n"/>
      <c r="E31" s="1411" t="n"/>
      <c r="F31" s="1570" t="n"/>
      <c r="G31" s="1570" t="n"/>
      <c r="H31" s="834" t="n"/>
    </row>
    <row r="32" ht="17.1" customHeight="1" s="1225">
      <c r="A32" s="1512" t="inlineStr">
        <is>
          <t>Remises rabais, remises et ristournes (non ventilés)</t>
        </is>
      </c>
      <c r="B32" s="1420" t="n"/>
      <c r="C32" s="1420" t="n"/>
      <c r="D32" s="1420" t="n"/>
      <c r="E32" s="1411" t="n"/>
      <c r="F32" s="1570" t="n"/>
      <c r="G32" s="1570" t="n"/>
      <c r="H32" s="834" t="n"/>
    </row>
    <row r="33" ht="17.1" customHeight="1" s="1225" thickBot="1">
      <c r="A33" s="1526" t="inlineStr">
        <is>
          <t>TOTAL : AUTRES ACHATS</t>
        </is>
      </c>
      <c r="B33" s="1527" t="n"/>
      <c r="C33" s="1527" t="n"/>
      <c r="D33" s="1527" t="n"/>
      <c r="E33" s="1528" t="n"/>
      <c r="F33" s="802" t="n"/>
      <c r="G33" s="802" t="n"/>
      <c r="H33" s="837" t="n"/>
    </row>
    <row r="34" ht="10.15" customFormat="1" customHeight="1" s="1356">
      <c r="A34" s="1680" t="inlineStr">
        <is>
          <t>(1) voir la note "SUPPL5"</t>
        </is>
      </c>
    </row>
    <row r="35" ht="10.15" customFormat="1" customHeight="1" s="1356">
      <c r="A35" s="559" t="inlineStr">
        <is>
          <t>Commentaire :</t>
        </is>
      </c>
      <c r="F35" s="1101" t="n"/>
    </row>
    <row r="36" ht="10.15" customFormat="1" customHeight="1" s="1356">
      <c r="A36" s="554" t="inlineStr">
        <is>
          <t>●   Commenter toute variation significative.</t>
        </is>
      </c>
    </row>
  </sheetData>
  <mergeCells count="33">
    <mergeCell ref="A30:E30"/>
    <mergeCell ref="B4:F4"/>
    <mergeCell ref="C6:D6"/>
    <mergeCell ref="A24:E24"/>
    <mergeCell ref="G2:H2"/>
    <mergeCell ref="A15:E15"/>
    <mergeCell ref="C5:D5"/>
    <mergeCell ref="A11:E11"/>
    <mergeCell ref="A1:H1"/>
    <mergeCell ref="A16:E16"/>
    <mergeCell ref="A7:H7"/>
    <mergeCell ref="A25:E25"/>
    <mergeCell ref="A18:E18"/>
    <mergeCell ref="A27:E27"/>
    <mergeCell ref="A21:E21"/>
    <mergeCell ref="A12:E12"/>
    <mergeCell ref="A26:E26"/>
    <mergeCell ref="A33:E33"/>
    <mergeCell ref="A23:E23"/>
    <mergeCell ref="A32:E32"/>
    <mergeCell ref="A14:E14"/>
    <mergeCell ref="C3:H3"/>
    <mergeCell ref="A8:E8"/>
    <mergeCell ref="A22:E22"/>
    <mergeCell ref="A17:E17"/>
    <mergeCell ref="A29:E29"/>
    <mergeCell ref="A20:E20"/>
    <mergeCell ref="A10:E10"/>
    <mergeCell ref="A28:E28"/>
    <mergeCell ref="A19:E19"/>
    <mergeCell ref="A13:E13"/>
    <mergeCell ref="A31:E31"/>
    <mergeCell ref="A9:E9"/>
  </mergeCells>
  <dataValidations count="1">
    <dataValidation sqref="F9:G12 F14:G17 F19:G32"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5"/>
</worksheet>
</file>

<file path=xl/worksheets/sheet49.xml><?xml version="1.0" encoding="utf-8"?>
<worksheet xmlns="http://schemas.openxmlformats.org/spreadsheetml/2006/main">
  <sheetPr codeName="Feuil48">
    <tabColor theme="4" tint="0.5999938962981048"/>
    <outlinePr summaryBelow="1" summaryRight="1"/>
    <pageSetUpPr fitToPage="1"/>
  </sheetPr>
  <dimension ref="A1:H18"/>
  <sheetViews>
    <sheetView showGridLines="0" topLeftCell="A13" workbookViewId="0">
      <selection activeCell="B14" sqref="B14"/>
    </sheetView>
  </sheetViews>
  <sheetFormatPr baseColWidth="10" defaultRowHeight="15"/>
  <cols>
    <col width="16.5703125" customWidth="1" style="1225" min="2" max="2"/>
    <col width="1.85546875" customWidth="1" style="1225" min="3" max="3"/>
    <col width="14" customWidth="1" style="1225" min="4" max="4"/>
    <col width="13.7109375" customWidth="1" style="1225" min="5" max="5"/>
    <col width="15.7109375" customWidth="1" style="1225" min="6" max="7"/>
    <col width="13.140625" customWidth="1" style="1225" min="8" max="8"/>
  </cols>
  <sheetData>
    <row r="1">
      <c r="A1" s="1429" t="inlineStr">
        <is>
          <t>- 17 -</t>
        </is>
      </c>
    </row>
    <row r="2" ht="24.95" customHeight="1" s="1225">
      <c r="A2" s="1429" t="n"/>
      <c r="B2" s="1429" t="n"/>
      <c r="C2" s="1429" t="n"/>
      <c r="D2" s="1429" t="n"/>
      <c r="E2" s="1429" t="n"/>
      <c r="F2" s="1429" t="n"/>
      <c r="G2" s="1558" t="inlineStr">
        <is>
          <t>NOTE 23
SYSTEME NORMAL</t>
        </is>
      </c>
      <c r="H2" s="1411" t="n"/>
    </row>
    <row r="3" ht="15" customFormat="1" customHeight="1" s="1382">
      <c r="A3" s="1451" t="inlineStr">
        <is>
          <t>Dénomination sociale de l'entité :</t>
        </is>
      </c>
      <c r="B3" s="1451" t="n"/>
      <c r="C3" s="1276">
        <f>'NOTE 21'!C3</f>
        <v/>
      </c>
      <c r="D3" s="1277" t="n"/>
      <c r="E3" s="1277" t="n"/>
      <c r="F3" s="1277" t="n"/>
      <c r="G3" s="1277" t="n"/>
      <c r="H3" s="1277" t="n"/>
    </row>
    <row r="4" ht="15" customFormat="1" customHeight="1" s="1382">
      <c r="A4" s="1451" t="inlineStr">
        <is>
          <t>Adresse :</t>
        </is>
      </c>
      <c r="B4" s="1276">
        <f>'NOTE 21'!B4</f>
        <v/>
      </c>
      <c r="C4" s="1277" t="n"/>
      <c r="D4" s="1277" t="n"/>
      <c r="E4" s="1277" t="n"/>
      <c r="F4" s="1277" t="n"/>
      <c r="G4" s="1589" t="inlineStr">
        <is>
          <t>Sigle usuel :</t>
        </is>
      </c>
      <c r="H4" s="1488">
        <f>'NOTE 21'!H4</f>
        <v/>
      </c>
    </row>
    <row r="5" ht="15" customFormat="1" customHeight="1" s="1382">
      <c r="A5" s="1451" t="inlineStr">
        <is>
          <t>N° IFU :</t>
        </is>
      </c>
      <c r="B5" s="1451" t="n"/>
      <c r="C5" s="1280">
        <f>'NOTE 21'!C5</f>
        <v/>
      </c>
      <c r="D5" s="1279" t="n"/>
      <c r="E5" s="1457" t="inlineStr">
        <is>
          <t>Exercice clos le :</t>
        </is>
      </c>
      <c r="F5" s="1601">
        <f>'NOTE 21'!F5</f>
        <v/>
      </c>
      <c r="G5" s="1589" t="inlineStr">
        <is>
          <t>Durée (en mois) :</t>
        </is>
      </c>
      <c r="H5" s="111">
        <f>'NOTE 21'!H5</f>
        <v/>
      </c>
    </row>
    <row r="6" ht="15" customFormat="1" customHeight="1" s="1382">
      <c r="A6" s="259" t="inlineStr">
        <is>
          <t xml:space="preserve">N° de télédéclarant (NES): </t>
        </is>
      </c>
      <c r="B6" s="1451" t="n"/>
      <c r="C6" s="1520">
        <f>'NOTE 21'!C6</f>
        <v/>
      </c>
      <c r="D6" s="1521" t="n"/>
      <c r="E6" s="253" t="n"/>
      <c r="F6" s="1970" t="n"/>
      <c r="G6" s="254" t="n"/>
      <c r="H6" s="1970" t="n"/>
    </row>
    <row r="7" ht="35.1" customHeight="1" s="1225" thickBot="1">
      <c r="A7" s="1341" t="inlineStr">
        <is>
          <t>NOTE 23 : TRANSPORTS</t>
        </is>
      </c>
    </row>
    <row r="8" ht="33" customHeight="1" s="1225">
      <c r="A8" s="1667" t="inlineStr">
        <is>
          <t>Libellés</t>
        </is>
      </c>
      <c r="B8" s="1509" t="n"/>
      <c r="C8" s="1509" t="n"/>
      <c r="D8" s="1509" t="n"/>
      <c r="E8" s="1562" t="n"/>
      <c r="F8" s="1750" t="inlineStr">
        <is>
          <t>Année N</t>
        </is>
      </c>
      <c r="G8" s="1750" t="inlineStr">
        <is>
          <t>Année N-1</t>
        </is>
      </c>
      <c r="H8" s="1751" t="inlineStr">
        <is>
          <t>Variation
en %</t>
        </is>
      </c>
    </row>
    <row r="9" ht="23.25" customHeight="1" s="1225">
      <c r="A9" s="1512" t="inlineStr">
        <is>
          <t>Transports sur ventes</t>
        </is>
      </c>
      <c r="B9" s="1420" t="n"/>
      <c r="C9" s="1420" t="n"/>
      <c r="D9" s="1420" t="n"/>
      <c r="E9" s="1411" t="n"/>
      <c r="F9" s="1570" t="n"/>
      <c r="G9" s="1570" t="n"/>
      <c r="H9" s="834" t="n"/>
    </row>
    <row r="10" ht="23.25" customHeight="1" s="1225">
      <c r="A10" s="1512" t="inlineStr">
        <is>
          <t>Transports pour le compte de tiers</t>
        </is>
      </c>
      <c r="B10" s="1420" t="n"/>
      <c r="C10" s="1420" t="n"/>
      <c r="D10" s="1420" t="n"/>
      <c r="E10" s="1411" t="n"/>
      <c r="F10" s="1570" t="n"/>
      <c r="G10" s="1570" t="n"/>
      <c r="H10" s="834" t="n"/>
    </row>
    <row r="11" ht="23.25" customHeight="1" s="1225">
      <c r="A11" s="1512" t="inlineStr">
        <is>
          <t>Transport du personnel</t>
        </is>
      </c>
      <c r="B11" s="1420" t="n"/>
      <c r="C11" s="1420" t="n"/>
      <c r="D11" s="1420" t="n"/>
      <c r="E11" s="1411" t="n"/>
      <c r="F11" s="1570" t="n"/>
      <c r="G11" s="1570" t="n"/>
      <c r="H11" s="834" t="n"/>
    </row>
    <row r="12" ht="23.25" customHeight="1" s="1225">
      <c r="A12" s="1512" t="inlineStr">
        <is>
          <t>Transports de plis</t>
        </is>
      </c>
      <c r="B12" s="1420" t="n"/>
      <c r="C12" s="1420" t="n"/>
      <c r="D12" s="1420" t="n"/>
      <c r="E12" s="1411" t="n"/>
      <c r="F12" s="1570" t="n"/>
      <c r="G12" s="1570" t="n"/>
      <c r="H12" s="834" t="n"/>
    </row>
    <row r="13" ht="23.25" customHeight="1" s="1225">
      <c r="A13" s="1512" t="inlineStr">
        <is>
          <t>Voyage déplacement (transport)</t>
        </is>
      </c>
      <c r="B13" s="1420" t="n"/>
      <c r="C13" s="1420" t="n"/>
      <c r="D13" s="1420" t="n"/>
      <c r="E13" s="1411" t="n"/>
      <c r="F13" s="1570" t="n"/>
      <c r="G13" s="1570" t="n"/>
      <c r="H13" s="834" t="n"/>
    </row>
    <row r="14" ht="23.25" customHeight="1" s="1225">
      <c r="A14" s="1512" t="inlineStr">
        <is>
          <t>Transport entre établissements ou chantiers</t>
        </is>
      </c>
      <c r="B14" s="1420" t="n"/>
      <c r="C14" s="1420" t="n"/>
      <c r="D14" s="1420" t="n"/>
      <c r="E14" s="1411" t="n"/>
      <c r="F14" s="1570" t="n"/>
      <c r="G14" s="1570" t="n"/>
      <c r="H14" s="834" t="n"/>
    </row>
    <row r="15" ht="23.25" customHeight="1" s="1225">
      <c r="A15" s="1512" t="inlineStr">
        <is>
          <t>Transports administratifs</t>
        </is>
      </c>
      <c r="B15" s="1420" t="n"/>
      <c r="C15" s="1420" t="n"/>
      <c r="D15" s="1420" t="n"/>
      <c r="E15" s="1411" t="n"/>
      <c r="F15" s="1570" t="n"/>
      <c r="G15" s="1570" t="n"/>
      <c r="H15" s="834" t="n"/>
    </row>
    <row r="16" ht="23.25" customHeight="1" s="1225" thickBot="1">
      <c r="A16" s="1629" t="inlineStr">
        <is>
          <t>TOTAL</t>
        </is>
      </c>
      <c r="B16" s="1527" t="n"/>
      <c r="C16" s="1527" t="n"/>
      <c r="D16" s="1527" t="n"/>
      <c r="E16" s="1528" t="n"/>
      <c r="F16" s="1628">
        <f>SUM(F9:F15)</f>
        <v/>
      </c>
      <c r="G16" s="1628">
        <f>SUM(G9:G15)</f>
        <v/>
      </c>
      <c r="H16" s="837">
        <f>IF(G16,(F16-G16)/G16,IF(ISBLANK(G16),"",IF(F16,IF( F16 &gt; 0,1,-1),"")))</f>
        <v/>
      </c>
    </row>
    <row r="17" ht="14.25" customFormat="1" customHeight="1" s="1356">
      <c r="A17" s="559" t="inlineStr">
        <is>
          <t>Commentaire :</t>
        </is>
      </c>
    </row>
    <row r="18" ht="10.15" customFormat="1" customHeight="1" s="1356">
      <c r="A18" s="618" t="inlineStr">
        <is>
          <t>●   Commenter toute variation significative.</t>
        </is>
      </c>
    </row>
  </sheetData>
  <mergeCells count="16">
    <mergeCell ref="B4:F4"/>
    <mergeCell ref="A12:E12"/>
    <mergeCell ref="C6:D6"/>
    <mergeCell ref="A16:E16"/>
    <mergeCell ref="A7:H7"/>
    <mergeCell ref="A15:E15"/>
    <mergeCell ref="A10:E10"/>
    <mergeCell ref="G2:H2"/>
    <mergeCell ref="A14:E14"/>
    <mergeCell ref="C3:H3"/>
    <mergeCell ref="C5:D5"/>
    <mergeCell ref="A11:E11"/>
    <mergeCell ref="A8:E8"/>
    <mergeCell ref="A13:E13"/>
    <mergeCell ref="A1:H1"/>
    <mergeCell ref="A9:E9"/>
  </mergeCells>
  <dataValidations count="1">
    <dataValidation sqref="F9:G15"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5"/>
</worksheet>
</file>

<file path=xl/worksheets/sheet50.xml><?xml version="1.0" encoding="utf-8"?>
<worksheet xmlns="http://schemas.openxmlformats.org/spreadsheetml/2006/main">
  <sheetPr codeName="Feuil49">
    <tabColor theme="4" tint="0.5999938962981048"/>
    <outlinePr summaryBelow="1" summaryRight="1"/>
    <pageSetUpPr fitToPage="1"/>
  </sheetPr>
  <dimension ref="A1:H26"/>
  <sheetViews>
    <sheetView showGridLines="0" topLeftCell="A15" workbookViewId="0">
      <selection activeCell="B14" sqref="B14"/>
    </sheetView>
  </sheetViews>
  <sheetFormatPr baseColWidth="10" defaultRowHeight="15"/>
  <cols>
    <col width="16.28515625" customWidth="1" style="1225" min="1" max="1"/>
    <col width="16.5703125" customWidth="1" style="1225" min="2" max="2"/>
    <col width="2.42578125" customWidth="1" style="1225" min="3" max="3"/>
    <col width="11.28515625" customWidth="1" style="1225" min="4" max="4"/>
    <col width="13.85546875" customWidth="1" style="1225" min="5" max="5"/>
    <col width="15.7109375" customWidth="1" style="1225" min="6" max="7"/>
    <col width="14.5703125" customWidth="1" style="1225" min="8" max="8"/>
  </cols>
  <sheetData>
    <row r="1">
      <c r="A1" s="1429" t="inlineStr">
        <is>
          <t>- 18 -</t>
        </is>
      </c>
    </row>
    <row r="2" ht="24.95" customHeight="1" s="1225">
      <c r="A2" s="1429" t="n"/>
      <c r="B2" s="1429" t="n"/>
      <c r="C2" s="1429" t="n"/>
      <c r="D2" s="1429" t="n"/>
      <c r="E2" s="1429" t="n"/>
      <c r="F2" s="1429" t="n"/>
      <c r="G2" s="1438" t="inlineStr">
        <is>
          <t>NOTE 24
SYSTEME NORMAL</t>
        </is>
      </c>
      <c r="H2" s="1411" t="n"/>
    </row>
    <row r="3" ht="15" customFormat="1" customHeight="1" s="1382">
      <c r="A3" s="1451" t="inlineStr">
        <is>
          <t>Dénomination sociale de l'entité :</t>
        </is>
      </c>
      <c r="B3" s="1451" t="n"/>
      <c r="C3" s="1276">
        <f>'NOTE 21'!C3</f>
        <v/>
      </c>
      <c r="D3" s="1277" t="n"/>
      <c r="E3" s="1277" t="n"/>
      <c r="F3" s="1277" t="n"/>
      <c r="G3" s="1277" t="n"/>
      <c r="H3" s="1277" t="n"/>
    </row>
    <row r="4" ht="15" customFormat="1" customHeight="1" s="1382">
      <c r="A4" s="1451" t="inlineStr">
        <is>
          <t>Adresse :</t>
        </is>
      </c>
      <c r="B4" s="1276">
        <f>'NOTE 21'!B4</f>
        <v/>
      </c>
      <c r="C4" s="1277" t="n"/>
      <c r="D4" s="1277" t="n"/>
      <c r="E4" s="1277" t="n"/>
      <c r="F4" s="1277" t="n"/>
      <c r="G4" s="1589" t="inlineStr">
        <is>
          <t>Sigle usuel :</t>
        </is>
      </c>
      <c r="H4" s="1488">
        <f>'NOTE 21'!H4</f>
        <v/>
      </c>
    </row>
    <row r="5" ht="15" customFormat="1" customHeight="1" s="1382">
      <c r="A5" s="1451" t="inlineStr">
        <is>
          <t>N° IFU :</t>
        </is>
      </c>
      <c r="B5" s="1451" t="n"/>
      <c r="C5" s="1280">
        <f>'NOTE 21'!C5</f>
        <v/>
      </c>
      <c r="D5" s="1279" t="n"/>
      <c r="E5" s="1457" t="inlineStr">
        <is>
          <t>Exercice clos le :</t>
        </is>
      </c>
      <c r="F5" s="1601">
        <f>'NOTE 21'!F5</f>
        <v/>
      </c>
      <c r="G5" s="1589" t="inlineStr">
        <is>
          <t>Durée (en mois) :</t>
        </is>
      </c>
      <c r="H5" s="111">
        <f>'NOTE 21'!H5</f>
        <v/>
      </c>
    </row>
    <row r="6" ht="15" customFormat="1" customHeight="1" s="1382">
      <c r="A6" s="259" t="inlineStr">
        <is>
          <t xml:space="preserve">N° de télédéclarant (NES): </t>
        </is>
      </c>
      <c r="B6" s="1451" t="n"/>
      <c r="C6" s="1520">
        <f>'NOTE 21'!C6</f>
        <v/>
      </c>
      <c r="D6" s="1521" t="n"/>
      <c r="E6" s="253" t="n"/>
      <c r="F6" s="1970" t="n"/>
      <c r="G6" s="254" t="n"/>
      <c r="H6" s="1970" t="n"/>
    </row>
    <row r="7" ht="35.1" customHeight="1" s="1225" thickBot="1">
      <c r="A7" s="1341" t="inlineStr">
        <is>
          <t>NOTE 24 : SERVICES EXTERIEURS</t>
        </is>
      </c>
    </row>
    <row r="8" ht="33" customHeight="1" s="1225">
      <c r="A8" s="1667" t="inlineStr">
        <is>
          <t>Libellés</t>
        </is>
      </c>
      <c r="B8" s="1509" t="n"/>
      <c r="C8" s="1509" t="n"/>
      <c r="D8" s="1509" t="n"/>
      <c r="E8" s="1562" t="n"/>
      <c r="F8" s="1750" t="inlineStr">
        <is>
          <t>Année N</t>
        </is>
      </c>
      <c r="G8" s="1750" t="inlineStr">
        <is>
          <t>Année N-1</t>
        </is>
      </c>
      <c r="H8" s="1751" t="inlineStr">
        <is>
          <t>Variation
en %</t>
        </is>
      </c>
    </row>
    <row r="9" ht="21" customHeight="1" s="1225">
      <c r="A9" s="1512" t="inlineStr">
        <is>
          <t>Sous-traitance générale</t>
        </is>
      </c>
      <c r="B9" s="1420" t="n"/>
      <c r="C9" s="1420" t="n"/>
      <c r="D9" s="1420" t="n"/>
      <c r="E9" s="1411" t="n"/>
      <c r="F9" s="1570" t="n"/>
      <c r="G9" s="1570" t="n"/>
      <c r="H9" s="834">
        <f>IF(G9,(F9-G9)/G9,IF(ISBLANK(G9),"",IF(F9,IF( F9 &gt; 0,1,-1),"")))</f>
        <v/>
      </c>
    </row>
    <row r="10" ht="21" customHeight="1" s="1225">
      <c r="A10" s="1512" t="inlineStr">
        <is>
          <t>Locations et charges locatives</t>
        </is>
      </c>
      <c r="B10" s="1420" t="n"/>
      <c r="C10" s="1420" t="n"/>
      <c r="D10" s="1420" t="n"/>
      <c r="E10" s="1411" t="n"/>
      <c r="F10" s="1570" t="n"/>
      <c r="G10" s="1570" t="n"/>
      <c r="H10" s="834" t="n"/>
    </row>
    <row r="11" ht="21" customHeight="1" s="1225">
      <c r="A11" s="1512" t="inlineStr">
        <is>
          <t>Redevances de location acquisition</t>
        </is>
      </c>
      <c r="B11" s="1420" t="n"/>
      <c r="C11" s="1420" t="n"/>
      <c r="D11" s="1420" t="n"/>
      <c r="E11" s="1411" t="n"/>
      <c r="F11" s="1570" t="n"/>
      <c r="G11" s="1570" t="n"/>
      <c r="H11" s="834" t="n"/>
    </row>
    <row r="12" ht="21" customHeight="1" s="1225">
      <c r="A12" s="1512" t="inlineStr">
        <is>
          <t>Entretien, réparations et maintenance</t>
        </is>
      </c>
      <c r="B12" s="1420" t="n"/>
      <c r="C12" s="1420" t="n"/>
      <c r="D12" s="1420" t="n"/>
      <c r="E12" s="1411" t="n"/>
      <c r="F12" s="1570" t="n"/>
      <c r="G12" s="1570" t="n"/>
      <c r="H12" s="834" t="n"/>
    </row>
    <row r="13" ht="21" customHeight="1" s="1225">
      <c r="A13" s="1512" t="inlineStr">
        <is>
          <t>Primes d'assurance</t>
        </is>
      </c>
      <c r="B13" s="1420" t="n"/>
      <c r="C13" s="1420" t="n"/>
      <c r="D13" s="1420" t="n"/>
      <c r="E13" s="1411" t="n"/>
      <c r="F13" s="1570" t="n"/>
      <c r="G13" s="1570" t="n"/>
      <c r="H13" s="834" t="n"/>
    </row>
    <row r="14" ht="21" customHeight="1" s="1225">
      <c r="A14" s="1512" t="inlineStr">
        <is>
          <t>Etudes, recherches et documentation</t>
        </is>
      </c>
      <c r="B14" s="1420" t="n"/>
      <c r="C14" s="1420" t="n"/>
      <c r="D14" s="1420" t="n"/>
      <c r="E14" s="1411" t="n"/>
      <c r="F14" s="1570" t="n"/>
      <c r="G14" s="1570" t="n"/>
      <c r="H14" s="834" t="n"/>
    </row>
    <row r="15" ht="21" customHeight="1" s="1225">
      <c r="A15" s="1512" t="inlineStr">
        <is>
          <t>Publicité, publications, relations publiques</t>
        </is>
      </c>
      <c r="B15" s="1420" t="n"/>
      <c r="C15" s="1420" t="n"/>
      <c r="D15" s="1420" t="n"/>
      <c r="E15" s="1411" t="n"/>
      <c r="F15" s="1570" t="n"/>
      <c r="G15" s="1570" t="n"/>
      <c r="H15" s="834" t="n"/>
    </row>
    <row r="16" ht="21" customHeight="1" s="1225">
      <c r="A16" s="1512" t="inlineStr">
        <is>
          <t>Frais de télécommunications</t>
        </is>
      </c>
      <c r="B16" s="1420" t="n"/>
      <c r="C16" s="1420" t="n"/>
      <c r="D16" s="1420" t="n"/>
      <c r="E16" s="1411" t="n"/>
      <c r="F16" s="1570" t="n"/>
      <c r="G16" s="1570" t="n"/>
      <c r="H16" s="834" t="n"/>
    </row>
    <row r="17" ht="21" customHeight="1" s="1225">
      <c r="A17" s="1512" t="inlineStr">
        <is>
          <t>Frais bancaires</t>
        </is>
      </c>
      <c r="B17" s="1420" t="n"/>
      <c r="C17" s="1420" t="n"/>
      <c r="D17" s="1420" t="n"/>
      <c r="E17" s="1411" t="n"/>
      <c r="F17" s="1570" t="n"/>
      <c r="G17" s="1570" t="n"/>
      <c r="H17" s="834" t="n"/>
    </row>
    <row r="18" ht="21" customHeight="1" s="1225">
      <c r="A18" s="1512" t="inlineStr">
        <is>
          <t>Rémunérations d'intermédiaires et de conseils</t>
        </is>
      </c>
      <c r="B18" s="1420" t="n"/>
      <c r="C18" s="1420" t="n"/>
      <c r="D18" s="1420" t="n"/>
      <c r="E18" s="1411" t="n"/>
      <c r="F18" s="1570" t="n"/>
      <c r="G18" s="1570" t="n"/>
      <c r="H18" s="834" t="n"/>
    </row>
    <row r="19" ht="21" customHeight="1" s="1225">
      <c r="A19" s="1512" t="inlineStr">
        <is>
          <t>Frais de formation du personnel</t>
        </is>
      </c>
      <c r="B19" s="1420" t="n"/>
      <c r="C19" s="1420" t="n"/>
      <c r="D19" s="1420" t="n"/>
      <c r="E19" s="1411" t="n"/>
      <c r="F19" s="1570" t="n"/>
      <c r="G19" s="1570" t="n"/>
      <c r="H19" s="834" t="n"/>
    </row>
    <row r="20" ht="25.5" customHeight="1" s="1225">
      <c r="A20" s="1512" t="inlineStr">
        <is>
          <t>Redevances pour brevets, licences, logiciels, concession
et droits similaires</t>
        </is>
      </c>
      <c r="B20" s="1420" t="n"/>
      <c r="C20" s="1420" t="n"/>
      <c r="D20" s="1420" t="n"/>
      <c r="E20" s="1411" t="n"/>
      <c r="F20" s="1570" t="n"/>
      <c r="G20" s="1570" t="n"/>
      <c r="H20" s="834" t="n"/>
    </row>
    <row r="21" ht="21" customHeight="1" s="1225">
      <c r="A21" s="1512" t="inlineStr">
        <is>
          <t>Cotisations</t>
        </is>
      </c>
      <c r="B21" s="1420" t="n"/>
      <c r="C21" s="1420" t="n"/>
      <c r="D21" s="1420" t="n"/>
      <c r="E21" s="1411" t="n"/>
      <c r="F21" s="1570" t="n"/>
      <c r="G21" s="1570" t="n"/>
      <c r="H21" s="834" t="n"/>
    </row>
    <row r="22" ht="21" customHeight="1" s="1225">
      <c r="A22" s="1512" t="inlineStr">
        <is>
          <t>Rémunérations de personnel extérieur à l'entité</t>
        </is>
      </c>
      <c r="B22" s="1420" t="n"/>
      <c r="C22" s="1420" t="n"/>
      <c r="D22" s="1420" t="n"/>
      <c r="E22" s="1411" t="n"/>
      <c r="F22" s="1570" t="n"/>
      <c r="G22" s="1570" t="n"/>
      <c r="H22" s="834" t="n"/>
    </row>
    <row r="23" ht="21" customHeight="1" s="1225">
      <c r="A23" s="1512" t="inlineStr">
        <is>
          <t>Autres charges externes</t>
        </is>
      </c>
      <c r="B23" s="1420" t="n"/>
      <c r="C23" s="1420" t="n"/>
      <c r="D23" s="1420" t="n"/>
      <c r="E23" s="1411" t="n"/>
      <c r="F23" s="1570" t="n"/>
      <c r="G23" s="1570" t="n"/>
      <c r="H23" s="834" t="n"/>
    </row>
    <row r="24" ht="21" customHeight="1" s="1225" thickBot="1">
      <c r="A24" s="1604" t="inlineStr">
        <is>
          <t>TOTAL</t>
        </is>
      </c>
      <c r="B24" s="1527" t="n"/>
      <c r="C24" s="1527" t="n"/>
      <c r="D24" s="1527" t="n"/>
      <c r="E24" s="1528" t="n"/>
      <c r="F24" s="839">
        <f>SUM(F9:F23)</f>
        <v/>
      </c>
      <c r="G24" s="839">
        <f>SUM(G9:G23)</f>
        <v/>
      </c>
      <c r="H24" s="837">
        <f>IF(G24,(F24-G24)/G24,IF(ISBLANK(G24),"",IF(F24,IF( F24 &gt; 0,1,-1),"")))</f>
        <v/>
      </c>
    </row>
    <row r="25" ht="12.75" customFormat="1" customHeight="1" s="1356">
      <c r="A25" s="559" t="inlineStr">
        <is>
          <t>Commentaire :</t>
        </is>
      </c>
    </row>
    <row r="26" ht="10.15" customFormat="1" customHeight="1" s="1356">
      <c r="A26" s="614" t="inlineStr">
        <is>
          <t>●   Commenter toute variation significative.</t>
        </is>
      </c>
    </row>
  </sheetData>
  <mergeCells count="24">
    <mergeCell ref="B4:F4"/>
    <mergeCell ref="C6:D6"/>
    <mergeCell ref="A24:E24"/>
    <mergeCell ref="G2:H2"/>
    <mergeCell ref="A15:E15"/>
    <mergeCell ref="C5:D5"/>
    <mergeCell ref="A11:E11"/>
    <mergeCell ref="A1:H1"/>
    <mergeCell ref="A16:E16"/>
    <mergeCell ref="A7:H7"/>
    <mergeCell ref="A18:E18"/>
    <mergeCell ref="A21:E21"/>
    <mergeCell ref="A12:E12"/>
    <mergeCell ref="A23:E23"/>
    <mergeCell ref="A14:E14"/>
    <mergeCell ref="C3:H3"/>
    <mergeCell ref="A8:E8"/>
    <mergeCell ref="A22:E22"/>
    <mergeCell ref="A17:E17"/>
    <mergeCell ref="A20:E20"/>
    <mergeCell ref="A10:E10"/>
    <mergeCell ref="A19:E19"/>
    <mergeCell ref="A13:E13"/>
    <mergeCell ref="A9:E9"/>
  </mergeCells>
  <dataValidations count="1">
    <dataValidation sqref="F9:G23"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1"/>
</worksheet>
</file>

<file path=xl/worksheets/sheet51.xml><?xml version="1.0" encoding="utf-8"?>
<worksheet xmlns="http://schemas.openxmlformats.org/spreadsheetml/2006/main">
  <sheetPr codeName="Feuil50">
    <tabColor theme="4" tint="0.5999938962981048"/>
    <outlinePr summaryBelow="1" summaryRight="1"/>
    <pageSetUpPr fitToPage="1"/>
  </sheetPr>
  <dimension ref="A1:H17"/>
  <sheetViews>
    <sheetView showGridLines="0" topLeftCell="A10" workbookViewId="0">
      <selection activeCell="B14" sqref="B14"/>
    </sheetView>
  </sheetViews>
  <sheetFormatPr baseColWidth="10" defaultRowHeight="15"/>
  <cols>
    <col width="17" customWidth="1" style="1225" min="2" max="2"/>
    <col width="3.140625" customWidth="1" style="1225" min="4" max="4"/>
    <col width="13.7109375" customWidth="1" style="1225" min="5" max="5"/>
    <col width="15.7109375" customWidth="1" style="1225" min="6" max="7"/>
    <col width="12.42578125" customWidth="1" style="1225" min="8" max="8"/>
  </cols>
  <sheetData>
    <row r="1">
      <c r="A1" s="1429" t="inlineStr">
        <is>
          <t>- 19 -</t>
        </is>
      </c>
    </row>
    <row r="2" ht="24.95" customHeight="1" s="1225">
      <c r="A2" s="1429" t="n"/>
      <c r="B2" s="1429" t="n"/>
      <c r="C2" s="1429" t="n"/>
      <c r="D2" s="1429" t="n"/>
      <c r="E2" s="1429" t="n"/>
      <c r="F2" s="1429" t="n"/>
      <c r="G2" s="1438" t="inlineStr">
        <is>
          <t>NOTE 25
SYSTEME NORMAL</t>
        </is>
      </c>
      <c r="H2" s="1411" t="n"/>
    </row>
    <row r="3" ht="15" customFormat="1" customHeight="1" s="1382">
      <c r="A3" s="1451" t="inlineStr">
        <is>
          <t>Dénomination sociale de l'entité :</t>
        </is>
      </c>
      <c r="B3" s="1451" t="n"/>
      <c r="C3" s="1276">
        <f>'NOTE 21'!C3</f>
        <v/>
      </c>
      <c r="D3" s="1277" t="n"/>
      <c r="E3" s="1277" t="n"/>
      <c r="F3" s="1277" t="n"/>
      <c r="G3" s="1277" t="n"/>
      <c r="H3" s="1277" t="n"/>
    </row>
    <row r="4" ht="15" customFormat="1" customHeight="1" s="1382">
      <c r="A4" s="1451" t="inlineStr">
        <is>
          <t>Adresse :</t>
        </is>
      </c>
      <c r="B4" s="1276">
        <f>'NOTE 21'!B4</f>
        <v/>
      </c>
      <c r="C4" s="1277" t="n"/>
      <c r="D4" s="1277" t="n"/>
      <c r="E4" s="1277" t="n"/>
      <c r="F4" s="1277" t="n"/>
      <c r="G4" s="1589" t="inlineStr">
        <is>
          <t>Sigle usuel :</t>
        </is>
      </c>
      <c r="H4" s="1488">
        <f>'NOTE 21'!H4</f>
        <v/>
      </c>
    </row>
    <row r="5" ht="15" customFormat="1" customHeight="1" s="1382">
      <c r="A5" s="1451" t="inlineStr">
        <is>
          <t>N° IFU :</t>
        </is>
      </c>
      <c r="B5" s="1451" t="n"/>
      <c r="C5" s="1280">
        <f>'NOTE 21'!C5</f>
        <v/>
      </c>
      <c r="D5" s="1279" t="n"/>
      <c r="E5" s="1457" t="inlineStr">
        <is>
          <t>Exercice clos le :</t>
        </is>
      </c>
      <c r="F5" s="1601">
        <f>'NOTE 21'!F5</f>
        <v/>
      </c>
      <c r="G5" s="1589" t="inlineStr">
        <is>
          <t>Durée (en mois) :</t>
        </is>
      </c>
      <c r="H5" s="111">
        <f>'NOTE 21'!H5</f>
        <v/>
      </c>
    </row>
    <row r="6" ht="15" customFormat="1" customHeight="1" s="1382">
      <c r="A6" s="259" t="inlineStr">
        <is>
          <t xml:space="preserve">N° de télédéclarant (NES): </t>
        </is>
      </c>
      <c r="B6" s="1451" t="n"/>
      <c r="C6" s="1520">
        <f>'NOTE 21'!C6</f>
        <v/>
      </c>
      <c r="D6" s="1521" t="n"/>
      <c r="E6" s="253" t="n"/>
      <c r="F6" s="1970" t="n"/>
      <c r="G6" s="254" t="n"/>
      <c r="H6" s="1970" t="n"/>
    </row>
    <row r="7" ht="35.1" customHeight="1" s="1225" thickBot="1">
      <c r="A7" s="1341" t="inlineStr">
        <is>
          <t>NOTE 25 : IMPOTS ET TAXES</t>
        </is>
      </c>
    </row>
    <row r="8" ht="33" customHeight="1" s="1225">
      <c r="A8" s="1667" t="inlineStr">
        <is>
          <t>Libellés</t>
        </is>
      </c>
      <c r="B8" s="1509" t="n"/>
      <c r="C8" s="1509" t="n"/>
      <c r="D8" s="1509" t="n"/>
      <c r="E8" s="1562" t="n"/>
      <c r="F8" s="1750" t="inlineStr">
        <is>
          <t>Année N</t>
        </is>
      </c>
      <c r="G8" s="1750" t="inlineStr">
        <is>
          <t>Année N-1</t>
        </is>
      </c>
      <c r="H8" s="1751" t="inlineStr">
        <is>
          <t>Variation
en %</t>
        </is>
      </c>
    </row>
    <row r="9" ht="21" customHeight="1" s="1225">
      <c r="A9" s="1512" t="inlineStr">
        <is>
          <t>Impôts et taxes directs</t>
        </is>
      </c>
      <c r="B9" s="1420" t="n"/>
      <c r="C9" s="1420" t="n"/>
      <c r="D9" s="1420" t="n"/>
      <c r="E9" s="1411" t="n"/>
      <c r="F9" s="1570" t="n"/>
      <c r="G9" s="1570" t="n"/>
      <c r="H9" s="834" t="n"/>
    </row>
    <row r="10" ht="21" customHeight="1" s="1225">
      <c r="A10" s="1512" t="inlineStr">
        <is>
          <t>Impôts et taxes indirects</t>
        </is>
      </c>
      <c r="B10" s="1420" t="n"/>
      <c r="C10" s="1420" t="n"/>
      <c r="D10" s="1420" t="n"/>
      <c r="E10" s="1411" t="n"/>
      <c r="F10" s="1570" t="n"/>
      <c r="G10" s="1570" t="n"/>
      <c r="H10" s="834" t="n"/>
    </row>
    <row r="11" ht="21" customHeight="1" s="1225">
      <c r="A11" s="1512" t="inlineStr">
        <is>
          <t>Droits d'enregistrement</t>
        </is>
      </c>
      <c r="B11" s="1420" t="n"/>
      <c r="C11" s="1420" t="n"/>
      <c r="D11" s="1420" t="n"/>
      <c r="E11" s="1411" t="n"/>
      <c r="F11" s="1570" t="n"/>
      <c r="G11" s="1570" t="n"/>
      <c r="H11" s="834" t="n"/>
    </row>
    <row r="12" ht="21" customHeight="1" s="1225">
      <c r="A12" s="1512" t="inlineStr">
        <is>
          <t>Pénalités et amendes fiscales</t>
        </is>
      </c>
      <c r="B12" s="1420" t="n"/>
      <c r="C12" s="1420" t="n"/>
      <c r="D12" s="1420" t="n"/>
      <c r="E12" s="1411" t="n"/>
      <c r="F12" s="1570" t="n"/>
      <c r="G12" s="1570" t="n"/>
      <c r="H12" s="834" t="n"/>
    </row>
    <row r="13" ht="21" customHeight="1" s="1225">
      <c r="A13" s="1512" t="inlineStr">
        <is>
          <t>Autres impôts et taxes</t>
        </is>
      </c>
      <c r="B13" s="1420" t="n"/>
      <c r="C13" s="1420" t="n"/>
      <c r="D13" s="1420" t="n"/>
      <c r="E13" s="1411" t="n"/>
      <c r="F13" s="1570" t="n"/>
      <c r="G13" s="1570" t="n"/>
      <c r="H13" s="834" t="n"/>
    </row>
    <row r="14" ht="21" customHeight="1" s="1225" thickBot="1">
      <c r="A14" s="1604" t="inlineStr">
        <is>
          <t>TOTAL</t>
        </is>
      </c>
      <c r="B14" s="1527" t="n"/>
      <c r="C14" s="1527" t="n"/>
      <c r="D14" s="1527" t="n"/>
      <c r="E14" s="1528" t="n"/>
      <c r="F14" s="839">
        <f>SUM(F9:F13)</f>
        <v/>
      </c>
      <c r="G14" s="839">
        <f>SUM(G9:G13)</f>
        <v/>
      </c>
      <c r="H14" s="837">
        <f>IF(G14,(F14-G14)/G14,IF(ISBLANK(G14),"",IF(F14,IF( F14 &gt; 0,1,-1),"")))</f>
        <v/>
      </c>
    </row>
    <row r="15" ht="14.25" customFormat="1" customHeight="1" s="1356">
      <c r="A15" s="559" t="inlineStr">
        <is>
          <t>Commentaire:</t>
        </is>
      </c>
    </row>
    <row r="16" ht="14.25" customFormat="1" customHeight="1" s="1356">
      <c r="A16" s="618" t="inlineStr">
        <is>
          <t>●   Commenter toute variation significative.</t>
        </is>
      </c>
    </row>
    <row r="17" ht="14.25" customFormat="1" customHeight="1" s="1356">
      <c r="A17" s="618" t="inlineStr">
        <is>
          <t>●   Détailler les pénalités et amendes et indiquer la cause.</t>
        </is>
      </c>
    </row>
  </sheetData>
  <mergeCells count="14">
    <mergeCell ref="B4:F4"/>
    <mergeCell ref="A12:E12"/>
    <mergeCell ref="C6:D6"/>
    <mergeCell ref="A7:H7"/>
    <mergeCell ref="G2:H2"/>
    <mergeCell ref="A14:E14"/>
    <mergeCell ref="A10:E10"/>
    <mergeCell ref="C3:H3"/>
    <mergeCell ref="C5:D5"/>
    <mergeCell ref="A11:E11"/>
    <mergeCell ref="A8:E8"/>
    <mergeCell ref="A13:E13"/>
    <mergeCell ref="A1:H1"/>
    <mergeCell ref="A9:E9"/>
  </mergeCells>
  <dataValidations count="1">
    <dataValidation sqref="F9:G13"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6"/>
</worksheet>
</file>

<file path=xl/worksheets/sheet52.xml><?xml version="1.0" encoding="utf-8"?>
<worksheet xmlns="http://schemas.openxmlformats.org/spreadsheetml/2006/main">
  <sheetPr codeName="Feuil51">
    <tabColor theme="4" tint="0.5999938962981048"/>
    <outlinePr summaryBelow="1" summaryRight="1"/>
    <pageSetUpPr fitToPage="1"/>
  </sheetPr>
  <dimension ref="A1:H23"/>
  <sheetViews>
    <sheetView showGridLines="0" topLeftCell="A12" workbookViewId="0">
      <selection activeCell="B14" sqref="B14"/>
    </sheetView>
  </sheetViews>
  <sheetFormatPr baseColWidth="10" defaultRowHeight="15"/>
  <cols>
    <col width="17" customWidth="1" style="1225" min="2" max="2"/>
    <col width="2.42578125" customWidth="1" style="1225" min="3" max="3"/>
    <col width="11.28515625" customWidth="1" style="1225" min="4" max="4"/>
    <col width="13.85546875" customWidth="1" style="1225" min="5" max="5"/>
    <col width="15.7109375" customWidth="1" style="1225" min="6" max="7"/>
    <col width="12.5703125" customWidth="1" style="1225" min="8" max="8"/>
  </cols>
  <sheetData>
    <row r="1">
      <c r="A1" s="1429" t="inlineStr">
        <is>
          <t>- 0 -</t>
        </is>
      </c>
    </row>
    <row r="2" ht="24.95" customHeight="1" s="1225">
      <c r="A2" s="1429" t="n"/>
      <c r="B2" s="1429" t="n"/>
      <c r="C2" s="1429" t="n"/>
      <c r="D2" s="1429" t="n"/>
      <c r="E2" s="1429" t="n"/>
      <c r="F2" s="1429" t="n"/>
      <c r="G2" s="1438" t="inlineStr">
        <is>
          <t>NOTE 26
SYSTEME NORMAL</t>
        </is>
      </c>
      <c r="H2" s="1411" t="n"/>
    </row>
    <row r="3" ht="15" customFormat="1" customHeight="1" s="1382">
      <c r="A3" s="1451" t="inlineStr">
        <is>
          <t>Dénomination sociale de l'entité :</t>
        </is>
      </c>
      <c r="B3" s="1451" t="n"/>
      <c r="C3" s="1276">
        <f>'NOTE 21'!C3</f>
        <v/>
      </c>
      <c r="D3" s="1277" t="n"/>
      <c r="E3" s="1277" t="n"/>
      <c r="F3" s="1277" t="n"/>
      <c r="G3" s="1277" t="n"/>
      <c r="H3" s="1277" t="n"/>
    </row>
    <row r="4" ht="15" customFormat="1" customHeight="1" s="1382">
      <c r="A4" s="1451" t="inlineStr">
        <is>
          <t>Adresse :</t>
        </is>
      </c>
      <c r="B4" s="1276">
        <f>'NOTE 21'!B4</f>
        <v/>
      </c>
      <c r="C4" s="1277" t="n"/>
      <c r="D4" s="1277" t="n"/>
      <c r="E4" s="1277" t="n"/>
      <c r="F4" s="1277" t="n"/>
      <c r="G4" s="1589" t="inlineStr">
        <is>
          <t>Sigle usuel :</t>
        </is>
      </c>
      <c r="H4" s="1488">
        <f>'NOTE 21'!H4</f>
        <v/>
      </c>
    </row>
    <row r="5" ht="15" customFormat="1" customHeight="1" s="1382">
      <c r="A5" s="1451" t="inlineStr">
        <is>
          <t>N° IFU :</t>
        </is>
      </c>
      <c r="B5" s="1451" t="n"/>
      <c r="C5" s="1280">
        <f>'NOTE 21'!C5</f>
        <v/>
      </c>
      <c r="D5" s="1279" t="n"/>
      <c r="E5" s="1457" t="inlineStr">
        <is>
          <t>Exercice clos le :</t>
        </is>
      </c>
      <c r="F5" s="1601">
        <f>'NOTE 21'!F5</f>
        <v/>
      </c>
      <c r="G5" s="1589" t="inlineStr">
        <is>
          <t>Durée (en mois) :</t>
        </is>
      </c>
      <c r="H5" s="111">
        <f>'NOTE 21'!H5</f>
        <v/>
      </c>
    </row>
    <row r="6" ht="15" customFormat="1" customHeight="1" s="1382">
      <c r="A6" s="259" t="inlineStr">
        <is>
          <t xml:space="preserve">N° de télédéclarant (NES): </t>
        </is>
      </c>
      <c r="B6" s="1451" t="n"/>
      <c r="C6" s="1712">
        <f>'NOTE 21'!C6</f>
        <v/>
      </c>
      <c r="D6" s="1283" t="n"/>
      <c r="E6" s="1457" t="n"/>
      <c r="F6" s="2030" t="n"/>
      <c r="G6" s="1589" t="n"/>
      <c r="H6" s="2030" t="n"/>
    </row>
    <row r="7" ht="35.1" customHeight="1" s="1225" thickBot="1">
      <c r="A7" s="1341" t="inlineStr">
        <is>
          <t>NOTE 26 : AUTRES CHARGES</t>
        </is>
      </c>
    </row>
    <row r="8" ht="33" customHeight="1" s="1225" thickBot="1">
      <c r="A8" s="1710" t="inlineStr">
        <is>
          <t>Libellés</t>
        </is>
      </c>
      <c r="B8" s="1675" t="n"/>
      <c r="C8" s="1675" t="n"/>
      <c r="D8" s="1675" t="n"/>
      <c r="E8" s="1711" t="n"/>
      <c r="F8" s="898" t="inlineStr">
        <is>
          <t>Année N</t>
        </is>
      </c>
      <c r="G8" s="898" t="inlineStr">
        <is>
          <t>Année N-1</t>
        </is>
      </c>
      <c r="H8" s="899" t="inlineStr">
        <is>
          <t>Variation
en %</t>
        </is>
      </c>
    </row>
    <row r="9" ht="21" customHeight="1" s="1225">
      <c r="A9" s="1709" t="inlineStr">
        <is>
          <t>Pertes sur créances clients</t>
        </is>
      </c>
      <c r="B9" s="1516" t="n"/>
      <c r="C9" s="1516" t="n"/>
      <c r="D9" s="1516" t="n"/>
      <c r="E9" s="1517" t="n"/>
      <c r="F9" s="1657" t="n"/>
      <c r="G9" s="1657" t="n"/>
      <c r="H9" s="897">
        <f>IF(G9,(F9-G9)/G9,IF(ISBLANK(G9),"",IF(F9,IF( F9 &gt; 0,1,-1),"")))</f>
        <v/>
      </c>
    </row>
    <row r="10" ht="21" customHeight="1" s="1225">
      <c r="A10" s="1512" t="inlineStr">
        <is>
          <t>Pertes sur autres débiteurs</t>
        </is>
      </c>
      <c r="B10" s="1420" t="n"/>
      <c r="C10" s="1420" t="n"/>
      <c r="D10" s="1420" t="n"/>
      <c r="E10" s="1411" t="n"/>
      <c r="F10" s="1570" t="n"/>
      <c r="G10" s="1570" t="n"/>
      <c r="H10" s="834" t="n"/>
    </row>
    <row r="11" ht="21" customHeight="1" s="1225">
      <c r="A11" s="1512" t="inlineStr">
        <is>
          <t>Quote-part de résultat sur opérations faites en commun</t>
        </is>
      </c>
      <c r="B11" s="1420" t="n"/>
      <c r="C11" s="1420" t="n"/>
      <c r="D11" s="1420" t="n"/>
      <c r="E11" s="1411" t="n"/>
      <c r="F11" s="1570" t="n"/>
      <c r="G11" s="1570" t="n"/>
      <c r="H11" s="834" t="n"/>
    </row>
    <row r="12" ht="21" customHeight="1" s="1225">
      <c r="A12" s="1512" t="inlineStr">
        <is>
          <t>Valeur comptable des cessions courantes d'immobilisations</t>
        </is>
      </c>
      <c r="B12" s="1420" t="n"/>
      <c r="C12" s="1420" t="n"/>
      <c r="D12" s="1420" t="n"/>
      <c r="E12" s="1411" t="n"/>
      <c r="F12" s="1570" t="n"/>
      <c r="G12" s="1570" t="n"/>
      <c r="H12" s="834" t="n"/>
    </row>
    <row r="13" ht="21" customHeight="1" s="1225">
      <c r="A13" s="1518" t="inlineStr">
        <is>
          <t>Perte de change sur créances et dettes commerciales</t>
        </is>
      </c>
      <c r="B13" s="1420" t="n"/>
      <c r="C13" s="1420" t="n"/>
      <c r="D13" s="1420" t="n"/>
      <c r="E13" s="1411" t="n"/>
      <c r="F13" s="1570" t="n"/>
      <c r="G13" s="1570" t="n"/>
      <c r="H13" s="834" t="n"/>
    </row>
    <row r="14" ht="21" customHeight="1" s="1225">
      <c r="A14" s="1518" t="inlineStr">
        <is>
          <t>Pénalités et amendes pénales</t>
        </is>
      </c>
      <c r="B14" s="1420" t="n"/>
      <c r="C14" s="1420" t="n"/>
      <c r="D14" s="1420" t="n"/>
      <c r="E14" s="1411" t="n"/>
      <c r="F14" s="1570" t="n"/>
      <c r="G14" s="1570" t="n"/>
      <c r="H14" s="834" t="n"/>
    </row>
    <row r="15" ht="21" customHeight="1" s="1225">
      <c r="A15" s="1512" t="inlineStr">
        <is>
          <t>Indemnités de fonction et autres rémunérations d'administrateurs</t>
        </is>
      </c>
      <c r="B15" s="1420" t="n"/>
      <c r="C15" s="1420" t="n"/>
      <c r="D15" s="1420" t="n"/>
      <c r="E15" s="1411" t="n"/>
      <c r="F15" s="1570" t="n"/>
      <c r="G15" s="1570" t="n"/>
      <c r="H15" s="834" t="n"/>
    </row>
    <row r="16" ht="21" customHeight="1" s="1225">
      <c r="A16" s="1512" t="inlineStr">
        <is>
          <t>Dons et mécénat</t>
        </is>
      </c>
      <c r="B16" s="1420" t="n"/>
      <c r="C16" s="1420" t="n"/>
      <c r="D16" s="1420" t="n"/>
      <c r="E16" s="1411" t="n"/>
      <c r="F16" s="1570" t="n"/>
      <c r="G16" s="1570" t="n"/>
      <c r="H16" s="834" t="n"/>
    </row>
    <row r="17" ht="21" customHeight="1" s="1225">
      <c r="A17" s="1512" t="inlineStr">
        <is>
          <t>Autres charges diverses</t>
        </is>
      </c>
      <c r="B17" s="1420" t="n"/>
      <c r="C17" s="1420" t="n"/>
      <c r="D17" s="1420" t="n"/>
      <c r="E17" s="1411" t="n"/>
      <c r="F17" s="1570" t="n"/>
      <c r="G17" s="1570" t="n"/>
      <c r="H17" s="834" t="n"/>
    </row>
    <row r="18" ht="28.5" customHeight="1" s="1225">
      <c r="A18" s="1512" t="inlineStr">
        <is>
          <t>Charges pour dépréciations et provisions pour risques à court terme d'exploitation (voir note 28)</t>
        </is>
      </c>
      <c r="B18" s="1420" t="n"/>
      <c r="C18" s="1420" t="n"/>
      <c r="D18" s="1420" t="n"/>
      <c r="E18" s="1411" t="n"/>
      <c r="F18" s="1570" t="n"/>
      <c r="G18" s="1570" t="n"/>
      <c r="H18" s="834">
        <f>IF(G18,(F18-G18)/G18,IF(ISBLANK(G18),"",IF(F18,IF( F18 &gt; 0,1,-1),"")))</f>
        <v/>
      </c>
    </row>
    <row r="19" ht="21" customHeight="1" s="1225" thickBot="1">
      <c r="A19" s="1604" t="inlineStr">
        <is>
          <t>TOTAL</t>
        </is>
      </c>
      <c r="B19" s="1527" t="n"/>
      <c r="C19" s="1527" t="n"/>
      <c r="D19" s="1527" t="n"/>
      <c r="E19" s="1528" t="n"/>
      <c r="F19" s="839">
        <f>SUM(F9:F18)</f>
        <v/>
      </c>
      <c r="G19" s="839">
        <f>SUM(G9:G18)</f>
        <v/>
      </c>
      <c r="H19" s="837">
        <f>IF(G19,(F19-G19)/G19,IF(ISBLANK(G19),"",IF(F19,IF( F19 &gt; 0,1,-1),"")))</f>
        <v/>
      </c>
    </row>
    <row r="20" ht="10.15" customFormat="1" customHeight="1" s="1356">
      <c r="A20" s="559" t="inlineStr">
        <is>
          <t>Commentaire :</t>
        </is>
      </c>
    </row>
    <row r="21" ht="10.15" customFormat="1" customHeight="1" s="1356">
      <c r="A21" s="618" t="inlineStr">
        <is>
          <t>●   Commenter toute variation significative.</t>
        </is>
      </c>
      <c r="F21" s="1101" t="n"/>
    </row>
    <row r="22" ht="10.15" customFormat="1" customHeight="1" s="1356">
      <c r="A22" s="618" t="inlineStr">
        <is>
          <t>●   Indiquer la date du PV de l'AGO ou du CA qui fixe les rémunérations des administrateurs.</t>
        </is>
      </c>
    </row>
    <row r="23" ht="10.15" customFormat="1" customHeight="1" s="1356">
      <c r="A23" s="618" t="inlineStr">
        <is>
          <t>●   Indiquer les organismes bénéficiaires des dons.</t>
        </is>
      </c>
    </row>
  </sheetData>
  <mergeCells count="19">
    <mergeCell ref="B4:F4"/>
    <mergeCell ref="C6:D6"/>
    <mergeCell ref="G2:H2"/>
    <mergeCell ref="A15:E15"/>
    <mergeCell ref="C5:D5"/>
    <mergeCell ref="A11:E11"/>
    <mergeCell ref="A1:H1"/>
    <mergeCell ref="A16:E16"/>
    <mergeCell ref="A7:H7"/>
    <mergeCell ref="A18:E18"/>
    <mergeCell ref="A12:E12"/>
    <mergeCell ref="A14:E14"/>
    <mergeCell ref="C3:H3"/>
    <mergeCell ref="A8:E8"/>
    <mergeCell ref="A17:E17"/>
    <mergeCell ref="A10:E10"/>
    <mergeCell ref="A19:E19"/>
    <mergeCell ref="A13:E13"/>
    <mergeCell ref="A9:E9"/>
  </mergeCells>
  <dataValidations count="1">
    <dataValidation sqref="F9:G18"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7"/>
</worksheet>
</file>

<file path=xl/worksheets/sheet53.xml><?xml version="1.0" encoding="utf-8"?>
<worksheet xmlns="http://schemas.openxmlformats.org/spreadsheetml/2006/main">
  <sheetPr codeName="Feuil52">
    <tabColor theme="4" tint="0.5999938962981048"/>
    <outlinePr summaryBelow="1" summaryRight="1"/>
    <pageSetUpPr/>
  </sheetPr>
  <dimension ref="A1:H20"/>
  <sheetViews>
    <sheetView showGridLines="0" topLeftCell="A10" workbookViewId="0">
      <selection activeCell="B14" sqref="B14"/>
    </sheetView>
  </sheetViews>
  <sheetFormatPr baseColWidth="10" defaultRowHeight="15"/>
  <cols>
    <col width="9.7109375" customWidth="1" style="1225" min="2" max="2"/>
    <col width="2.42578125" customWidth="1" style="1225" min="3" max="3"/>
    <col width="9.140625" customWidth="1" style="1225" min="4" max="4"/>
    <col width="15.28515625" customWidth="1" style="1225" min="5" max="5"/>
    <col width="15.7109375" customWidth="1" style="1225" min="6" max="7"/>
    <col width="12.5703125" customWidth="1" style="1225" min="8" max="8"/>
  </cols>
  <sheetData>
    <row r="1">
      <c r="A1" s="1429" t="inlineStr">
        <is>
          <t>- 0 -</t>
        </is>
      </c>
    </row>
    <row r="2" ht="24.95" customHeight="1" s="1225">
      <c r="A2" s="1429" t="n"/>
      <c r="B2" s="1429" t="n"/>
      <c r="C2" s="1429" t="n"/>
      <c r="D2" s="1429" t="n"/>
      <c r="E2" s="1429" t="n"/>
      <c r="F2" s="1429" t="n"/>
      <c r="G2" s="1558" t="inlineStr">
        <is>
          <t>NOTE 27A
SYSTEME NORMAL</t>
        </is>
      </c>
      <c r="H2" s="1411" t="n"/>
    </row>
    <row r="3" ht="15" customFormat="1" customHeight="1" s="1382">
      <c r="A3" s="1451" t="inlineStr">
        <is>
          <t>Dénomination sociale de l'entité :</t>
        </is>
      </c>
      <c r="B3" s="1451" t="n"/>
      <c r="D3" s="1276">
        <f>'NOTE 20'!C3</f>
        <v/>
      </c>
      <c r="E3" s="1277" t="n"/>
      <c r="F3" s="1277" t="n"/>
      <c r="G3" s="1277" t="n"/>
      <c r="H3" s="1277" t="n"/>
    </row>
    <row r="4" ht="15" customFormat="1" customHeight="1" s="1382">
      <c r="A4" s="1451" t="inlineStr">
        <is>
          <t>Adresse :</t>
        </is>
      </c>
      <c r="B4" s="1276">
        <f>'NOTE 21'!B4</f>
        <v/>
      </c>
      <c r="C4" s="1277" t="n"/>
      <c r="D4" s="1277" t="n"/>
      <c r="E4" s="1277" t="n"/>
      <c r="F4" s="1277" t="n"/>
      <c r="G4" s="1589" t="inlineStr">
        <is>
          <t>Sigle usuel :</t>
        </is>
      </c>
      <c r="H4" s="1488">
        <f>'NOTE 21'!H4</f>
        <v/>
      </c>
    </row>
    <row r="5" ht="15" customFormat="1" customHeight="1" s="1382">
      <c r="A5" s="1451" t="inlineStr">
        <is>
          <t>N° IFU :</t>
        </is>
      </c>
      <c r="B5" s="1451" t="n"/>
      <c r="C5" s="1280">
        <f>'NOTE 21'!C5</f>
        <v/>
      </c>
      <c r="D5" s="1279" t="n"/>
      <c r="E5" s="1457" t="inlineStr">
        <is>
          <t>Exercice clos le :</t>
        </is>
      </c>
      <c r="F5" s="1601">
        <f>'NOTE 21'!F5</f>
        <v/>
      </c>
      <c r="G5" s="1589" t="inlineStr">
        <is>
          <t>Durée (en mois) :</t>
        </is>
      </c>
      <c r="H5" s="111">
        <f>'NOTE 21'!H5</f>
        <v/>
      </c>
    </row>
    <row r="6" ht="15" customFormat="1" customHeight="1" s="1382">
      <c r="A6" s="259" t="inlineStr">
        <is>
          <t xml:space="preserve">N° de télédéclarant (NES): </t>
        </is>
      </c>
      <c r="B6" s="1451" t="n"/>
      <c r="C6" s="1520">
        <f>'NOTE 21'!C6</f>
        <v/>
      </c>
      <c r="D6" s="1521" t="n"/>
      <c r="E6" s="253" t="n"/>
      <c r="F6" s="1970" t="n"/>
      <c r="G6" s="254" t="n"/>
      <c r="H6" s="1970" t="n"/>
    </row>
    <row r="7" ht="35.1" customHeight="1" s="1225" thickBot="1">
      <c r="A7" s="1341" t="inlineStr">
        <is>
          <t>NOTE 27A : CHARGES DE PERSONNEL</t>
        </is>
      </c>
    </row>
    <row r="8" ht="33" customHeight="1" s="1225">
      <c r="A8" s="1667" t="inlineStr">
        <is>
          <t>Libellés</t>
        </is>
      </c>
      <c r="B8" s="1509" t="n"/>
      <c r="C8" s="1509" t="n"/>
      <c r="D8" s="1509" t="n"/>
      <c r="E8" s="1562" t="n"/>
      <c r="F8" s="1750" t="inlineStr">
        <is>
          <t>Année N</t>
        </is>
      </c>
      <c r="G8" s="1750" t="inlineStr">
        <is>
          <t>Année N-1</t>
        </is>
      </c>
      <c r="H8" s="1751" t="inlineStr">
        <is>
          <t>Variation
en %</t>
        </is>
      </c>
    </row>
    <row r="9" ht="21" customHeight="1" s="1225">
      <c r="A9" s="1512" t="inlineStr">
        <is>
          <t>Rémunérations directes versées au personnel national</t>
        </is>
      </c>
      <c r="B9" s="1420" t="n"/>
      <c r="C9" s="1420" t="n"/>
      <c r="D9" s="1420" t="n"/>
      <c r="E9" s="1411" t="n"/>
      <c r="F9" s="1570" t="n"/>
      <c r="G9" s="1570" t="n"/>
      <c r="H9" s="834" t="n"/>
    </row>
    <row r="10" ht="29.25" customHeight="1" s="1225">
      <c r="A10" s="1512" t="inlineStr">
        <is>
          <t>Rémunérations directes versées au personnel non national</t>
        </is>
      </c>
      <c r="B10" s="1420" t="n"/>
      <c r="C10" s="1420" t="n"/>
      <c r="D10" s="1420" t="n"/>
      <c r="E10" s="1411" t="n"/>
      <c r="F10" s="1570" t="n"/>
      <c r="G10" s="1570" t="n"/>
      <c r="H10" s="834" t="n"/>
    </row>
    <row r="11" ht="21" customHeight="1" s="1225">
      <c r="A11" s="1512" t="inlineStr">
        <is>
          <t>Indemnités forfaitaires versées au personnel</t>
        </is>
      </c>
      <c r="B11" s="1420" t="n"/>
      <c r="C11" s="1420" t="n"/>
      <c r="D11" s="1420" t="n"/>
      <c r="E11" s="1411" t="n"/>
      <c r="F11" s="1570" t="n"/>
      <c r="G11" s="1570" t="n"/>
      <c r="H11" s="834" t="n"/>
    </row>
    <row r="12" ht="21" customHeight="1" s="1225">
      <c r="A12" s="1512" t="inlineStr">
        <is>
          <t>Charges de sécurité sociale (personnel national)</t>
        </is>
      </c>
      <c r="B12" s="1420" t="n"/>
      <c r="C12" s="1420" t="n"/>
      <c r="D12" s="1420" t="n"/>
      <c r="E12" s="1411" t="n"/>
      <c r="F12" s="1570" t="n"/>
      <c r="G12" s="1570" t="n"/>
      <c r="H12" s="834" t="n"/>
    </row>
    <row r="13" ht="21" customHeight="1" s="1225">
      <c r="A13" s="1512" t="inlineStr">
        <is>
          <t>Charges de sécurité sociale (personnel non national)</t>
        </is>
      </c>
      <c r="B13" s="1420" t="n"/>
      <c r="C13" s="1420" t="n"/>
      <c r="D13" s="1420" t="n"/>
      <c r="E13" s="1411" t="n"/>
      <c r="F13" s="1570" t="n"/>
      <c r="G13" s="1570" t="n"/>
      <c r="H13" s="834" t="n"/>
    </row>
    <row r="14" ht="24.75" customHeight="1" s="1225">
      <c r="A14" s="1512" t="inlineStr">
        <is>
          <t>Rémunérations et charges sociales de l'exploitant individuel</t>
        </is>
      </c>
      <c r="B14" s="1420" t="n"/>
      <c r="C14" s="1420" t="n"/>
      <c r="D14" s="1420" t="n"/>
      <c r="E14" s="1411" t="n"/>
      <c r="F14" s="1570" t="n"/>
      <c r="G14" s="1570" t="n"/>
      <c r="H14" s="834" t="n"/>
    </row>
    <row r="15" ht="21" customHeight="1" s="1225">
      <c r="A15" s="1512" t="inlineStr">
        <is>
          <t>Rémunération transférée de personnel extérieur</t>
        </is>
      </c>
      <c r="B15" s="1420" t="n"/>
      <c r="C15" s="1420" t="n"/>
      <c r="D15" s="1420" t="n"/>
      <c r="E15" s="1411" t="n"/>
      <c r="F15" s="1570" t="n"/>
      <c r="G15" s="1570" t="n"/>
      <c r="H15" s="834" t="n"/>
    </row>
    <row r="16" ht="21" customHeight="1" s="1225">
      <c r="A16" s="1512" t="inlineStr">
        <is>
          <t>Autres charges sociales</t>
        </is>
      </c>
      <c r="B16" s="1420" t="n"/>
      <c r="C16" s="1420" t="n"/>
      <c r="D16" s="1420" t="n"/>
      <c r="E16" s="1411" t="n"/>
      <c r="F16" s="1570" t="n"/>
      <c r="G16" s="1570" t="n"/>
      <c r="H16" s="834" t="n"/>
    </row>
    <row r="17" ht="21" customHeight="1" s="1225" thickBot="1">
      <c r="A17" s="1604" t="inlineStr">
        <is>
          <t>TOTAL</t>
        </is>
      </c>
      <c r="B17" s="1527" t="n"/>
      <c r="C17" s="1527" t="n"/>
      <c r="D17" s="1527" t="n"/>
      <c r="E17" s="1528" t="n"/>
      <c r="F17" s="839">
        <f>SUM(F9:F16)</f>
        <v/>
      </c>
      <c r="G17" s="839">
        <f>SUM(G9:G16)</f>
        <v/>
      </c>
      <c r="H17" s="837">
        <f>IF(G17,(F17-G17)/G17,IF(ISBLANK(G17),"",IF(F17,IF( F17 &gt; 0,1,-1),"")))</f>
        <v/>
      </c>
    </row>
    <row r="18" ht="10.15" customFormat="1" customHeight="1" s="1356">
      <c r="A18" s="559" t="inlineStr">
        <is>
          <t>Commentaire :</t>
        </is>
      </c>
      <c r="F18" s="1101" t="n"/>
    </row>
    <row r="19" ht="10.15" customFormat="1" customHeight="1" s="1356">
      <c r="A19" s="618" t="inlineStr">
        <is>
          <t>●   Commenter toute variation significative.</t>
        </is>
      </c>
      <c r="F19" s="1101" t="n"/>
    </row>
    <row r="20" ht="10.15" customFormat="1" customHeight="1" s="1356">
      <c r="A20" s="618" t="inlineStr">
        <is>
          <t>●   Indiquer la nature et la durée du contrat du personnel extérieur.</t>
        </is>
      </c>
      <c r="F20" s="1101" t="n"/>
    </row>
  </sheetData>
  <mergeCells count="17">
    <mergeCell ref="B4:F4"/>
    <mergeCell ref="A1:H1"/>
    <mergeCell ref="A12:E12"/>
    <mergeCell ref="C6:D6"/>
    <mergeCell ref="A7:H7"/>
    <mergeCell ref="G2:H2"/>
    <mergeCell ref="A16:E16"/>
    <mergeCell ref="A10:E10"/>
    <mergeCell ref="A15:E15"/>
    <mergeCell ref="C5:D5"/>
    <mergeCell ref="A11:E11"/>
    <mergeCell ref="A8:E8"/>
    <mergeCell ref="A13:E13"/>
    <mergeCell ref="A14:E14"/>
    <mergeCell ref="A17:E17"/>
    <mergeCell ref="A9:E9"/>
    <mergeCell ref="D3:H3"/>
  </mergeCells>
  <dataValidations count="1">
    <dataValidation sqref="F9:G16" showDropDown="0" showInputMessage="1" showErrorMessage="1" allowBlank="1" errorTitle="Attention!" error="Valeur numérique attendue" type="whole">
      <formula1>-9999999999999</formula1>
      <formula2>9999999999999</formula2>
    </dataValidation>
  </dataValidations>
  <printOptions horizontalCentered="1"/>
  <pageMargins left="0.3152778" right="0.3152778" top="0.3541667" bottom="0.3541667" header="0.3152778" footer="0.3152778"/>
  <pageSetup orientation="portrait" paperSize="9"/>
</worksheet>
</file>

<file path=xl/worksheets/sheet54.xml><?xml version="1.0" encoding="utf-8"?>
<worksheet xmlns="http://schemas.openxmlformats.org/spreadsheetml/2006/main">
  <sheetPr codeName="Feuil53">
    <tabColor theme="4" tint="0.5999938962981048"/>
    <outlinePr summaryBelow="1" summaryRight="1"/>
    <pageSetUpPr fitToPage="1"/>
  </sheetPr>
  <dimension ref="A1:S31"/>
  <sheetViews>
    <sheetView showGridLines="0" topLeftCell="A21" workbookViewId="0">
      <selection activeCell="B14" sqref="B14"/>
    </sheetView>
  </sheetViews>
  <sheetFormatPr baseColWidth="10" defaultRowHeight="15"/>
  <cols>
    <col width="4" customWidth="1" style="1225" min="1" max="1"/>
    <col width="7.42578125" customWidth="1" style="1225" min="4" max="4"/>
    <col width="5.140625" customWidth="1" style="1225" min="5" max="10"/>
    <col width="8.7109375" customWidth="1" style="1225" min="11" max="11"/>
    <col width="13.7109375" customWidth="1" style="1225" min="12" max="13"/>
    <col width="0.42578125" customWidth="1" style="1225" min="14" max="14"/>
    <col width="13.7109375" customWidth="1" style="1225" min="15" max="19"/>
  </cols>
  <sheetData>
    <row r="1">
      <c r="A1" s="1429" t="inlineStr">
        <is>
          <t>- 20 -</t>
        </is>
      </c>
    </row>
    <row r="2" ht="24.95" customHeight="1" s="1225">
      <c r="A2" s="1429" t="n"/>
      <c r="B2" s="1429" t="n"/>
      <c r="C2" s="1429" t="n"/>
      <c r="D2" s="1429" t="n"/>
      <c r="E2" s="1429" t="n"/>
      <c r="F2" s="1429" t="n"/>
      <c r="R2" s="1438" t="inlineStr">
        <is>
          <t>NOTE 27B
SYSTEME NORMAL</t>
        </is>
      </c>
      <c r="S2" s="1411" t="n"/>
    </row>
    <row r="3" ht="15" customFormat="1" customHeight="1" s="1382">
      <c r="A3" s="1451" t="inlineStr">
        <is>
          <t>Dénomination sociale de l'entité :</t>
        </is>
      </c>
      <c r="B3" s="1451" t="n"/>
      <c r="D3" s="1276">
        <f>'NOTE 21'!C3</f>
        <v/>
      </c>
      <c r="E3" s="1277" t="n"/>
      <c r="F3" s="1277" t="n"/>
      <c r="G3" s="1277" t="n"/>
      <c r="H3" s="1277" t="n"/>
      <c r="I3" s="1277" t="n"/>
      <c r="J3" s="1277" t="n"/>
      <c r="K3" s="1277" t="n"/>
      <c r="L3" s="1277" t="n"/>
      <c r="M3" s="1277" t="n"/>
      <c r="N3" s="1277" t="n"/>
      <c r="O3" s="1277" t="n"/>
      <c r="P3" s="1277" t="n"/>
      <c r="Q3" s="1277" t="n"/>
      <c r="R3" s="1277" t="n"/>
      <c r="S3" s="1277" t="n"/>
    </row>
    <row r="4" ht="15" customFormat="1" customHeight="1" s="1382">
      <c r="A4" s="1451" t="inlineStr">
        <is>
          <t>Adresse :</t>
        </is>
      </c>
      <c r="C4" s="1276">
        <f>'NOTE 21'!B4</f>
        <v/>
      </c>
      <c r="D4" s="1277" t="n"/>
      <c r="E4" s="1277" t="n"/>
      <c r="F4" s="1277" t="n"/>
      <c r="G4" s="1277" t="n"/>
      <c r="H4" s="1277" t="n"/>
      <c r="I4" s="1277" t="n"/>
      <c r="J4" s="1277" t="n"/>
      <c r="K4" s="1277" t="n"/>
      <c r="L4" s="1277" t="n"/>
      <c r="M4" s="1277" t="n"/>
      <c r="N4" s="1277" t="n"/>
      <c r="O4" s="1277" t="n"/>
      <c r="P4" s="1277" t="n"/>
      <c r="Q4" s="1450" t="inlineStr">
        <is>
          <t>Sigle usuel :</t>
        </is>
      </c>
      <c r="R4" s="1285">
        <f>'NOTE 21'!H4</f>
        <v/>
      </c>
      <c r="S4" s="1277" t="n"/>
    </row>
    <row r="5" ht="15" customFormat="1" customHeight="1" s="1382">
      <c r="A5" s="1451" t="inlineStr">
        <is>
          <t>N° IFU :</t>
        </is>
      </c>
      <c r="B5" s="1451" t="n"/>
      <c r="D5" s="1276">
        <f>'NOTE 21'!C5</f>
        <v/>
      </c>
      <c r="E5" s="1277" t="n"/>
      <c r="F5" s="1277" t="n"/>
      <c r="G5" s="1277" t="n"/>
      <c r="H5" s="1277" t="n"/>
      <c r="I5" s="1277" t="n"/>
      <c r="J5" s="1277" t="n"/>
      <c r="K5" s="1277" t="n"/>
      <c r="L5" s="1457" t="inlineStr">
        <is>
          <t>Exercice clos le :</t>
        </is>
      </c>
      <c r="O5" s="1563">
        <f>'NOTE 21'!F5</f>
        <v/>
      </c>
      <c r="P5" s="1277" t="n"/>
      <c r="R5" s="1589" t="inlineStr">
        <is>
          <t>Durée (en mois) :</t>
        </is>
      </c>
      <c r="S5" s="1970">
        <f>'NOTE 21'!H5</f>
        <v/>
      </c>
    </row>
    <row r="6" ht="15" customFormat="1" customHeight="1" s="1382">
      <c r="A6" s="259" t="inlineStr">
        <is>
          <t xml:space="preserve">N° de télédéclarant (NES): </t>
        </is>
      </c>
      <c r="B6" s="1451" t="n"/>
      <c r="D6" s="1520">
        <f>'NOTE 21'!C6</f>
        <v/>
      </c>
      <c r="E6" s="1521" t="n"/>
      <c r="F6" s="1521" t="n"/>
      <c r="G6" s="1521" t="n"/>
      <c r="H6" s="1521" t="n"/>
      <c r="I6" s="1521" t="n"/>
      <c r="J6" s="1521" t="n"/>
      <c r="K6" s="1521" t="n"/>
      <c r="L6" s="253" t="n"/>
      <c r="M6" s="253" t="n"/>
      <c r="N6" s="253" t="n"/>
      <c r="O6" s="1970" t="n"/>
      <c r="P6" s="1970" t="n"/>
      <c r="Q6" s="258" t="n"/>
      <c r="R6" s="254" t="n"/>
      <c r="S6" s="1970" t="n"/>
    </row>
    <row r="7" ht="35.1" customHeight="1" s="1225" thickBot="1">
      <c r="A7" s="1341" t="inlineStr">
        <is>
          <t>NOTE 27B : EFFECTIFS, MASSE SALARIALE ET PERSONNEL EXTERIEUR</t>
        </is>
      </c>
    </row>
    <row r="8">
      <c r="A8" s="49" t="n"/>
      <c r="B8" s="1739" t="inlineStr">
        <is>
          <t>EFFECTIF  ET MASSE SALARIALE</t>
        </is>
      </c>
      <c r="C8" s="1475" t="n"/>
      <c r="D8" s="1560" t="n"/>
      <c r="E8" s="1738" t="inlineStr">
        <is>
          <t>EFFECTIFS</t>
        </is>
      </c>
      <c r="F8" s="1509" t="n"/>
      <c r="G8" s="1509" t="n"/>
      <c r="H8" s="1509" t="n"/>
      <c r="I8" s="1509" t="n"/>
      <c r="J8" s="1509" t="n"/>
      <c r="K8" s="1562" t="n"/>
      <c r="L8" s="1738" t="inlineStr">
        <is>
          <t>MASSE SALARIALE</t>
        </is>
      </c>
      <c r="M8" s="1509" t="n"/>
      <c r="N8" s="1509" t="n"/>
      <c r="O8" s="1509" t="n"/>
      <c r="P8" s="1509" t="n"/>
      <c r="Q8" s="1509" t="n"/>
      <c r="R8" s="1509" t="n"/>
      <c r="S8" s="1562" t="n"/>
    </row>
    <row r="9">
      <c r="A9" s="49" t="n"/>
      <c r="B9" s="1727" t="n"/>
      <c r="D9" s="1550" t="n"/>
      <c r="E9" s="1721" t="inlineStr">
        <is>
          <t>Nationaux</t>
        </is>
      </c>
      <c r="F9" s="1583" t="n"/>
      <c r="G9" s="1721" t="inlineStr">
        <is>
          <t>Autres
Etats de
l'OHADA</t>
        </is>
      </c>
      <c r="H9" s="1583" t="n"/>
      <c r="I9" s="1721" t="inlineStr">
        <is>
          <t>Hors
OHADA</t>
        </is>
      </c>
      <c r="J9" s="1583" t="n"/>
      <c r="K9" s="1721" t="inlineStr">
        <is>
          <t>TOTAL</t>
        </is>
      </c>
      <c r="L9" s="1721" t="inlineStr">
        <is>
          <t>Nationaux</t>
        </is>
      </c>
      <c r="M9" s="1583" t="n"/>
      <c r="N9" s="117" t="n"/>
      <c r="O9" s="1721" t="inlineStr">
        <is>
          <t>Autres Etats
de l'OHADA</t>
        </is>
      </c>
      <c r="P9" s="1583" t="n"/>
      <c r="Q9" s="1721" t="inlineStr">
        <is>
          <t>Hors OHADA</t>
        </is>
      </c>
      <c r="R9" s="1583" t="n"/>
      <c r="S9" s="1729" t="inlineStr">
        <is>
          <t>TOTAL</t>
        </is>
      </c>
    </row>
    <row r="10" ht="24" customHeight="1" s="1225">
      <c r="A10" s="49" t="n"/>
      <c r="B10" s="1720" t="n"/>
      <c r="C10" s="1516" t="n"/>
      <c r="D10" s="1517" t="n"/>
      <c r="E10" s="1594" t="n"/>
      <c r="F10" s="1517" t="n"/>
      <c r="G10" s="1594" t="n"/>
      <c r="H10" s="1517" t="n"/>
      <c r="I10" s="1594" t="n"/>
      <c r="J10" s="1517" t="n"/>
      <c r="K10" s="1524" t="n"/>
      <c r="L10" s="1594" t="n"/>
      <c r="M10" s="1517" t="n"/>
      <c r="N10" s="116" t="n"/>
      <c r="O10" s="1594" t="n"/>
      <c r="P10" s="1517" t="n"/>
      <c r="Q10" s="1594" t="n"/>
      <c r="R10" s="1517" t="n"/>
      <c r="S10" s="1565" t="n"/>
    </row>
    <row r="11" ht="14.25" customFormat="1" customHeight="1" s="1590" thickBot="1">
      <c r="A11" s="49" t="n"/>
      <c r="B11" s="1740" t="inlineStr">
        <is>
          <t>QUALIFICATIONS</t>
        </is>
      </c>
      <c r="D11" s="1550" t="n"/>
      <c r="E11" s="117" t="inlineStr">
        <is>
          <t>M</t>
        </is>
      </c>
      <c r="F11" s="117" t="inlineStr">
        <is>
          <t>F</t>
        </is>
      </c>
      <c r="G11" s="117" t="inlineStr">
        <is>
          <t>M</t>
        </is>
      </c>
      <c r="H11" s="117" t="inlineStr">
        <is>
          <t>F</t>
        </is>
      </c>
      <c r="I11" s="117" t="inlineStr">
        <is>
          <t>M</t>
        </is>
      </c>
      <c r="J11" s="117" t="inlineStr">
        <is>
          <t>F</t>
        </is>
      </c>
      <c r="K11" s="50" t="n"/>
      <c r="L11" s="117" t="inlineStr">
        <is>
          <t>M</t>
        </is>
      </c>
      <c r="M11" s="117" t="inlineStr">
        <is>
          <t>F</t>
        </is>
      </c>
      <c r="N11" s="117" t="n"/>
      <c r="O11" s="117" t="inlineStr">
        <is>
          <t>M</t>
        </is>
      </c>
      <c r="P11" s="117" t="inlineStr">
        <is>
          <t>F</t>
        </is>
      </c>
      <c r="Q11" s="117" t="inlineStr">
        <is>
          <t>M</t>
        </is>
      </c>
      <c r="R11" s="117" t="inlineStr">
        <is>
          <t>F</t>
        </is>
      </c>
      <c r="S11" s="901" t="n"/>
    </row>
    <row r="12">
      <c r="A12" s="908" t="inlineStr">
        <is>
          <t>YA</t>
        </is>
      </c>
      <c r="B12" s="1730" t="inlineStr">
        <is>
          <t>1. Cadres supérieurs</t>
        </is>
      </c>
      <c r="C12" s="1420" t="n"/>
      <c r="D12" s="1411" t="n"/>
      <c r="E12" s="146" t="n"/>
      <c r="F12" s="146" t="n"/>
      <c r="G12" s="146" t="n"/>
      <c r="H12" s="146" t="n"/>
      <c r="I12" s="146" t="n"/>
      <c r="J12" s="146" t="n"/>
      <c r="K12" s="51" t="n"/>
      <c r="L12" s="147" t="n"/>
      <c r="M12" s="147" t="n"/>
      <c r="N12" s="118" t="n"/>
      <c r="O12" s="147" t="n"/>
      <c r="P12" s="147" t="n"/>
      <c r="Q12" s="147" t="n"/>
      <c r="R12" s="147" t="n"/>
      <c r="S12" s="902">
        <f>L12+M12+O12+P12+Q12+R12</f>
        <v/>
      </c>
    </row>
    <row r="13" ht="25.5" customHeight="1" s="1225">
      <c r="A13" s="909" t="inlineStr">
        <is>
          <t>YB</t>
        </is>
      </c>
      <c r="B13" s="1730" t="inlineStr">
        <is>
          <t>2. Techniciens supérieurs
et cadres moyens</t>
        </is>
      </c>
      <c r="C13" s="1420" t="n"/>
      <c r="D13" s="1411" t="n"/>
      <c r="E13" s="146" t="n"/>
      <c r="F13" s="146" t="n"/>
      <c r="G13" s="146" t="n"/>
      <c r="H13" s="146" t="n"/>
      <c r="I13" s="146" t="n"/>
      <c r="J13" s="146" t="n"/>
      <c r="K13" s="51" t="n"/>
      <c r="L13" s="147" t="n"/>
      <c r="M13" s="147" t="n"/>
      <c r="N13" s="118" t="n"/>
      <c r="O13" s="147" t="n"/>
      <c r="P13" s="147" t="n"/>
      <c r="Q13" s="147" t="n"/>
      <c r="R13" s="147" t="n"/>
      <c r="S13" s="902">
        <f>L13+M13+O13+P13+Q13+R13</f>
        <v/>
      </c>
    </row>
    <row r="14" ht="25.5" customHeight="1" s="1225">
      <c r="A14" s="909" t="inlineStr">
        <is>
          <t>YC</t>
        </is>
      </c>
      <c r="B14" s="1730" t="inlineStr">
        <is>
          <t>3. Techniciens, agents de maîtrise
et ouvriers  qualifiés</t>
        </is>
      </c>
      <c r="C14" s="1420" t="n"/>
      <c r="D14" s="1411" t="n"/>
      <c r="E14" s="146" t="n"/>
      <c r="F14" s="146" t="n"/>
      <c r="G14" s="146" t="n"/>
      <c r="H14" s="146" t="n"/>
      <c r="I14" s="146" t="n"/>
      <c r="J14" s="146" t="n"/>
      <c r="K14" s="51" t="n"/>
      <c r="L14" s="147" t="n"/>
      <c r="M14" s="147" t="n"/>
      <c r="N14" s="118" t="n"/>
      <c r="O14" s="147" t="n"/>
      <c r="P14" s="147" t="n"/>
      <c r="Q14" s="147" t="n"/>
      <c r="R14" s="147" t="n"/>
      <c r="S14" s="902">
        <f>L14+M14+O14+P14+Q14+R14</f>
        <v/>
      </c>
    </row>
    <row r="15" ht="25.5" customHeight="1" s="1225">
      <c r="A15" s="909" t="inlineStr">
        <is>
          <t>YD</t>
        </is>
      </c>
      <c r="B15" s="1730" t="inlineStr">
        <is>
          <t>4. Employés, manœuvres,
ouvriers, et apprentis</t>
        </is>
      </c>
      <c r="C15" s="1420" t="n"/>
      <c r="D15" s="1411" t="n"/>
      <c r="E15" s="146" t="n"/>
      <c r="F15" s="146" t="n"/>
      <c r="G15" s="146" t="n"/>
      <c r="H15" s="146" t="n"/>
      <c r="I15" s="146" t="n"/>
      <c r="J15" s="146" t="n"/>
      <c r="K15" s="51" t="n"/>
      <c r="L15" s="147" t="n"/>
      <c r="M15" s="147" t="n"/>
      <c r="N15" s="118" t="n"/>
      <c r="O15" s="147" t="n"/>
      <c r="P15" s="147" t="n"/>
      <c r="Q15" s="147" t="n"/>
      <c r="R15" s="147" t="n"/>
      <c r="S15" s="902">
        <f>L15+M15+O15+P15+Q15+R15</f>
        <v/>
      </c>
    </row>
    <row r="16">
      <c r="A16" s="909" t="inlineStr">
        <is>
          <t>YE</t>
        </is>
      </c>
      <c r="B16" s="1718" t="inlineStr">
        <is>
          <t>TOTAL (1) (A)</t>
        </is>
      </c>
      <c r="C16" s="1420" t="n"/>
      <c r="D16" s="1411" t="n"/>
      <c r="E16" s="51">
        <f>SUM(E12:E15)</f>
        <v/>
      </c>
      <c r="F16" s="51">
        <f>SUM(F12:F15)</f>
        <v/>
      </c>
      <c r="G16" s="51">
        <f>SUM(G12:G15)</f>
        <v/>
      </c>
      <c r="H16" s="51">
        <f>SUM(H12:H15)</f>
        <v/>
      </c>
      <c r="I16" s="51">
        <f>SUM(I12:I15)</f>
        <v/>
      </c>
      <c r="J16" s="51">
        <f>SUM(J12:J15)</f>
        <v/>
      </c>
      <c r="K16" s="51">
        <f>SUM(K12:K15)</f>
        <v/>
      </c>
      <c r="L16" s="47">
        <f>SUM(L12:L15)</f>
        <v/>
      </c>
      <c r="M16" s="47">
        <f>SUM(M12:M15)</f>
        <v/>
      </c>
      <c r="N16" s="47" t="n"/>
      <c r="O16" s="47">
        <f>SUM(O12:O15)</f>
        <v/>
      </c>
      <c r="P16" s="47">
        <f>SUM(P12:P15)</f>
        <v/>
      </c>
      <c r="Q16" s="47">
        <f>SUM(Q12:Q15)</f>
        <v/>
      </c>
      <c r="R16" s="47">
        <f>SUM(R12:R15)</f>
        <v/>
      </c>
      <c r="S16" s="902">
        <f>L16+M16+O16+P16+Q16+R16</f>
        <v/>
      </c>
    </row>
    <row r="17">
      <c r="A17" s="909" t="inlineStr">
        <is>
          <t>YF</t>
        </is>
      </c>
      <c r="B17" s="1730" t="inlineStr">
        <is>
          <t>Permanents</t>
        </is>
      </c>
      <c r="C17" s="1420" t="n"/>
      <c r="D17" s="1411" t="n"/>
      <c r="E17" s="146" t="n"/>
      <c r="F17" s="146" t="n"/>
      <c r="G17" s="146" t="n"/>
      <c r="H17" s="146" t="n"/>
      <c r="I17" s="146" t="n"/>
      <c r="J17" s="146" t="n"/>
      <c r="K17" s="51">
        <f>SUM(E17:J17)</f>
        <v/>
      </c>
      <c r="L17" s="147" t="n"/>
      <c r="M17" s="147" t="n"/>
      <c r="N17" s="118" t="n"/>
      <c r="O17" s="147" t="n"/>
      <c r="P17" s="147" t="n"/>
      <c r="Q17" s="147" t="n"/>
      <c r="R17" s="147" t="n"/>
      <c r="S17" s="902">
        <f>L17+M17+O17+P17+Q17+R17</f>
        <v/>
      </c>
    </row>
    <row r="18" ht="15" customHeight="1" s="1225" thickBot="1">
      <c r="A18" s="910" t="inlineStr">
        <is>
          <t>YG</t>
        </is>
      </c>
      <c r="B18" s="1726" t="inlineStr">
        <is>
          <t>Saisonniers</t>
        </is>
      </c>
      <c r="C18" s="1527" t="n"/>
      <c r="D18" s="1528" t="n"/>
      <c r="E18" s="903" t="n"/>
      <c r="F18" s="903" t="n"/>
      <c r="G18" s="903" t="n"/>
      <c r="H18" s="903" t="n"/>
      <c r="I18" s="903" t="n"/>
      <c r="J18" s="903" t="n"/>
      <c r="K18" s="904">
        <f>SUM(E18:J18)</f>
        <v/>
      </c>
      <c r="L18" s="905" t="n"/>
      <c r="M18" s="905" t="n"/>
      <c r="N18" s="906" t="n"/>
      <c r="O18" s="905" t="n"/>
      <c r="P18" s="905" t="n"/>
      <c r="Q18" s="905" t="n"/>
      <c r="R18" s="905" t="n"/>
      <c r="S18" s="907">
        <f>L18+M18+O18+P18+Q18+R18</f>
        <v/>
      </c>
    </row>
    <row r="19" ht="7.5" customHeight="1" s="1225" thickBot="1">
      <c r="A19" s="110" t="n"/>
      <c r="B19" s="49" t="n"/>
      <c r="C19" s="1333" t="n"/>
      <c r="D19" s="1333" t="n"/>
      <c r="E19" s="110" t="n"/>
      <c r="F19" s="110" t="n"/>
      <c r="G19" s="110" t="n"/>
      <c r="H19" s="110" t="n"/>
      <c r="I19" s="110" t="n"/>
      <c r="J19" s="110" t="n"/>
      <c r="K19" s="115" t="n"/>
      <c r="L19" s="49" t="n"/>
      <c r="M19" s="49" t="n"/>
      <c r="N19" s="49" t="n"/>
      <c r="O19" s="49" t="n"/>
      <c r="P19" s="49" t="n"/>
      <c r="Q19" s="49" t="n"/>
      <c r="R19" s="49" t="n"/>
      <c r="S19" s="49" t="n"/>
    </row>
    <row r="20" ht="17.25" customHeight="1" s="1225">
      <c r="A20" s="110" t="n"/>
      <c r="B20" s="49" t="n"/>
      <c r="C20" s="1333" t="n"/>
      <c r="D20" s="1333" t="n"/>
      <c r="E20" s="110" t="n"/>
      <c r="F20" s="110" t="n"/>
      <c r="G20" s="110" t="n"/>
      <c r="H20" s="110" t="n"/>
      <c r="I20" s="110" t="n"/>
      <c r="J20" s="110" t="n"/>
      <c r="K20" s="115" t="n"/>
      <c r="L20" s="1741" t="inlineStr">
        <is>
          <t>Facturation à l'entité</t>
        </is>
      </c>
      <c r="M20" s="1573" t="n"/>
      <c r="N20" s="110" t="n"/>
      <c r="P20" s="113" t="n"/>
      <c r="Q20" s="113" t="n"/>
      <c r="R20" s="131" t="n"/>
      <c r="S20" s="1714" t="inlineStr">
        <is>
          <t>Note n°/référence
aus autres parties
des états financiers</t>
        </is>
      </c>
    </row>
    <row r="21" ht="17.25" customHeight="1" s="1225" thickBot="1">
      <c r="A21" s="110" t="n"/>
      <c r="B21" s="1735" t="inlineStr">
        <is>
          <t>2. Personnel extérieur</t>
        </is>
      </c>
      <c r="E21" s="110" t="n"/>
      <c r="F21" s="110" t="n"/>
      <c r="G21" s="110" t="n"/>
      <c r="H21" s="110" t="n"/>
      <c r="I21" s="110" t="n"/>
      <c r="J21" s="110" t="n"/>
      <c r="K21" s="115" t="n"/>
      <c r="L21" s="1742" t="n"/>
      <c r="M21" s="1743" t="n"/>
      <c r="N21" s="110" t="n"/>
      <c r="O21" s="113" t="n"/>
      <c r="P21" s="113" t="n"/>
      <c r="Q21" s="113" t="n"/>
      <c r="R21" s="131" t="n"/>
      <c r="S21" s="1715" t="n"/>
    </row>
    <row r="22" ht="17.25" customHeight="1" s="1225">
      <c r="A22" s="911" t="inlineStr">
        <is>
          <t>YH</t>
        </is>
      </c>
      <c r="B22" s="1725" t="inlineStr">
        <is>
          <t>1. Cadres supérieurs</t>
        </is>
      </c>
      <c r="C22" s="1509" t="n"/>
      <c r="D22" s="1562" t="n"/>
      <c r="E22" s="912" t="n"/>
      <c r="F22" s="912" t="n"/>
      <c r="G22" s="912" t="n"/>
      <c r="H22" s="912" t="n"/>
      <c r="I22" s="912" t="n"/>
      <c r="J22" s="912" t="n"/>
      <c r="K22" s="913">
        <f>SUM(E22:J22)</f>
        <v/>
      </c>
      <c r="L22" s="914" t="n"/>
      <c r="M22" s="915" t="n"/>
      <c r="N22" s="52" t="n"/>
      <c r="O22" s="1719" t="inlineStr">
        <is>
          <t>B - Montants comptabilisés non rapportés
dans l'état 301 (2)</t>
        </is>
      </c>
      <c r="P22" s="1475" t="n"/>
      <c r="Q22" s="1560" t="n"/>
      <c r="R22" s="1733" t="n"/>
      <c r="S22" s="1723" t="n"/>
    </row>
    <row r="23" ht="25.5" customHeight="1" s="1225">
      <c r="A23" s="916" t="inlineStr">
        <is>
          <t>YI</t>
        </is>
      </c>
      <c r="B23" s="1717" t="inlineStr">
        <is>
          <t>2. Techniciens supérieurs
et cadres moyens</t>
        </is>
      </c>
      <c r="C23" s="1420" t="n"/>
      <c r="D23" s="1411" t="n"/>
      <c r="E23" s="146" t="n"/>
      <c r="F23" s="146" t="n"/>
      <c r="G23" s="146" t="n"/>
      <c r="H23" s="146" t="n"/>
      <c r="I23" s="146" t="n"/>
      <c r="J23" s="146" t="n"/>
      <c r="K23" s="51">
        <f>SUM(E23:J23)</f>
        <v/>
      </c>
      <c r="L23" s="147" t="n"/>
      <c r="M23" s="917" t="n"/>
      <c r="N23" s="52" t="n"/>
      <c r="O23" s="1720" t="n"/>
      <c r="P23" s="1516" t="n"/>
      <c r="Q23" s="1517" t="n"/>
      <c r="R23" s="1734" t="n"/>
      <c r="S23" s="1724" t="n"/>
    </row>
    <row r="24" ht="36.75" customHeight="1" s="1225">
      <c r="A24" s="916" t="inlineStr">
        <is>
          <t>YJ</t>
        </is>
      </c>
      <c r="B24" s="1717" t="inlineStr">
        <is>
          <t>3. Techniciens, agents de maîtrise
et ouvriers  qualifiés</t>
        </is>
      </c>
      <c r="C24" s="1420" t="n"/>
      <c r="D24" s="1411" t="n"/>
      <c r="E24" s="146" t="n"/>
      <c r="F24" s="146" t="n"/>
      <c r="G24" s="146" t="n"/>
      <c r="H24" s="146" t="n"/>
      <c r="I24" s="146" t="n"/>
      <c r="J24" s="146" t="n"/>
      <c r="K24" s="51">
        <f>SUM(E24:J24)</f>
        <v/>
      </c>
      <c r="L24" s="147" t="n"/>
      <c r="M24" s="917" t="n"/>
      <c r="N24" s="52" t="n"/>
      <c r="O24" s="1722" t="inlineStr">
        <is>
          <t>C - Montants des avantages en nature et
en espèces comptabilisés en comptes decharges de personnel</t>
        </is>
      </c>
      <c r="P24" s="1420" t="n"/>
      <c r="Q24" s="1411" t="n"/>
      <c r="R24" s="366" t="n"/>
      <c r="S24" s="920" t="n"/>
    </row>
    <row r="25" ht="25.5" customHeight="1" s="1225" thickBot="1">
      <c r="A25" s="916" t="inlineStr">
        <is>
          <t>YK</t>
        </is>
      </c>
      <c r="B25" s="1717" t="inlineStr">
        <is>
          <t>4. Employés, manœuvres,
ouvriers, et apprentis</t>
        </is>
      </c>
      <c r="C25" s="1420" t="n"/>
      <c r="D25" s="1411" t="n"/>
      <c r="E25" s="146" t="n"/>
      <c r="F25" s="146" t="n"/>
      <c r="G25" s="146" t="n"/>
      <c r="H25" s="146" t="n"/>
      <c r="I25" s="146" t="n"/>
      <c r="J25" s="146" t="n"/>
      <c r="K25" s="51">
        <f>SUM(E25:J25)</f>
        <v/>
      </c>
      <c r="L25" s="147" t="n"/>
      <c r="M25" s="917" t="n"/>
      <c r="N25" s="52" t="n"/>
      <c r="O25" s="1737" t="inlineStr">
        <is>
          <t>Total frais de personnel ligne RK
( A + B + C)</t>
        </is>
      </c>
      <c r="P25" s="1527" t="n"/>
      <c r="Q25" s="1528" t="n"/>
      <c r="R25" s="921">
        <f>S16+R22+R24</f>
        <v/>
      </c>
      <c r="S25" s="922" t="n"/>
    </row>
    <row r="26" ht="15" customHeight="1" s="1225">
      <c r="A26" s="916" t="inlineStr">
        <is>
          <t>YL</t>
        </is>
      </c>
      <c r="B26" s="1713" t="inlineStr">
        <is>
          <t>TOTAL (2)</t>
        </is>
      </c>
      <c r="C26" s="1420" t="n"/>
      <c r="D26" s="1411" t="n"/>
      <c r="E26" s="51">
        <f>SUM(E22:E25)</f>
        <v/>
      </c>
      <c r="F26" s="51">
        <f>SUM(F22:F25)</f>
        <v/>
      </c>
      <c r="G26" s="51">
        <f>SUM(G22:G25)</f>
        <v/>
      </c>
      <c r="H26" s="51">
        <f>SUM(H22:H25)</f>
        <v/>
      </c>
      <c r="I26" s="51">
        <f>SUM(I22:I25)</f>
        <v/>
      </c>
      <c r="J26" s="51">
        <f>SUM(J22:J25)</f>
        <v/>
      </c>
      <c r="K26" s="51">
        <f>SUM(K22:K25)</f>
        <v/>
      </c>
      <c r="L26" s="51">
        <f>SUM(L22:L25)</f>
        <v/>
      </c>
      <c r="M26" s="918">
        <f>SUM(M22:M25)</f>
        <v/>
      </c>
      <c r="N26" s="53" t="n"/>
      <c r="O26" s="1731" t="inlineStr">
        <is>
          <t>(1): Montants indiqués dans l'état 301 hors avantages en nature et en espèces</t>
        </is>
      </c>
    </row>
    <row r="27">
      <c r="A27" s="916" t="inlineStr">
        <is>
          <t>YM</t>
        </is>
      </c>
      <c r="B27" s="1717" t="inlineStr">
        <is>
          <t>Permanents</t>
        </is>
      </c>
      <c r="C27" s="1420" t="n"/>
      <c r="D27" s="1411" t="n"/>
      <c r="E27" s="146" t="n"/>
      <c r="F27" s="146" t="n"/>
      <c r="G27" s="146" t="n"/>
      <c r="H27" s="146" t="n"/>
      <c r="I27" s="146" t="n"/>
      <c r="J27" s="146" t="n"/>
      <c r="K27" s="51">
        <f>SUM(E27:J27)</f>
        <v/>
      </c>
      <c r="L27" s="147" t="n"/>
      <c r="M27" s="917" t="n"/>
      <c r="N27" s="52" t="n"/>
      <c r="O27" s="1716" t="inlineStr">
        <is>
          <t>(2): dont provisions pour congés payés</t>
        </is>
      </c>
    </row>
    <row r="28" ht="14.25" customHeight="1" s="1225">
      <c r="A28" s="916" t="inlineStr">
        <is>
          <t>YN</t>
        </is>
      </c>
      <c r="B28" s="1717" t="inlineStr">
        <is>
          <t>Saisonniers</t>
        </is>
      </c>
      <c r="C28" s="1420" t="n"/>
      <c r="D28" s="1411" t="n"/>
      <c r="E28" s="146" t="n"/>
      <c r="F28" s="146" t="n"/>
      <c r="G28" s="146" t="n"/>
      <c r="H28" s="146" t="n"/>
      <c r="I28" s="146" t="n"/>
      <c r="J28" s="146" t="n"/>
      <c r="K28" s="51">
        <f>SUM(E28:J28)</f>
        <v/>
      </c>
      <c r="L28" s="147" t="n"/>
      <c r="M28" s="917" t="n"/>
      <c r="N28" s="52" t="n"/>
      <c r="O28" s="120" t="inlineStr">
        <is>
          <t>M : Masculin</t>
        </is>
      </c>
      <c r="P28" s="49" t="n"/>
      <c r="Q28" s="49" t="n"/>
      <c r="R28" s="49" t="n"/>
      <c r="S28" s="49" t="n"/>
    </row>
    <row r="29" ht="15" customHeight="1" s="1225" thickBot="1">
      <c r="A29" s="919" t="inlineStr">
        <is>
          <t>YO</t>
        </is>
      </c>
      <c r="B29" s="1736" t="inlineStr">
        <is>
          <t>TOTAL (1 + 2)</t>
        </is>
      </c>
      <c r="C29" s="1527" t="n"/>
      <c r="D29" s="1528" t="n"/>
      <c r="E29" s="904">
        <f>E16+E26</f>
        <v/>
      </c>
      <c r="F29" s="904">
        <f>F16+F26</f>
        <v/>
      </c>
      <c r="G29" s="904">
        <f>G16+G26</f>
        <v/>
      </c>
      <c r="H29" s="904">
        <f>H16+H26</f>
        <v/>
      </c>
      <c r="I29" s="904">
        <f>I16+I26</f>
        <v/>
      </c>
      <c r="J29" s="904">
        <f>J16+J26</f>
        <v/>
      </c>
      <c r="K29" s="904">
        <f>K16+K26</f>
        <v/>
      </c>
      <c r="L29" s="1732" t="n"/>
      <c r="M29" s="1528" t="n"/>
      <c r="N29" s="54" t="n"/>
      <c r="O29" s="49" t="inlineStr">
        <is>
          <t>F: Féminin</t>
        </is>
      </c>
      <c r="P29" s="49" t="n"/>
      <c r="Q29" s="49" t="n"/>
      <c r="R29" s="49" t="n"/>
      <c r="S29" s="49" t="n"/>
    </row>
    <row r="30" ht="12" customHeight="1" s="1225">
      <c r="A30" s="1728" t="inlineStr">
        <is>
          <t xml:space="preserve">Commentaire: </t>
        </is>
      </c>
      <c r="E30" s="552" t="n"/>
      <c r="F30" s="552" t="n"/>
      <c r="G30" s="552" t="n"/>
      <c r="H30" s="552" t="n"/>
      <c r="I30" s="552" t="n"/>
      <c r="J30" s="552" t="n"/>
      <c r="K30" s="552" t="n"/>
      <c r="L30" s="552" t="n"/>
      <c r="M30" s="552" t="n"/>
      <c r="N30" s="552" t="n"/>
      <c r="O30" s="552" t="n"/>
      <c r="P30" s="552" t="n"/>
    </row>
    <row r="31" ht="12" customHeight="1" s="1225">
      <c r="A31" s="1728" t="inlineStr">
        <is>
          <t>●   Faire un commentaire si nécessaire en cas de mouvement significatif du personnel</t>
        </is>
      </c>
    </row>
  </sheetData>
  <mergeCells count="51">
    <mergeCell ref="B11:D11"/>
    <mergeCell ref="B14:D14"/>
    <mergeCell ref="Q9:R10"/>
    <mergeCell ref="B23:D23"/>
    <mergeCell ref="L20:M21"/>
    <mergeCell ref="B8:D8"/>
    <mergeCell ref="D3:S3"/>
    <mergeCell ref="L5:N5"/>
    <mergeCell ref="B17:D17"/>
    <mergeCell ref="B13:D13"/>
    <mergeCell ref="O25:Q25"/>
    <mergeCell ref="B29:D29"/>
    <mergeCell ref="R4:S4"/>
    <mergeCell ref="B28:D28"/>
    <mergeCell ref="L9:M10"/>
    <mergeCell ref="C4:P4"/>
    <mergeCell ref="O5:P5"/>
    <mergeCell ref="D6:K6"/>
    <mergeCell ref="A30:D30"/>
    <mergeCell ref="A31:P31"/>
    <mergeCell ref="S9:S10"/>
    <mergeCell ref="B15:D15"/>
    <mergeCell ref="O26:S26"/>
    <mergeCell ref="G9:H10"/>
    <mergeCell ref="B24:D24"/>
    <mergeCell ref="I9:J10"/>
    <mergeCell ref="L8:S8"/>
    <mergeCell ref="E8:K8"/>
    <mergeCell ref="L29:M29"/>
    <mergeCell ref="R22:R23"/>
    <mergeCell ref="O9:P10"/>
    <mergeCell ref="A1:S1"/>
    <mergeCell ref="B26:D26"/>
    <mergeCell ref="S20:S21"/>
    <mergeCell ref="O27:S27"/>
    <mergeCell ref="B25:D25"/>
    <mergeCell ref="B16:D16"/>
    <mergeCell ref="A7:S7"/>
    <mergeCell ref="O22:Q23"/>
    <mergeCell ref="K9:K10"/>
    <mergeCell ref="O24:Q24"/>
    <mergeCell ref="S22:S23"/>
    <mergeCell ref="B22:D22"/>
    <mergeCell ref="R2:S2"/>
    <mergeCell ref="B18:D18"/>
    <mergeCell ref="B27:D27"/>
    <mergeCell ref="B9:D10"/>
    <mergeCell ref="B21:D21"/>
    <mergeCell ref="D5:K5"/>
    <mergeCell ref="B12:D12"/>
    <mergeCell ref="E9:F10"/>
  </mergeCells>
  <dataValidations count="1">
    <dataValidation sqref="E12:J15 E17:J18 E22:J25 E27:J28 L12:M15 L17:M18 L22:M25 L27:M28 O12:R15 O17:R18 R22:S24"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2755905511811024" bottom="0.2755905511811024" header="0.3149606299212598" footer="0.3149606299212598"/>
  <pageSetup orientation="landscape" paperSize="9" scale="83"/>
</worksheet>
</file>

<file path=xl/worksheets/sheet55.xml><?xml version="1.0" encoding="utf-8"?>
<worksheet xmlns="http://schemas.openxmlformats.org/spreadsheetml/2006/main">
  <sheetPr codeName="Feuil54">
    <tabColor theme="4" tint="0.5999938962981048"/>
    <outlinePr summaryBelow="1" summaryRight="1"/>
    <pageSetUpPr fitToPage="1"/>
  </sheetPr>
  <dimension ref="A1:L31"/>
  <sheetViews>
    <sheetView showGridLines="0" topLeftCell="A21" workbookViewId="0">
      <selection activeCell="B14" sqref="B14"/>
    </sheetView>
  </sheetViews>
  <sheetFormatPr baseColWidth="10" defaultColWidth="11.42578125" defaultRowHeight="15"/>
  <cols>
    <col width="12" customWidth="1" style="1225" min="2" max="2"/>
    <col width="4.140625" customWidth="1" style="1225" min="3" max="3"/>
    <col width="11.85546875" customWidth="1" style="1225" min="4" max="4"/>
    <col width="15.7109375" customWidth="1" style="1225" min="5" max="12"/>
  </cols>
  <sheetData>
    <row r="1">
      <c r="A1" s="1429" t="inlineStr">
        <is>
          <t>- 0 -</t>
        </is>
      </c>
    </row>
    <row r="2" ht="24.95" customHeight="1" s="1225">
      <c r="A2" s="1429" t="n"/>
      <c r="B2" s="1429" t="n"/>
      <c r="C2" s="1429" t="n"/>
      <c r="D2" s="1429" t="n"/>
      <c r="E2" s="1429" t="n"/>
      <c r="F2" s="1429" t="n"/>
      <c r="K2" s="1438" t="inlineStr">
        <is>
          <t>NOTE 28
SYSTEME NORMAL</t>
        </is>
      </c>
      <c r="L2" s="1411" t="n"/>
    </row>
    <row r="3" ht="15" customFormat="1" customHeight="1" s="1382">
      <c r="A3" s="1451" t="inlineStr">
        <is>
          <t>Dénomination sociale de l'entité :</t>
        </is>
      </c>
      <c r="B3" s="1451" t="n"/>
      <c r="D3" s="1488">
        <f>'NOTE 21'!C3</f>
        <v/>
      </c>
      <c r="E3" s="1288" t="n"/>
      <c r="F3" s="1288" t="n"/>
      <c r="G3" s="1288" t="n"/>
      <c r="H3" s="1288" t="n"/>
      <c r="I3" s="1288" t="n"/>
      <c r="J3" s="1288" t="n"/>
      <c r="K3" s="1288" t="n"/>
      <c r="L3" s="1288" t="n"/>
    </row>
    <row r="4" ht="15" customFormat="1" customHeight="1" s="1382">
      <c r="A4" s="1451" t="inlineStr">
        <is>
          <t>Adresse :</t>
        </is>
      </c>
      <c r="B4" s="1488">
        <f>'NOTE 21'!B4</f>
        <v/>
      </c>
      <c r="C4" s="1288" t="n"/>
      <c r="D4" s="1288" t="n"/>
      <c r="E4" s="1288" t="n"/>
      <c r="F4" s="1288" t="n"/>
      <c r="G4" s="1288" t="n"/>
      <c r="H4" s="1288" t="n"/>
      <c r="I4" s="1288" t="n"/>
      <c r="J4" s="1589" t="inlineStr">
        <is>
          <t>Sigle usuel :</t>
        </is>
      </c>
      <c r="K4" s="1285">
        <f>'NOTE 21'!H4</f>
        <v/>
      </c>
      <c r="L4" s="1277" t="n"/>
    </row>
    <row r="5" ht="15" customFormat="1" customHeight="1" s="1382">
      <c r="A5" s="1451" t="inlineStr">
        <is>
          <t>N° IFU :</t>
        </is>
      </c>
      <c r="B5" s="1451" t="n"/>
      <c r="C5" s="1276">
        <f>'NOTE 21'!C5</f>
        <v/>
      </c>
      <c r="D5" s="1277" t="n"/>
      <c r="E5" s="1277" t="n"/>
      <c r="F5" s="1277" t="n"/>
      <c r="G5" s="1457" t="inlineStr">
        <is>
          <t>Exercice clos le :</t>
        </is>
      </c>
      <c r="H5" s="1563">
        <f>'NOTE 21'!F5</f>
        <v/>
      </c>
      <c r="I5" s="1277" t="n"/>
      <c r="J5" s="1589" t="inlineStr">
        <is>
          <t>Durée (en mois) :</t>
        </is>
      </c>
      <c r="K5" s="1285">
        <f>'NOTE 21'!H5</f>
        <v/>
      </c>
      <c r="L5" s="1277" t="n"/>
    </row>
    <row r="6" ht="15" customFormat="1" customHeight="1" s="1382">
      <c r="A6" s="259" t="inlineStr">
        <is>
          <t xml:space="preserve">N° de télédéclarant (NES): </t>
        </is>
      </c>
      <c r="B6" s="1451" t="n"/>
      <c r="C6" s="1520">
        <f>'NOTE 21'!C6</f>
        <v/>
      </c>
      <c r="D6" s="1521" t="n"/>
      <c r="E6" s="1521" t="n"/>
      <c r="F6" s="1521" t="n"/>
      <c r="G6" s="253" t="n"/>
      <c r="H6" s="1970" t="n"/>
      <c r="I6" s="1970" t="n"/>
      <c r="J6" s="254" t="n"/>
      <c r="K6" s="1970" t="n"/>
      <c r="L6" s="1970" t="n"/>
    </row>
    <row r="7" ht="35.1" customHeight="1" s="1225" thickBot="1">
      <c r="A7" s="1341" t="inlineStr">
        <is>
          <t xml:space="preserve">NOTE 28 : DOTATIONS ET CHARGES POUR PROVISIONS ET DEPRECIATIONS </t>
        </is>
      </c>
    </row>
    <row r="8">
      <c r="A8" s="1748" t="inlineStr">
        <is>
          <t>SITUATIONS ET MOUVEMENTS</t>
        </is>
      </c>
      <c r="B8" s="1300" t="n"/>
      <c r="C8" s="1300" t="n"/>
      <c r="D8" s="1514" t="n"/>
      <c r="E8" s="1738" t="inlineStr">
        <is>
          <t>A</t>
        </is>
      </c>
      <c r="F8" s="1738" t="inlineStr">
        <is>
          <t>B</t>
        </is>
      </c>
      <c r="G8" s="1509" t="n"/>
      <c r="H8" s="1562" t="n"/>
      <c r="I8" s="1738" t="inlineStr">
        <is>
          <t>C</t>
        </is>
      </c>
      <c r="J8" s="1509" t="n"/>
      <c r="K8" s="1562" t="n"/>
      <c r="L8" s="1761" t="inlineStr">
        <is>
          <t>D = A + B - C</t>
        </is>
      </c>
    </row>
    <row r="9">
      <c r="A9" s="1747" t="n"/>
      <c r="D9" s="1550" t="n"/>
      <c r="E9" s="1419" t="inlineStr">
        <is>
          <t>PROVISIONS A
L'OUVERTURE
DE L'EXERCICE</t>
        </is>
      </c>
      <c r="F9" s="1419" t="inlineStr">
        <is>
          <t>AUGMENTATIONS : DOTATIONS</t>
        </is>
      </c>
      <c r="G9" s="1420" t="n"/>
      <c r="H9" s="1411" t="n"/>
      <c r="I9" s="1419" t="inlineStr">
        <is>
          <t>DIMINUTIONS : REPRISES</t>
        </is>
      </c>
      <c r="J9" s="1420" t="n"/>
      <c r="K9" s="1411" t="n"/>
      <c r="L9" s="1745" t="inlineStr">
        <is>
          <t>PROVISIONS A
LA CLOTURE
DE L'EXERCICE</t>
        </is>
      </c>
    </row>
    <row r="10" ht="20.45" customHeight="1" s="1225">
      <c r="A10" s="1746" t="inlineStr">
        <is>
          <t>NATURE</t>
        </is>
      </c>
      <c r="B10" s="1516" t="n"/>
      <c r="C10" s="1516" t="n"/>
      <c r="D10" s="1517" t="n"/>
      <c r="E10" s="1524" t="n"/>
      <c r="F10" s="1419" t="inlineStr">
        <is>
          <t>D'EXPLOITATION</t>
        </is>
      </c>
      <c r="G10" s="1419" t="inlineStr">
        <is>
          <t>FINANCIERES</t>
        </is>
      </c>
      <c r="H10" s="1419" t="inlineStr">
        <is>
          <t>HORS ACTIVITES
ORDINAIRES</t>
        </is>
      </c>
      <c r="I10" s="1419" t="inlineStr">
        <is>
          <t>D'EXPLOITATION</t>
        </is>
      </c>
      <c r="J10" s="1419" t="inlineStr">
        <is>
          <t>FINANCIERES</t>
        </is>
      </c>
      <c r="K10" s="1419" t="inlineStr">
        <is>
          <t>HORS ACTIVITES
ORDINAIRES</t>
        </is>
      </c>
      <c r="L10" s="1565" t="n"/>
    </row>
    <row r="11" ht="17.1" customHeight="1" s="1225">
      <c r="A11" s="1512" t="inlineStr">
        <is>
          <t>Provisions réglementées</t>
        </is>
      </c>
      <c r="B11" s="1420" t="n"/>
      <c r="C11" s="1420" t="n"/>
      <c r="D11" s="1411" t="n"/>
      <c r="E11" s="1570" t="n"/>
      <c r="F11" s="1570" t="n"/>
      <c r="G11" s="1570" t="n"/>
      <c r="H11" s="1570" t="n"/>
      <c r="I11" s="1570" t="n"/>
      <c r="J11" s="1570" t="n"/>
      <c r="K11" s="1570" t="n"/>
      <c r="L11" s="1585">
        <f>E11+F11+G11+H11-I11-J11-K11</f>
        <v/>
      </c>
    </row>
    <row r="12" ht="17.1" customHeight="1" s="1225">
      <c r="A12" s="1512" t="inlineStr">
        <is>
          <t>Provisions financières pour risques et charges</t>
        </is>
      </c>
      <c r="B12" s="1420" t="n"/>
      <c r="C12" s="1420" t="n"/>
      <c r="D12" s="1411" t="n"/>
      <c r="E12" s="1570" t="n"/>
      <c r="F12" s="1570" t="n"/>
      <c r="G12" s="1570" t="n"/>
      <c r="H12" s="1570" t="n"/>
      <c r="I12" s="1570" t="n"/>
      <c r="J12" s="1570" t="n"/>
      <c r="K12" s="1570" t="n"/>
      <c r="L12" s="1585">
        <f>E12+F12+G12+H12-I12-J12-K12</f>
        <v/>
      </c>
    </row>
    <row r="13" ht="17.1" customHeight="1" s="1225">
      <c r="A13" s="1512" t="inlineStr">
        <is>
          <t>Dépréciations des immobilisations</t>
        </is>
      </c>
      <c r="B13" s="1420" t="n"/>
      <c r="C13" s="1420" t="n"/>
      <c r="D13" s="1411" t="n"/>
      <c r="E13" s="1570" t="n"/>
      <c r="F13" s="1570" t="n"/>
      <c r="G13" s="1570" t="n"/>
      <c r="H13" s="1570" t="n"/>
      <c r="I13" s="1570" t="n"/>
      <c r="J13" s="1570" t="n"/>
      <c r="K13" s="1570" t="n"/>
      <c r="L13" s="1585">
        <f>E13+F13+G13+H13-I13-J13-K13</f>
        <v/>
      </c>
    </row>
    <row r="14" ht="17.1" customHeight="1" s="1225">
      <c r="A14" s="1544" t="inlineStr">
        <is>
          <t>TOTAL DOTATIONS</t>
        </is>
      </c>
      <c r="B14" s="1420" t="n"/>
      <c r="C14" s="1420" t="n"/>
      <c r="D14" s="1411" t="n"/>
      <c r="E14" s="1631">
        <f>SUM(E11:E13)</f>
        <v/>
      </c>
      <c r="F14" s="1631">
        <f>SUM(F11:F13)</f>
        <v/>
      </c>
      <c r="G14" s="1631">
        <f>SUM(G11:G13)</f>
        <v/>
      </c>
      <c r="H14" s="1631">
        <f>SUM(H11:H13)</f>
        <v/>
      </c>
      <c r="I14" s="1631">
        <f>SUM(I11:I13)</f>
        <v/>
      </c>
      <c r="J14" s="1631">
        <f>SUM(J11:J13)</f>
        <v/>
      </c>
      <c r="K14" s="1631">
        <f>SUM(K11:K13)</f>
        <v/>
      </c>
      <c r="L14" s="840">
        <f>E14+F14+G14+H14-I14-J14-K14</f>
        <v/>
      </c>
    </row>
    <row r="15" ht="17.1" customHeight="1" s="1225">
      <c r="A15" s="1512" t="inlineStr">
        <is>
          <t>Dépréciations des stocks et en cours</t>
        </is>
      </c>
      <c r="B15" s="1420" t="n"/>
      <c r="C15" s="1420" t="n"/>
      <c r="D15" s="1411" t="n"/>
      <c r="E15" s="139" t="n"/>
      <c r="F15" s="139" t="n"/>
      <c r="G15" s="139" t="n"/>
      <c r="H15" s="139" t="n"/>
      <c r="I15" s="139" t="n"/>
      <c r="J15" s="139" t="n"/>
      <c r="K15" s="139" t="n"/>
      <c r="L15" s="1585">
        <f>E15+F15+G15+H15-I15-J15-K15</f>
        <v/>
      </c>
    </row>
    <row r="16" ht="17.1" customHeight="1" s="1225">
      <c r="A16" s="1512" t="inlineStr">
        <is>
          <t>Dépréciations des comptes  fournisseurs</t>
        </is>
      </c>
      <c r="B16" s="1420" t="n"/>
      <c r="C16" s="1420" t="n"/>
      <c r="D16" s="1411" t="n"/>
      <c r="E16" s="139" t="n"/>
      <c r="F16" s="139" t="n"/>
      <c r="G16" s="139" t="n"/>
      <c r="H16" s="139" t="n"/>
      <c r="I16" s="139" t="n"/>
      <c r="J16" s="139" t="n"/>
      <c r="K16" s="139" t="n"/>
      <c r="L16" s="1585">
        <f>E16+F16+G16+H16-I16-J16-K16</f>
        <v/>
      </c>
    </row>
    <row r="17" ht="17.1" customHeight="1" s="1225">
      <c r="A17" s="1512" t="inlineStr">
        <is>
          <t>Dépréciations des comptes clients</t>
        </is>
      </c>
      <c r="B17" s="1420" t="n"/>
      <c r="C17" s="1420" t="n"/>
      <c r="D17" s="1411" t="n"/>
      <c r="E17" s="139" t="n"/>
      <c r="F17" s="139" t="n"/>
      <c r="G17" s="139" t="n"/>
      <c r="H17" s="139" t="n"/>
      <c r="I17" s="139" t="n"/>
      <c r="J17" s="139" t="n"/>
      <c r="K17" s="139" t="n"/>
      <c r="L17" s="1585">
        <f>E17+F17+G17+H17-I17-J17-K17</f>
        <v/>
      </c>
    </row>
    <row r="18" ht="17.1" customHeight="1" s="1225">
      <c r="A18" s="1512" t="inlineStr">
        <is>
          <t>Dépréciations autres créances d'exploitation</t>
        </is>
      </c>
      <c r="B18" s="1420" t="n"/>
      <c r="C18" s="1420" t="n"/>
      <c r="D18" s="1411" t="n"/>
      <c r="E18" s="139" t="n"/>
      <c r="F18" s="139" t="n"/>
      <c r="G18" s="139" t="n"/>
      <c r="H18" s="139" t="n"/>
      <c r="I18" s="139" t="n"/>
      <c r="J18" s="139" t="n"/>
      <c r="K18" s="139" t="n"/>
      <c r="L18" s="1585">
        <f>E18+F18+G18+H18-I18-J18-K18</f>
        <v/>
      </c>
    </row>
    <row r="19" ht="17.1" customHeight="1" s="1225">
      <c r="A19" s="1512" t="inlineStr">
        <is>
          <t>Dépréciations des comptes de créances HAO</t>
        </is>
      </c>
      <c r="B19" s="1420" t="n"/>
      <c r="C19" s="1420" t="n"/>
      <c r="D19" s="1411" t="n"/>
      <c r="E19" s="139" t="n"/>
      <c r="F19" s="139" t="n"/>
      <c r="G19" s="139" t="n"/>
      <c r="H19" s="139" t="n"/>
      <c r="I19" s="139" t="n"/>
      <c r="J19" s="139" t="n"/>
      <c r="K19" s="139" t="n"/>
      <c r="L19" s="1585">
        <f>E19+F19+G19+H19-I19-J19-K19</f>
        <v/>
      </c>
    </row>
    <row r="20" ht="17.1" customHeight="1" s="1225">
      <c r="A20" s="1512" t="inlineStr">
        <is>
          <t xml:space="preserve">Dépréciations des titres de placement </t>
        </is>
      </c>
      <c r="B20" s="1420" t="n"/>
      <c r="C20" s="1420" t="n"/>
      <c r="D20" s="1411" t="n"/>
      <c r="E20" s="139" t="n"/>
      <c r="F20" s="139" t="n"/>
      <c r="G20" s="139" t="n"/>
      <c r="H20" s="139" t="n"/>
      <c r="I20" s="139" t="n"/>
      <c r="J20" s="139" t="n"/>
      <c r="K20" s="139" t="n"/>
      <c r="L20" s="1585">
        <f>E20+F20+G20+H20-I20-J20-K20</f>
        <v/>
      </c>
    </row>
    <row r="21" ht="17.1" customHeight="1" s="1225">
      <c r="A21" s="1512" t="inlineStr">
        <is>
          <t xml:space="preserve">Dépréciations des titres et valeurs à encaisser </t>
        </is>
      </c>
      <c r="B21" s="1420" t="n"/>
      <c r="C21" s="1420" t="n"/>
      <c r="D21" s="1411" t="n"/>
      <c r="E21" s="139" t="n"/>
      <c r="F21" s="139" t="n"/>
      <c r="G21" s="139" t="n"/>
      <c r="H21" s="139" t="n"/>
      <c r="I21" s="139" t="n"/>
      <c r="J21" s="139" t="n"/>
      <c r="K21" s="139" t="n"/>
      <c r="L21" s="1585">
        <f>E21+F21+G21+H21-I21-J21-K21</f>
        <v/>
      </c>
    </row>
    <row r="22" ht="17.1" customHeight="1" s="1225">
      <c r="A22" s="1512" t="inlineStr">
        <is>
          <t>Dépréciations des comptes banques</t>
        </is>
      </c>
      <c r="B22" s="1420" t="n"/>
      <c r="C22" s="1420" t="n"/>
      <c r="D22" s="1411" t="n"/>
      <c r="E22" s="139" t="n"/>
      <c r="F22" s="139" t="n"/>
      <c r="G22" s="139" t="n"/>
      <c r="H22" s="139" t="n"/>
      <c r="I22" s="139" t="n"/>
      <c r="J22" s="139" t="n"/>
      <c r="K22" s="139" t="n"/>
      <c r="L22" s="1585">
        <f>E22+F22+G22+H22-I22-J22-K22</f>
        <v/>
      </c>
    </row>
    <row r="23" ht="26.25" customHeight="1" s="1225">
      <c r="A23" s="1512" t="inlineStr">
        <is>
          <t>Dépréciations des comptes établissements financiers et assimilés</t>
        </is>
      </c>
      <c r="B23" s="1420" t="n"/>
      <c r="C23" s="1420" t="n"/>
      <c r="D23" s="1411" t="n"/>
      <c r="E23" s="139" t="n"/>
      <c r="F23" s="139" t="n"/>
      <c r="G23" s="139" t="n"/>
      <c r="H23" s="139" t="n"/>
      <c r="I23" s="139" t="n"/>
      <c r="J23" s="139" t="n"/>
      <c r="K23" s="139" t="n"/>
      <c r="L23" s="1585">
        <f>E23+F23+G23+H23-I23-J23-K23</f>
        <v/>
      </c>
    </row>
    <row r="24" ht="26.25" customHeight="1" s="1225">
      <c r="A24" s="1744" t="inlineStr">
        <is>
          <t>Dépréciations des comptes d'instruments de trésorerie</t>
        </is>
      </c>
      <c r="B24" s="1420" t="n"/>
      <c r="C24" s="1420" t="n"/>
      <c r="D24" s="1411" t="n"/>
      <c r="E24" s="1570" t="n"/>
      <c r="F24" s="1570" t="n"/>
      <c r="G24" s="1570" t="n"/>
      <c r="H24" s="1570" t="n"/>
      <c r="I24" s="1570" t="n"/>
      <c r="J24" s="1570" t="n"/>
      <c r="K24" s="1570" t="n"/>
      <c r="L24" s="1585">
        <f>E24+F24+G24+H24-I24-J24-K24</f>
        <v/>
      </c>
    </row>
    <row r="25" ht="26.25" customHeight="1" s="1225">
      <c r="A25" s="1744" t="inlineStr">
        <is>
          <t>Provisions pour risques à court terme d'exploitation</t>
        </is>
      </c>
      <c r="B25" s="1420" t="n"/>
      <c r="C25" s="1420" t="n"/>
      <c r="D25" s="1411" t="n"/>
      <c r="E25" s="1570" t="n"/>
      <c r="F25" s="1570" t="n"/>
      <c r="G25" s="1570" t="n"/>
      <c r="H25" s="1570" t="n"/>
      <c r="I25" s="1570" t="n"/>
      <c r="J25" s="1570" t="n"/>
      <c r="K25" s="1570" t="n"/>
      <c r="L25" s="1585">
        <f>E25+F25+G25+H25-I25-J25-K25</f>
        <v/>
      </c>
    </row>
    <row r="26" ht="26.25" customHeight="1" s="1225">
      <c r="A26" s="1744" t="inlineStr">
        <is>
          <t xml:space="preserve"> Provisions pour risques à court terme HAO</t>
        </is>
      </c>
      <c r="B26" s="1420" t="n"/>
      <c r="C26" s="1420" t="n"/>
      <c r="D26" s="1411" t="n"/>
      <c r="E26" s="1570" t="n"/>
      <c r="F26" s="1570" t="n"/>
      <c r="G26" s="1570" t="n"/>
      <c r="H26" s="1570" t="n"/>
      <c r="I26" s="1570" t="n"/>
      <c r="J26" s="1570" t="n"/>
      <c r="K26" s="1570" t="n"/>
      <c r="L26" s="1585">
        <f>E26+F26+G26+H26-I26-J26-K26</f>
        <v/>
      </c>
    </row>
    <row r="27" ht="26.25" customHeight="1" s="1225">
      <c r="A27" s="1744" t="inlineStr">
        <is>
          <t>Provisions pour risques à court terme à caractère financier</t>
        </is>
      </c>
      <c r="B27" s="1420" t="n"/>
      <c r="C27" s="1420" t="n"/>
      <c r="D27" s="1411" t="n"/>
      <c r="E27" s="1570" t="n"/>
      <c r="F27" s="1570" t="n"/>
      <c r="G27" s="1570" t="n"/>
      <c r="H27" s="1570" t="n"/>
      <c r="I27" s="1570" t="n"/>
      <c r="J27" s="1570" t="n"/>
      <c r="K27" s="1570" t="n"/>
      <c r="L27" s="1585">
        <f>E27+F27+G27+H27-I27-J27-K27</f>
        <v/>
      </c>
    </row>
    <row r="28" ht="30" customHeight="1" s="1225">
      <c r="A28" s="1544" t="inlineStr">
        <is>
          <t>TOTAL CHARGES POUR DEPRECIATIONS ET PROVISIONS A COURT TERME</t>
        </is>
      </c>
      <c r="B28" s="1420" t="n"/>
      <c r="C28" s="1420" t="n"/>
      <c r="D28" s="1411" t="n"/>
      <c r="E28" s="1631">
        <f>SUM(E15:E27)</f>
        <v/>
      </c>
      <c r="F28" s="1631">
        <f>SUM(F15:F27)</f>
        <v/>
      </c>
      <c r="G28" s="1631">
        <f>SUM(G15:G27)</f>
        <v/>
      </c>
      <c r="H28" s="1631">
        <f>SUM(H15:H27)</f>
        <v/>
      </c>
      <c r="I28" s="1631">
        <f>SUM(I15:I27)</f>
        <v/>
      </c>
      <c r="J28" s="1631">
        <f>SUM(J15:J27)</f>
        <v/>
      </c>
      <c r="K28" s="1631">
        <f>SUM(K15:K27)</f>
        <v/>
      </c>
      <c r="L28" s="840">
        <f>E28+F28+G28+H28-I28-J28-K28</f>
        <v/>
      </c>
    </row>
    <row r="29" ht="15" customHeight="1" s="1225" thickBot="1">
      <c r="A29" s="1679" t="inlineStr">
        <is>
          <t xml:space="preserve">TOTAL </t>
        </is>
      </c>
      <c r="B29" s="1527" t="n"/>
      <c r="C29" s="1527" t="n"/>
      <c r="D29" s="1528" t="n"/>
      <c r="E29" s="871">
        <f>E14+E28</f>
        <v/>
      </c>
      <c r="F29" s="871">
        <f>F14+F28</f>
        <v/>
      </c>
      <c r="G29" s="871">
        <f>G14+G28</f>
        <v/>
      </c>
      <c r="H29" s="871">
        <f>H14+H28</f>
        <v/>
      </c>
      <c r="I29" s="871">
        <f>I14+I28</f>
        <v/>
      </c>
      <c r="J29" s="871">
        <f>J14+J28</f>
        <v/>
      </c>
      <c r="K29" s="871">
        <f>K14+K28</f>
        <v/>
      </c>
      <c r="L29" s="874">
        <f>E29+F29+G29+H29-I29-J29-K29</f>
        <v/>
      </c>
    </row>
    <row r="30">
      <c r="A30" s="559" t="inlineStr">
        <is>
          <t>Commentaire:</t>
        </is>
      </c>
    </row>
    <row r="31">
      <c r="A31" s="618" t="inlineStr">
        <is>
          <t>●   Indiquer les événements et circonstances qui ont conduit à la constitution et à la reprise de la provision.</t>
        </is>
      </c>
    </row>
  </sheetData>
  <mergeCells count="38">
    <mergeCell ref="A23:D23"/>
    <mergeCell ref="A17:D17"/>
    <mergeCell ref="A7:L7"/>
    <mergeCell ref="A8:D8"/>
    <mergeCell ref="A22:D22"/>
    <mergeCell ref="A20:D20"/>
    <mergeCell ref="F8:H8"/>
    <mergeCell ref="K5:L5"/>
    <mergeCell ref="A29:D29"/>
    <mergeCell ref="A19:D19"/>
    <mergeCell ref="A10:D10"/>
    <mergeCell ref="A28:D28"/>
    <mergeCell ref="A13:D13"/>
    <mergeCell ref="A9:D9"/>
    <mergeCell ref="E9:E10"/>
    <mergeCell ref="C6:F6"/>
    <mergeCell ref="I8:K8"/>
    <mergeCell ref="A15:D15"/>
    <mergeCell ref="D3:L3"/>
    <mergeCell ref="A24:D24"/>
    <mergeCell ref="F9:H9"/>
    <mergeCell ref="A11:D11"/>
    <mergeCell ref="C5:F5"/>
    <mergeCell ref="L9:L10"/>
    <mergeCell ref="K2:L2"/>
    <mergeCell ref="I9:K9"/>
    <mergeCell ref="A25:D25"/>
    <mergeCell ref="A16:D16"/>
    <mergeCell ref="A18:D18"/>
    <mergeCell ref="A27:D27"/>
    <mergeCell ref="A12:D12"/>
    <mergeCell ref="A1:L1"/>
    <mergeCell ref="A26:D26"/>
    <mergeCell ref="A21:D21"/>
    <mergeCell ref="H5:I5"/>
    <mergeCell ref="K4:L4"/>
    <mergeCell ref="B4:I4"/>
    <mergeCell ref="A14:D14"/>
  </mergeCells>
  <dataValidations count="1">
    <dataValidation sqref="E11:K11"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85"/>
</worksheet>
</file>

<file path=xl/worksheets/sheet56.xml><?xml version="1.0" encoding="utf-8"?>
<worksheet xmlns="http://schemas.openxmlformats.org/spreadsheetml/2006/main">
  <sheetPr codeName="Feuil57">
    <tabColor theme="4" tint="0.5999938962981048"/>
    <outlinePr summaryBelow="1" summaryRight="1"/>
    <pageSetUpPr fitToPage="1"/>
  </sheetPr>
  <dimension ref="A1:H38"/>
  <sheetViews>
    <sheetView showGridLines="0" topLeftCell="A22" workbookViewId="0">
      <selection activeCell="B14" sqref="B14"/>
    </sheetView>
  </sheetViews>
  <sheetFormatPr baseColWidth="10" defaultRowHeight="15"/>
  <cols>
    <col width="16.7109375" customWidth="1" style="1225" min="2" max="2"/>
    <col width="2.42578125" customWidth="1" style="1225" min="3" max="3"/>
    <col width="11.28515625" customWidth="1" style="1225" min="4" max="4"/>
    <col width="22.140625" customWidth="1" style="1225" min="5" max="5"/>
    <col width="15.7109375" customWidth="1" style="1225" min="6" max="7"/>
    <col width="12.5703125" customWidth="1" style="1225" min="8" max="8"/>
  </cols>
  <sheetData>
    <row r="1">
      <c r="A1" s="1429" t="inlineStr">
        <is>
          <t>- 0 -</t>
        </is>
      </c>
    </row>
    <row r="2" ht="24.95" customHeight="1" s="1225">
      <c r="A2" s="1429" t="n"/>
      <c r="B2" s="1429" t="n"/>
      <c r="C2" s="1429" t="n"/>
      <c r="D2" s="1429" t="n"/>
      <c r="E2" s="1429" t="n"/>
      <c r="F2" s="1429" t="n"/>
      <c r="G2" s="1438" t="inlineStr">
        <is>
          <t>NOTE 29
SYSTEME NORMAL</t>
        </is>
      </c>
      <c r="H2" s="1411" t="n"/>
    </row>
    <row r="3" ht="15" customFormat="1" customHeight="1" s="1382">
      <c r="A3" s="1451" t="inlineStr">
        <is>
          <t>Dénomination sociale de l'entité :</t>
        </is>
      </c>
      <c r="B3" s="1451" t="n"/>
      <c r="C3" s="1276">
        <f>'NOTE 21'!C3</f>
        <v/>
      </c>
      <c r="D3" s="1277" t="n"/>
      <c r="E3" s="1277" t="n"/>
      <c r="F3" s="1277" t="n"/>
      <c r="G3" s="1277" t="n"/>
      <c r="H3" s="1277" t="n"/>
    </row>
    <row r="4" ht="15" customFormat="1" customHeight="1" s="1382">
      <c r="A4" s="1451" t="inlineStr">
        <is>
          <t>Adresse :</t>
        </is>
      </c>
      <c r="B4" s="1276">
        <f>'NOTE 21'!B4</f>
        <v/>
      </c>
      <c r="C4" s="1277" t="n"/>
      <c r="D4" s="1277" t="n"/>
      <c r="E4" s="1277" t="n"/>
      <c r="F4" s="1277" t="n"/>
      <c r="G4" s="1589" t="inlineStr">
        <is>
          <t>Sigle usuel :</t>
        </is>
      </c>
      <c r="H4" s="1488">
        <f>'NOTE 21'!H4</f>
        <v/>
      </c>
    </row>
    <row r="5" ht="15" customFormat="1" customHeight="1" s="1382">
      <c r="A5" s="1451" t="inlineStr">
        <is>
          <t>N° IFU :</t>
        </is>
      </c>
      <c r="B5" s="1451" t="n"/>
      <c r="C5" s="1280">
        <f>'NOTE 21'!C5</f>
        <v/>
      </c>
      <c r="D5" s="1279" t="n"/>
      <c r="E5" s="1457" t="inlineStr">
        <is>
          <t>Exercice clos le :</t>
        </is>
      </c>
      <c r="F5" s="1601">
        <f>'NOTE 21'!F5</f>
        <v/>
      </c>
      <c r="G5" s="1589" t="inlineStr">
        <is>
          <t>Durée (en mois) :</t>
        </is>
      </c>
      <c r="H5" s="111">
        <f>'NOTE 21'!H5</f>
        <v/>
      </c>
    </row>
    <row r="6" ht="15" customFormat="1" customHeight="1" s="1382">
      <c r="A6" s="259" t="inlineStr">
        <is>
          <t xml:space="preserve">N° de télédéclarant (NES): </t>
        </is>
      </c>
      <c r="B6" s="1451" t="n"/>
      <c r="C6" s="1520">
        <f>'NOTE 21'!C6</f>
        <v/>
      </c>
      <c r="D6" s="1521" t="n"/>
      <c r="E6" s="253" t="n"/>
      <c r="F6" s="1970" t="n"/>
      <c r="G6" s="254" t="n"/>
      <c r="H6" s="1970" t="n"/>
    </row>
    <row r="7" ht="35.1" customHeight="1" s="1225" thickBot="1">
      <c r="A7" s="1341" t="inlineStr">
        <is>
          <t>NOTE 29 : CHARGES ET REVENUS FINANCIERS</t>
        </is>
      </c>
    </row>
    <row r="8" ht="33" customHeight="1" s="1225">
      <c r="A8" s="1667" t="inlineStr">
        <is>
          <t>Libellés</t>
        </is>
      </c>
      <c r="B8" s="1509" t="n"/>
      <c r="C8" s="1509" t="n"/>
      <c r="D8" s="1509" t="n"/>
      <c r="E8" s="1562" t="n"/>
      <c r="F8" s="1750" t="inlineStr">
        <is>
          <t>Année N</t>
        </is>
      </c>
      <c r="G8" s="1750" t="inlineStr">
        <is>
          <t>Année N-1</t>
        </is>
      </c>
      <c r="H8" s="1751" t="inlineStr">
        <is>
          <t>Variation
en %</t>
        </is>
      </c>
    </row>
    <row r="9" ht="17.1" customHeight="1" s="1225">
      <c r="A9" s="1512" t="inlineStr">
        <is>
          <t>Intérêts des emprunts</t>
        </is>
      </c>
      <c r="B9" s="1420" t="n"/>
      <c r="C9" s="1420" t="n"/>
      <c r="D9" s="1420" t="n"/>
      <c r="E9" s="1411" t="n"/>
      <c r="F9" s="1571" t="n"/>
      <c r="G9" s="1571" t="n"/>
      <c r="H9" s="923" t="n"/>
    </row>
    <row r="10" ht="17.1" customHeight="1" s="1225">
      <c r="A10" s="1512" t="inlineStr">
        <is>
          <t>Intérêts dans loyers de locations acquisition</t>
        </is>
      </c>
      <c r="B10" s="1420" t="n"/>
      <c r="C10" s="1420" t="n"/>
      <c r="D10" s="1420" t="n"/>
      <c r="E10" s="1411" t="n"/>
      <c r="F10" s="1571" t="n"/>
      <c r="G10" s="1571" t="n"/>
      <c r="H10" s="923" t="n"/>
    </row>
    <row r="11" ht="17.1" customHeight="1" s="1225">
      <c r="A11" s="1512" t="inlineStr">
        <is>
          <t>Escomptes accordés</t>
        </is>
      </c>
      <c r="B11" s="1420" t="n"/>
      <c r="C11" s="1420" t="n"/>
      <c r="D11" s="1420" t="n"/>
      <c r="E11" s="1411" t="n"/>
      <c r="F11" s="1571" t="n"/>
      <c r="G11" s="1571" t="n"/>
      <c r="H11" s="923" t="n"/>
    </row>
    <row r="12" ht="17.1" customHeight="1" s="1225">
      <c r="A12" s="1512" t="inlineStr">
        <is>
          <t>Autres intérêts</t>
        </is>
      </c>
      <c r="B12" s="1420" t="n"/>
      <c r="C12" s="1420" t="n"/>
      <c r="D12" s="1420" t="n"/>
      <c r="E12" s="1411" t="n"/>
      <c r="F12" s="1571" t="n"/>
      <c r="G12" s="1571" t="n"/>
      <c r="H12" s="923" t="n"/>
    </row>
    <row r="13" ht="17.1" customHeight="1" s="1225">
      <c r="A13" s="1512" t="inlineStr">
        <is>
          <t>Escomptes des effets de commerce</t>
        </is>
      </c>
      <c r="B13" s="1420" t="n"/>
      <c r="C13" s="1420" t="n"/>
      <c r="D13" s="1420" t="n"/>
      <c r="E13" s="1411" t="n"/>
      <c r="F13" s="1571" t="n"/>
      <c r="G13" s="1571" t="n"/>
      <c r="H13" s="923" t="n"/>
    </row>
    <row r="14" ht="17.1" customHeight="1" s="1225">
      <c r="A14" s="1512" t="inlineStr">
        <is>
          <t>Pertes de change financières</t>
        </is>
      </c>
      <c r="B14" s="1420" t="n"/>
      <c r="C14" s="1420" t="n"/>
      <c r="D14" s="1420" t="n"/>
      <c r="E14" s="1411" t="n"/>
      <c r="F14" s="1571" t="n"/>
      <c r="G14" s="1571" t="n"/>
      <c r="H14" s="923">
        <f>IF(G14,(F14-G14)/G14,IF(ISBLANK(G14),"",IF(F14,IF( F14 &gt; 0,1,-1),"")))</f>
        <v/>
      </c>
    </row>
    <row r="15" ht="17.1" customHeight="1" s="1225">
      <c r="A15" s="1512" t="inlineStr">
        <is>
          <t>Pertes sur cessions de titres de placement</t>
        </is>
      </c>
      <c r="B15" s="1420" t="n"/>
      <c r="C15" s="1420" t="n"/>
      <c r="D15" s="1420" t="n"/>
      <c r="E15" s="1411" t="n"/>
      <c r="F15" s="1571" t="n"/>
      <c r="G15" s="1571" t="n"/>
      <c r="H15" s="923">
        <f>IF(G15,(F15-G15)/G15,IF(ISBLANK(G15),"",IF(F15,IF( F15 &gt; 0,1,-1),"")))</f>
        <v/>
      </c>
    </row>
    <row r="16" ht="27" customHeight="1" s="1225">
      <c r="A16" s="1512" t="inlineStr">
        <is>
          <t>Malis provenant d’attribution gratuite d’actions au personnel salarié et aux dirigeants</t>
        </is>
      </c>
      <c r="B16" s="1420" t="n"/>
      <c r="C16" s="1420" t="n"/>
      <c r="D16" s="1420" t="n"/>
      <c r="E16" s="1411" t="n"/>
      <c r="F16" s="1571" t="n"/>
      <c r="G16" s="1571" t="n"/>
      <c r="H16" s="923">
        <f>IF(G16,(F16-G16)/G16,IF(ISBLANK(G16),"",IF(F16,IF( F16 &gt; 0,1,-1),"")))</f>
        <v/>
      </c>
    </row>
    <row r="17" ht="17.1" customHeight="1" s="1225">
      <c r="A17" s="1512" t="inlineStr">
        <is>
          <t>Pertes et charges sur risques financiers</t>
        </is>
      </c>
      <c r="B17" s="1420" t="n"/>
      <c r="C17" s="1420" t="n"/>
      <c r="D17" s="1420" t="n"/>
      <c r="E17" s="1411" t="n"/>
      <c r="F17" s="1571" t="n"/>
      <c r="G17" s="1571" t="n"/>
      <c r="H17" s="923">
        <f>IF(G17,(F17-G17)/G17,IF(ISBLANK(G17),"",IF(F17,IF( F17 &gt; 0,1,-1),"")))</f>
        <v/>
      </c>
    </row>
    <row r="18" ht="27" customHeight="1" s="1225">
      <c r="A18" s="1512" t="inlineStr">
        <is>
          <t>Charges pour dépréciation et provisions à court terme à caractère financier (voir note 28)</t>
        </is>
      </c>
      <c r="B18" s="1420" t="n"/>
      <c r="C18" s="1420" t="n"/>
      <c r="D18" s="1420" t="n"/>
      <c r="E18" s="1411" t="n"/>
      <c r="F18" s="1571" t="n"/>
      <c r="G18" s="1571" t="n"/>
      <c r="H18" s="923">
        <f>IF(G18,(F18-G18)/G18,IF(ISBLANK(G18),"",IF(F18,IF( F18 &gt; 0,1,-1),"")))</f>
        <v/>
      </c>
    </row>
    <row r="19" ht="17.1" customHeight="1" s="1225">
      <c r="A19" s="1525" t="inlineStr">
        <is>
          <t>SOUS TOTAL : FRAIS FINANCIERS (A)</t>
        </is>
      </c>
      <c r="B19" s="1420" t="n"/>
      <c r="C19" s="1420" t="n"/>
      <c r="D19" s="1420" t="n"/>
      <c r="E19" s="1411" t="n"/>
      <c r="F19" s="232">
        <f>SUM(F9:F18)</f>
        <v/>
      </c>
      <c r="G19" s="232">
        <f>SUM(G9:G18)</f>
        <v/>
      </c>
      <c r="H19" s="924">
        <f>IF(G19,(F19-G19)/G19,IF(ISBLANK(G19),"",IF(F19,IF( F19 &gt; 0,1,-1),"")))</f>
        <v/>
      </c>
    </row>
    <row r="20" ht="17.1" customHeight="1" s="1225">
      <c r="A20" s="1512" t="inlineStr">
        <is>
          <t>Intérêts de prêts et créances diverses</t>
        </is>
      </c>
      <c r="B20" s="1420" t="n"/>
      <c r="C20" s="1420" t="n"/>
      <c r="D20" s="1420" t="n"/>
      <c r="E20" s="1411" t="n"/>
      <c r="F20" s="1570" t="n"/>
      <c r="G20" s="1570" t="n"/>
      <c r="H20" s="923" t="n"/>
    </row>
    <row r="21" ht="17.1" customHeight="1" s="1225">
      <c r="A21" s="1512" t="inlineStr">
        <is>
          <t>Revenus de participations et autres titres immobilisés</t>
        </is>
      </c>
      <c r="B21" s="1420" t="n"/>
      <c r="C21" s="1420" t="n"/>
      <c r="D21" s="1420" t="n"/>
      <c r="E21" s="1411" t="n"/>
      <c r="F21" s="1570" t="n"/>
      <c r="G21" s="1570" t="n"/>
      <c r="H21" s="923" t="n"/>
    </row>
    <row r="22" ht="17.1" customHeight="1" s="1225">
      <c r="A22" s="1512" t="inlineStr">
        <is>
          <t>Escomptes obtenus</t>
        </is>
      </c>
      <c r="B22" s="1420" t="n"/>
      <c r="C22" s="1420" t="n"/>
      <c r="D22" s="1420" t="n"/>
      <c r="E22" s="1411" t="n"/>
      <c r="F22" s="1570" t="n"/>
      <c r="G22" s="1570" t="n"/>
      <c r="H22" s="923" t="n"/>
    </row>
    <row r="23" ht="17.1" customHeight="1" s="1225">
      <c r="A23" s="1512" t="inlineStr">
        <is>
          <t>Revenus de placement</t>
        </is>
      </c>
      <c r="B23" s="1420" t="n"/>
      <c r="C23" s="1420" t="n"/>
      <c r="D23" s="1420" t="n"/>
      <c r="E23" s="1411" t="n"/>
      <c r="F23" s="1570" t="n"/>
      <c r="G23" s="1570" t="n"/>
      <c r="H23" s="923" t="n"/>
    </row>
    <row r="24" ht="17.1" customHeight="1" s="1225">
      <c r="A24" s="1512" t="inlineStr">
        <is>
          <t>Intérêts dans loyers de location-financement</t>
        </is>
      </c>
      <c r="B24" s="1420" t="n"/>
      <c r="C24" s="1420" t="n"/>
      <c r="D24" s="1420" t="n"/>
      <c r="E24" s="1411" t="n"/>
      <c r="F24" s="1570" t="n"/>
      <c r="G24" s="1570" t="n"/>
      <c r="H24" s="923" t="n"/>
    </row>
    <row r="25" ht="17.1" customHeight="1" s="1225">
      <c r="A25" s="1512" t="inlineStr">
        <is>
          <t>Gains de change financiers</t>
        </is>
      </c>
      <c r="B25" s="1420" t="n"/>
      <c r="C25" s="1420" t="n"/>
      <c r="D25" s="1420" t="n"/>
      <c r="E25" s="1411" t="n"/>
      <c r="F25" s="1570" t="n"/>
      <c r="G25" s="1570" t="n"/>
      <c r="H25" s="923" t="n"/>
    </row>
    <row r="26" ht="17.1" customHeight="1" s="1225">
      <c r="A26" s="1512" t="inlineStr">
        <is>
          <t>Gains sur cessions de titres de placement</t>
        </is>
      </c>
      <c r="B26" s="1420" t="n"/>
      <c r="C26" s="1420" t="n"/>
      <c r="D26" s="1420" t="n"/>
      <c r="E26" s="1411" t="n"/>
      <c r="F26" s="1570" t="n"/>
      <c r="G26" s="1570" t="n"/>
      <c r="H26" s="923" t="n"/>
    </row>
    <row r="27" ht="17.1" customHeight="1" s="1225">
      <c r="A27" s="1512" t="inlineStr">
        <is>
          <t>Gains sur risques financiers</t>
        </is>
      </c>
      <c r="B27" s="1420" t="n"/>
      <c r="C27" s="1420" t="n"/>
      <c r="D27" s="1420" t="n"/>
      <c r="E27" s="1411" t="n"/>
      <c r="F27" s="1570" t="n"/>
      <c r="G27" s="1570" t="n"/>
      <c r="H27" s="923" t="n"/>
    </row>
    <row r="28" ht="27" customHeight="1" s="1225">
      <c r="A28" s="1512" t="inlineStr">
        <is>
          <t>Reprises de charges pour dépréciation et provisions à court terme à caractère financier (voir note 28)</t>
        </is>
      </c>
      <c r="B28" s="1420" t="n"/>
      <c r="C28" s="1420" t="n"/>
      <c r="D28" s="1420" t="n"/>
      <c r="E28" s="1411" t="n"/>
      <c r="F28" s="1570" t="n"/>
      <c r="G28" s="1570" t="n"/>
      <c r="H28" s="923" t="n"/>
    </row>
    <row r="29" ht="21" customHeight="1" s="1225">
      <c r="A29" s="1525" t="inlineStr">
        <is>
          <t>SOUS TOTAL : REVENUS FINANCIERS (B)</t>
        </is>
      </c>
      <c r="B29" s="1420" t="n"/>
      <c r="C29" s="1420" t="n"/>
      <c r="D29" s="1420" t="n"/>
      <c r="E29" s="1411" t="n"/>
      <c r="F29" s="1574">
        <f>SUM(F20:F28)</f>
        <v/>
      </c>
      <c r="G29" s="1574">
        <f>SUM(G20:G28)</f>
        <v/>
      </c>
      <c r="H29" s="924">
        <f>IF(G29,(F29-G29)/G29,IF(ISBLANK(G29),"",IF(F29,IF( F29 &gt; 0,1,-1),"")))</f>
        <v/>
      </c>
    </row>
    <row r="30" ht="21" customHeight="1" s="1225" thickBot="1">
      <c r="A30" s="1526" t="inlineStr">
        <is>
          <t>SOUS TOTAL (contrôle) : RESULTAT FINANCIER (B) - (A)</t>
        </is>
      </c>
      <c r="B30" s="1527" t="n"/>
      <c r="C30" s="1527" t="n"/>
      <c r="D30" s="1527" t="n"/>
      <c r="E30" s="1528" t="n"/>
      <c r="F30" s="802">
        <f>F29-F19</f>
        <v/>
      </c>
      <c r="G30" s="802">
        <f>G29-G19</f>
        <v/>
      </c>
      <c r="H30" s="925">
        <f>IF(G30,(F30-G30)/G30,IF(ISBLANK(G30),"",IF(F30,IF( F30 &gt; 0,1,-1),"")))</f>
        <v/>
      </c>
    </row>
    <row r="31" ht="13.5" customFormat="1" customHeight="1" s="1356">
      <c r="A31" s="559" t="inlineStr">
        <is>
          <t>Commentaire :</t>
        </is>
      </c>
    </row>
    <row r="32" ht="10.15" customFormat="1" customHeight="1" s="1680">
      <c r="A32" s="618" t="inlineStr">
        <is>
          <t>●   Commenter toute variation significative</t>
        </is>
      </c>
    </row>
    <row r="33" ht="10.15" customFormat="1" customHeight="1" s="1680">
      <c r="A33" s="618" t="inlineStr">
        <is>
          <t>●   En cas de paiement à terme, indiquer :</t>
        </is>
      </c>
    </row>
    <row r="34" ht="10.15" customFormat="1" customHeight="1" s="59">
      <c r="A34" s="625" t="inlineStr">
        <is>
          <t xml:space="preserve">  -la différence entre le total non actualisé des paiements futurs et la valeur actualisée de ces paiements si celle-ci est significative,</t>
        </is>
      </c>
    </row>
    <row r="35" ht="10.15" customFormat="1" customHeight="1" s="59">
      <c r="A35" s="625" t="inlineStr">
        <is>
          <t xml:space="preserve">  - le taux d'actualisation</t>
        </is>
      </c>
    </row>
    <row r="36" ht="10.15" customFormat="1" customHeight="1" s="59">
      <c r="A36" s="626" t="inlineStr">
        <is>
          <t>●   En cas d'incorporation du coût d'emprunt, indiquer :</t>
        </is>
      </c>
    </row>
    <row r="37" ht="10.15" customFormat="1" customHeight="1" s="59">
      <c r="A37" s="625" t="inlineStr">
        <is>
          <t xml:space="preserve">  -le montant des coûts d'emprunt incorporés dans le coût d'actifs au cours de l'exercice; et,</t>
        </is>
      </c>
    </row>
    <row r="38" ht="10.15" customFormat="1" customHeight="1" s="59">
      <c r="A38" s="625" t="inlineStr">
        <is>
          <t xml:space="preserve">  - le taux de capitalisation utilisé pour déterminer le montant des coûts d'emprunt pouvant être incorporés dans le coût d'actifs.</t>
        </is>
      </c>
    </row>
  </sheetData>
  <mergeCells count="30">
    <mergeCell ref="B4:F4"/>
    <mergeCell ref="A30:E30"/>
    <mergeCell ref="C6:D6"/>
    <mergeCell ref="A24:E24"/>
    <mergeCell ref="G2:H2"/>
    <mergeCell ref="A15:E15"/>
    <mergeCell ref="C5:D5"/>
    <mergeCell ref="A11:E11"/>
    <mergeCell ref="A1:H1"/>
    <mergeCell ref="A7:H7"/>
    <mergeCell ref="A16:E16"/>
    <mergeCell ref="A25:E25"/>
    <mergeCell ref="A18:E18"/>
    <mergeCell ref="A27:E27"/>
    <mergeCell ref="A21:E21"/>
    <mergeCell ref="A12:E12"/>
    <mergeCell ref="A26:E26"/>
    <mergeCell ref="A23:E23"/>
    <mergeCell ref="A14:E14"/>
    <mergeCell ref="A8:E8"/>
    <mergeCell ref="C3:H3"/>
    <mergeCell ref="A22:E22"/>
    <mergeCell ref="A17:E17"/>
    <mergeCell ref="A29:E29"/>
    <mergeCell ref="A20:E20"/>
    <mergeCell ref="A10:E10"/>
    <mergeCell ref="A28:E28"/>
    <mergeCell ref="A19:E19"/>
    <mergeCell ref="A13:E13"/>
    <mergeCell ref="A9:E9"/>
  </mergeCells>
  <dataValidations count="1">
    <dataValidation sqref="F9:G18 F20:G28"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0"/>
</worksheet>
</file>

<file path=xl/worksheets/sheet57.xml><?xml version="1.0" encoding="utf-8"?>
<worksheet xmlns="http://schemas.openxmlformats.org/spreadsheetml/2006/main">
  <sheetPr codeName="Feuil58">
    <tabColor theme="4" tint="0.5999938962981048"/>
    <outlinePr summaryBelow="1" summaryRight="1"/>
    <pageSetUpPr fitToPage="1"/>
  </sheetPr>
  <dimension ref="A1:H42"/>
  <sheetViews>
    <sheetView showGridLines="0" topLeftCell="A28" workbookViewId="0">
      <selection activeCell="B14" sqref="B14"/>
    </sheetView>
  </sheetViews>
  <sheetFormatPr baseColWidth="10" defaultColWidth="11.42578125" defaultRowHeight="15"/>
  <cols>
    <col width="16.5703125" customWidth="1" style="1225" min="2" max="2"/>
    <col width="2.42578125" customWidth="1" style="1225" min="3" max="3"/>
    <col width="11.28515625" customWidth="1" style="1225" min="4" max="4"/>
    <col width="20.5703125" customWidth="1" style="1225" min="5" max="5"/>
    <col width="15.7109375" customWidth="1" style="1225" min="6" max="7"/>
    <col width="12.5703125" customWidth="1" style="1225" min="8" max="8"/>
  </cols>
  <sheetData>
    <row r="1">
      <c r="A1" s="1429" t="inlineStr">
        <is>
          <t>- 0 -</t>
        </is>
      </c>
    </row>
    <row r="2" ht="24.95" customHeight="1" s="1225">
      <c r="A2" s="1429" t="n"/>
      <c r="B2" s="1429" t="n"/>
      <c r="C2" s="1429" t="n"/>
      <c r="D2" s="1429" t="n"/>
      <c r="E2" s="1429" t="n"/>
      <c r="F2" s="1429" t="n"/>
      <c r="G2" s="1438" t="inlineStr">
        <is>
          <t>NOTE 30
SYSTEME NORMAL</t>
        </is>
      </c>
      <c r="H2" s="1411" t="n"/>
    </row>
    <row r="3" ht="15" customFormat="1" customHeight="1" s="1382">
      <c r="A3" s="1451" t="inlineStr">
        <is>
          <t>Dénomination sociale de l'entité :</t>
        </is>
      </c>
      <c r="B3" s="1451" t="n"/>
      <c r="C3" s="1276">
        <f>'NOTE 21'!C3</f>
        <v/>
      </c>
      <c r="D3" s="1277" t="n"/>
      <c r="E3" s="1277" t="n"/>
      <c r="F3" s="1277" t="n"/>
      <c r="G3" s="1277" t="n"/>
      <c r="H3" s="1277" t="n"/>
    </row>
    <row r="4" ht="15" customFormat="1" customHeight="1" s="1382">
      <c r="A4" s="1451" t="inlineStr">
        <is>
          <t>Adresse :</t>
        </is>
      </c>
      <c r="B4" s="1276">
        <f>'NOTE 21'!B4</f>
        <v/>
      </c>
      <c r="C4" s="1277" t="n"/>
      <c r="D4" s="1277" t="n"/>
      <c r="E4" s="1277" t="n"/>
      <c r="F4" s="1277" t="n"/>
      <c r="G4" s="1589" t="inlineStr">
        <is>
          <t>Sigle usuel :</t>
        </is>
      </c>
      <c r="H4" s="1488">
        <f>'NOTE 21'!H4</f>
        <v/>
      </c>
    </row>
    <row r="5" ht="15" customFormat="1" customHeight="1" s="1382">
      <c r="A5" s="1451" t="inlineStr">
        <is>
          <t>N° IFU :</t>
        </is>
      </c>
      <c r="B5" s="1451" t="n"/>
      <c r="C5" s="1280">
        <f>'NOTE 21'!C5</f>
        <v/>
      </c>
      <c r="D5" s="1279" t="n"/>
      <c r="E5" s="1457" t="inlineStr">
        <is>
          <t>Exercice clos le :</t>
        </is>
      </c>
      <c r="F5" s="1601">
        <f>'NOTE 21'!F5</f>
        <v/>
      </c>
      <c r="G5" s="1589" t="inlineStr">
        <is>
          <t>Durée (en mois) :</t>
        </is>
      </c>
      <c r="H5" s="111">
        <f>'NOTE 21'!H5</f>
        <v/>
      </c>
    </row>
    <row r="6" ht="15" customFormat="1" customHeight="1" s="1382">
      <c r="A6" s="259" t="inlineStr">
        <is>
          <t xml:space="preserve">N° de télédéclarant (NES): </t>
        </is>
      </c>
      <c r="B6" s="1451" t="n"/>
      <c r="C6" s="1520">
        <f>'NOTE 21'!C6</f>
        <v/>
      </c>
      <c r="D6" s="1521" t="n"/>
      <c r="E6" s="253" t="n"/>
      <c r="F6" s="1970" t="n"/>
      <c r="G6" s="254" t="n"/>
      <c r="H6" s="1970" t="n"/>
    </row>
    <row r="7" ht="35.1" customHeight="1" s="1225" thickBot="1">
      <c r="A7" s="1341" t="inlineStr">
        <is>
          <t>NOTE 30 : AUTRES  CHARGES ET PRODUITS HAO</t>
        </is>
      </c>
    </row>
    <row r="8" ht="33" customHeight="1" s="1225">
      <c r="A8" s="1667" t="inlineStr">
        <is>
          <t>Libellés</t>
        </is>
      </c>
      <c r="B8" s="1509" t="n"/>
      <c r="C8" s="1509" t="n"/>
      <c r="D8" s="1509" t="n"/>
      <c r="E8" s="1562" t="n"/>
      <c r="F8" s="1750" t="inlineStr">
        <is>
          <t>Année N</t>
        </is>
      </c>
      <c r="G8" s="1750" t="inlineStr">
        <is>
          <t>Année N-1</t>
        </is>
      </c>
      <c r="H8" s="1751" t="inlineStr">
        <is>
          <t>Variation
en %</t>
        </is>
      </c>
    </row>
    <row r="9" ht="18" customHeight="1" s="1225">
      <c r="A9" s="1519" t="inlineStr">
        <is>
          <t>Charges HAO constatées  (compte 831) à  détailler (1) :</t>
        </is>
      </c>
      <c r="B9" s="1420" t="n"/>
      <c r="C9" s="1420" t="n"/>
      <c r="D9" s="1420" t="n"/>
      <c r="E9" s="1411" t="n"/>
      <c r="F9" s="605" t="n"/>
      <c r="G9" s="605" t="n"/>
      <c r="H9" s="923">
        <f>IF(G9,(F9-G9)/G9,IF(ISBLANK(G9),"",IF(F9,IF( F9 &gt; 0,1,-1),"")))</f>
        <v/>
      </c>
    </row>
    <row r="10" ht="18" customHeight="1" s="1225">
      <c r="A10" s="1603" t="n"/>
      <c r="B10" s="1395" t="n"/>
      <c r="C10" s="1395" t="n"/>
      <c r="D10" s="1395" t="n"/>
      <c r="E10" s="1396" t="n"/>
      <c r="F10" s="1571" t="n"/>
      <c r="G10" s="1571" t="n"/>
      <c r="H10" s="923">
        <f>IF(G10,(F10-G10)/G10,IF(ISBLANK(G10),"",IF(F10,IF( F10 &gt; 0,1,-1),"")))</f>
        <v/>
      </c>
    </row>
    <row r="11" ht="18" customHeight="1" s="1225">
      <c r="A11" s="1603" t="n"/>
      <c r="B11" s="1395" t="n"/>
      <c r="C11" s="1395" t="n"/>
      <c r="D11" s="1395" t="n"/>
      <c r="E11" s="1396" t="n"/>
      <c r="F11" s="1571" t="n"/>
      <c r="G11" s="1571" t="n"/>
      <c r="H11" s="923">
        <f>IF(G11,(F11-G11)/G11,IF(ISBLANK(G11),"",IF(F11,IF( F11 &gt; 0,1,-1),"")))</f>
        <v/>
      </c>
    </row>
    <row r="12" ht="18" customHeight="1" s="1225">
      <c r="A12" s="1603" t="n"/>
      <c r="B12" s="1395" t="n"/>
      <c r="C12" s="1395" t="n"/>
      <c r="D12" s="1395" t="n"/>
      <c r="E12" s="1396" t="n"/>
      <c r="F12" s="1571" t="n"/>
      <c r="G12" s="1571" t="n"/>
      <c r="H12" s="923">
        <f>IF(G12,(F12-G12)/G12,IF(ISBLANK(G12),"",IF(F12,IF( F12 &gt; 0,1,-1),"")))</f>
        <v/>
      </c>
    </row>
    <row r="13" ht="18" customHeight="1" s="1225">
      <c r="A13" s="1603" t="n"/>
      <c r="B13" s="1395" t="n"/>
      <c r="C13" s="1395" t="n"/>
      <c r="D13" s="1395" t="n"/>
      <c r="E13" s="1396" t="n"/>
      <c r="F13" s="1571" t="n"/>
      <c r="G13" s="1571" t="n"/>
      <c r="H13" s="923">
        <f>IF(G13,(F13-G13)/G13,IF(ISBLANK(G13),"",IF(F13,IF( F13 &gt; 0,1,-1),"")))</f>
        <v/>
      </c>
    </row>
    <row r="14" ht="18" customHeight="1" s="1225">
      <c r="A14" s="1603" t="n"/>
      <c r="B14" s="1395" t="n"/>
      <c r="C14" s="1395" t="n"/>
      <c r="D14" s="1395" t="n"/>
      <c r="E14" s="1396" t="n"/>
      <c r="F14" s="1571" t="n"/>
      <c r="G14" s="1571" t="n"/>
      <c r="H14" s="923">
        <f>IF(G14,(F14-G14)/G14,IF(ISBLANK(G14),"",IF(F14,IF( F14 &gt; 0,1,-1),"")))</f>
        <v/>
      </c>
    </row>
    <row r="15" ht="18" customHeight="1" s="1225">
      <c r="A15" s="1603" t="n"/>
      <c r="B15" s="1395" t="n"/>
      <c r="C15" s="1395" t="n"/>
      <c r="D15" s="1395" t="n"/>
      <c r="E15" s="1396" t="n"/>
      <c r="F15" s="1571" t="n"/>
      <c r="G15" s="1571" t="n"/>
      <c r="H15" s="923">
        <f>IF(G15,(F15-G15)/G15,IF(ISBLANK(G15),"",IF(F15,IF( F15 &gt; 0,1,-1),"")))</f>
        <v/>
      </c>
    </row>
    <row r="16" ht="18" customHeight="1" s="1225">
      <c r="A16" s="1512" t="inlineStr">
        <is>
          <t>Charges liées aux opéations de restructuration</t>
        </is>
      </c>
      <c r="B16" s="1420" t="n"/>
      <c r="C16" s="1420" t="n"/>
      <c r="D16" s="1420" t="n"/>
      <c r="E16" s="1411" t="n"/>
      <c r="F16" s="1571" t="n"/>
      <c r="G16" s="1571" t="n"/>
      <c r="H16" s="923">
        <f>IF(G16,(F16-G16)/G16,IF(ISBLANK(G16),"",IF(F16,IF( F16 &gt; 0,1,-1),"")))</f>
        <v/>
      </c>
    </row>
    <row r="17" ht="18" customHeight="1" s="1225">
      <c r="A17" s="1512" t="inlineStr">
        <is>
          <t>Pertes sur créances HAO</t>
        </is>
      </c>
      <c r="B17" s="1420" t="n"/>
      <c r="C17" s="1420" t="n"/>
      <c r="D17" s="1420" t="n"/>
      <c r="E17" s="1411" t="n"/>
      <c r="F17" s="1571" t="n"/>
      <c r="G17" s="1571" t="n"/>
      <c r="H17" s="923">
        <f>IF(G17,(F17-G17)/G17,IF(ISBLANK(G17),"",IF(F17,IF( F17 &gt; 0,1,-1),"")))</f>
        <v/>
      </c>
    </row>
    <row r="18" ht="18" customHeight="1" s="1225">
      <c r="A18" s="1512" t="inlineStr">
        <is>
          <t>Dons et libéralités accordés</t>
        </is>
      </c>
      <c r="B18" s="1420" t="n"/>
      <c r="C18" s="1420" t="n"/>
      <c r="D18" s="1420" t="n"/>
      <c r="E18" s="1411" t="n"/>
      <c r="F18" s="1571" t="n"/>
      <c r="G18" s="1571" t="n"/>
      <c r="H18" s="923">
        <f>IF(G18,(F18-G18)/G18,IF(ISBLANK(G18),"",IF(F18,IF( F18 &gt; 0,1,-1),"")))</f>
        <v/>
      </c>
    </row>
    <row r="19" ht="18" customHeight="1" s="1225">
      <c r="A19" s="1512" t="inlineStr">
        <is>
          <t>Abandons de créances consentis</t>
        </is>
      </c>
      <c r="B19" s="1420" t="n"/>
      <c r="C19" s="1420" t="n"/>
      <c r="D19" s="1420" t="n"/>
      <c r="E19" s="1411" t="n"/>
      <c r="F19" s="1571" t="n"/>
      <c r="G19" s="1571" t="n"/>
      <c r="H19" s="923">
        <f>IF(G19,(F19-G19)/G19,IF(ISBLANK(G19),"",IF(F19,IF( F19 &gt; 0,1,-1),"")))</f>
        <v/>
      </c>
    </row>
    <row r="20" ht="18" customHeight="1" s="1225">
      <c r="A20" s="1512" t="inlineStr">
        <is>
          <t>Charges pour dépréciations et provisions pour risques à court terme  HAO</t>
        </is>
      </c>
      <c r="B20" s="1420" t="n"/>
      <c r="C20" s="1420" t="n"/>
      <c r="D20" s="1420" t="n"/>
      <c r="E20" s="1411" t="n"/>
      <c r="F20" s="1571" t="n"/>
      <c r="G20" s="1571" t="n"/>
      <c r="H20" s="923">
        <f>IF(G20,(F20-G20)/G20,IF(ISBLANK(G20),"",IF(F20,IF( F20 &gt; 0,1,-1),"")))</f>
        <v/>
      </c>
    </row>
    <row r="21" ht="18" customHeight="1" s="1225">
      <c r="A21" s="1512" t="inlineStr">
        <is>
          <t>Dotations hors activités ordinaires</t>
        </is>
      </c>
      <c r="B21" s="1420" t="n"/>
      <c r="C21" s="1420" t="n"/>
      <c r="D21" s="1420" t="n"/>
      <c r="E21" s="1411" t="n"/>
      <c r="F21" s="1571" t="n"/>
      <c r="G21" s="1571" t="n"/>
      <c r="H21" s="923">
        <f>IF(G21,(F21-G21)/G21,IF(ISBLANK(G21),"",IF(F21,IF( F21 &gt; 0,1,-1),"")))</f>
        <v/>
      </c>
    </row>
    <row r="22" ht="18" customHeight="1" s="1225">
      <c r="A22" s="1512" t="inlineStr">
        <is>
          <t>Participation des travailleurs</t>
        </is>
      </c>
      <c r="B22" s="1420" t="n"/>
      <c r="C22" s="1420" t="n"/>
      <c r="D22" s="1420" t="n"/>
      <c r="E22" s="1411" t="n"/>
      <c r="F22" s="1571" t="n"/>
      <c r="G22" s="1571" t="n"/>
      <c r="H22" s="923">
        <f>IF(G22,(F22-G22)/G22,IF(ISBLANK(G22),"",IF(F22,IF( F22 &gt; 0,1,-1),"")))</f>
        <v/>
      </c>
    </row>
    <row r="23" ht="18" customHeight="1" s="1225">
      <c r="A23" s="1525" t="inlineStr">
        <is>
          <t>SOUS TOTAL : AUTRES CHARGES HAO (ligne RP du CR)</t>
        </is>
      </c>
      <c r="B23" s="1420" t="n"/>
      <c r="C23" s="1420" t="n"/>
      <c r="D23" s="1420" t="n"/>
      <c r="E23" s="1411" t="n"/>
      <c r="F23" s="1574">
        <f>SUM(F10:F22)</f>
        <v/>
      </c>
      <c r="G23" s="1574">
        <f>SUM(G10:G22)</f>
        <v/>
      </c>
      <c r="H23" s="924">
        <f>IF(G23,(F23-G23)/G23,IF(ISBLANK(G23),"",IF(F23,IF( F23 &gt; 0,1,-1),"")))</f>
        <v/>
      </c>
    </row>
    <row r="24" ht="18" customHeight="1" s="1225">
      <c r="A24" s="1519" t="inlineStr">
        <is>
          <t>Produits HAO constatés (compte 841) à détailler(1) :</t>
        </is>
      </c>
      <c r="B24" s="1420" t="n"/>
      <c r="C24" s="1420" t="n"/>
      <c r="D24" s="1420" t="n"/>
      <c r="E24" s="1411" t="n"/>
      <c r="F24" s="109" t="n"/>
      <c r="G24" s="109" t="n"/>
      <c r="H24" s="923">
        <f>IF(G24,(F24-G24)/G24,IF(ISBLANK(G24),"",IF(F24,IF( F24 &gt; 0,1,-1),"")))</f>
        <v/>
      </c>
    </row>
    <row r="25" ht="18" customHeight="1" s="1225">
      <c r="A25" s="1603" t="n"/>
      <c r="B25" s="1395" t="n"/>
      <c r="C25" s="1395" t="n"/>
      <c r="D25" s="1395" t="n"/>
      <c r="E25" s="1396" t="n"/>
      <c r="F25" s="1570" t="n"/>
      <c r="G25" s="1570" t="n"/>
      <c r="H25" s="923">
        <f>IF(G25,(F25-G25)/G25,IF(ISBLANK(G25),"",IF(F25,IF( F25 &gt; 0,1,-1),"")))</f>
        <v/>
      </c>
    </row>
    <row r="26" ht="18" customHeight="1" s="1225">
      <c r="A26" s="1603" t="n"/>
      <c r="B26" s="1395" t="n"/>
      <c r="C26" s="1395" t="n"/>
      <c r="D26" s="1395" t="n"/>
      <c r="E26" s="1396" t="n"/>
      <c r="F26" s="1570" t="n"/>
      <c r="G26" s="1570" t="n"/>
      <c r="H26" s="923">
        <f>IF(G26,(F26-G26)/G26,IF(ISBLANK(G26),"",IF(F26,IF( F26 &gt; 0,1,-1),"")))</f>
        <v/>
      </c>
    </row>
    <row r="27" ht="18" customHeight="1" s="1225">
      <c r="A27" s="1603" t="n"/>
      <c r="B27" s="1395" t="n"/>
      <c r="C27" s="1395" t="n"/>
      <c r="D27" s="1395" t="n"/>
      <c r="E27" s="1396" t="n"/>
      <c r="F27" s="1570" t="n"/>
      <c r="G27" s="1570" t="n"/>
      <c r="H27" s="923">
        <f>IF(G27,(F27-G27)/G27,IF(ISBLANK(G27),"",IF(F27,IF( F27 &gt; 0,1,-1),"")))</f>
        <v/>
      </c>
    </row>
    <row r="28" ht="18" customHeight="1" s="1225">
      <c r="A28" s="1603" t="n"/>
      <c r="B28" s="1395" t="n"/>
      <c r="C28" s="1395" t="n"/>
      <c r="D28" s="1395" t="n"/>
      <c r="E28" s="1396" t="n"/>
      <c r="F28" s="1570" t="n"/>
      <c r="G28" s="1570" t="n"/>
      <c r="H28" s="923">
        <f>IF(G28,(F28-G28)/G28,IF(ISBLANK(G28),"",IF(F28,IF( F28 &gt; 0,1,-1),"")))</f>
        <v/>
      </c>
    </row>
    <row r="29" ht="18" customHeight="1" s="1225">
      <c r="A29" s="1603" t="n"/>
      <c r="B29" s="1395" t="n"/>
      <c r="C29" s="1395" t="n"/>
      <c r="D29" s="1395" t="n"/>
      <c r="E29" s="1396" t="n"/>
      <c r="F29" s="1570" t="n"/>
      <c r="G29" s="1570" t="n"/>
      <c r="H29" s="923">
        <f>IF(G29,(F29-G29)/G29,IF(ISBLANK(G29),"",IF(F29,IF( F29 &gt; 0,1,-1),"")))</f>
        <v/>
      </c>
    </row>
    <row r="30" ht="18" customHeight="1" s="1225">
      <c r="A30" s="1603" t="n"/>
      <c r="B30" s="1395" t="n"/>
      <c r="C30" s="1395" t="n"/>
      <c r="D30" s="1395" t="n"/>
      <c r="E30" s="1396" t="n"/>
      <c r="F30" s="1570" t="n"/>
      <c r="G30" s="1570" t="n"/>
      <c r="H30" s="923">
        <f>IF(G30,(F30-G30)/G30,IF(ISBLANK(G30),"",IF(F30,IF( F30 &gt; 0,1,-1),"")))</f>
        <v/>
      </c>
    </row>
    <row r="31" ht="18" customHeight="1" s="1225">
      <c r="A31" s="1749" t="inlineStr">
        <is>
          <t>Produits liés aux opéations de restructuration</t>
        </is>
      </c>
      <c r="B31" s="1420" t="n"/>
      <c r="C31" s="1420" t="n"/>
      <c r="D31" s="1420" t="n"/>
      <c r="E31" s="1411" t="n"/>
      <c r="F31" s="1570" t="n"/>
      <c r="G31" s="1570" t="n"/>
      <c r="H31" s="923">
        <f>IF(G31,(F31-G31)/G31,IF(ISBLANK(G31),"",IF(F31,IF( F31 &gt; 0,1,-1),"")))</f>
        <v/>
      </c>
    </row>
    <row r="32" ht="18" customHeight="1" s="1225">
      <c r="A32" s="1518" t="inlineStr">
        <is>
          <t>Indemnités et subventions HAO (entité agricole)</t>
        </is>
      </c>
      <c r="B32" s="1420" t="n"/>
      <c r="C32" s="1420" t="n"/>
      <c r="D32" s="1420" t="n"/>
      <c r="E32" s="1411" t="n"/>
      <c r="F32" s="1570" t="n"/>
      <c r="G32" s="1570" t="n"/>
      <c r="H32" s="923">
        <f>IF(G32,(F32-G32)/G32,IF(ISBLANK(G32),"",IF(F32,IF( F32 &gt; 0,1,-1),"")))</f>
        <v/>
      </c>
    </row>
    <row r="33" ht="18" customHeight="1" s="1225">
      <c r="A33" s="1518" t="inlineStr">
        <is>
          <t>Dons et libéralités obtenus</t>
        </is>
      </c>
      <c r="B33" s="1420" t="n"/>
      <c r="C33" s="1420" t="n"/>
      <c r="D33" s="1420" t="n"/>
      <c r="E33" s="1411" t="n"/>
      <c r="F33" s="1570" t="n"/>
      <c r="G33" s="1570" t="n"/>
      <c r="H33" s="923">
        <f>IF(G33,(F33-G33)/G33,IF(ISBLANK(G33),"",IF(F33,IF( F33 &gt; 0,1,-1),"")))</f>
        <v/>
      </c>
    </row>
    <row r="34" ht="18" customHeight="1" s="1225">
      <c r="A34" s="1518" t="inlineStr">
        <is>
          <t>Abandons de créances obtenus</t>
        </is>
      </c>
      <c r="B34" s="1420" t="n"/>
      <c r="C34" s="1420" t="n"/>
      <c r="D34" s="1420" t="n"/>
      <c r="E34" s="1411" t="n"/>
      <c r="F34" s="1570" t="n"/>
      <c r="G34" s="1570" t="n"/>
      <c r="H34" s="923">
        <f>IF(G34,(F34-G34)/G34,IF(ISBLANK(G34),"",IF(F34,IF( F34 &gt; 0,1,-1),"")))</f>
        <v/>
      </c>
    </row>
    <row r="35" ht="18" customHeight="1" s="1225">
      <c r="A35" s="1749" t="inlineStr">
        <is>
          <t>Transfert de charges H.A.O</t>
        </is>
      </c>
      <c r="B35" s="1420" t="n"/>
      <c r="C35" s="1420" t="n"/>
      <c r="D35" s="1420" t="n"/>
      <c r="E35" s="1411" t="n"/>
      <c r="F35" s="1570" t="n"/>
      <c r="G35" s="1570" t="n"/>
      <c r="H35" s="923">
        <f>IF(G35,(F35-G35)/G35,IF(ISBLANK(G35),"",IF(F35,IF( F35 &gt; 0,1,-1),"")))</f>
        <v/>
      </c>
    </row>
    <row r="36" ht="27.75" customHeight="1" s="1225">
      <c r="A36" s="1518" t="inlineStr">
        <is>
          <t>Reprises de charges pour dépréciations et provisions pour risques à court terme HAO</t>
        </is>
      </c>
      <c r="B36" s="1420" t="n"/>
      <c r="C36" s="1420" t="n"/>
      <c r="D36" s="1420" t="n"/>
      <c r="E36" s="1411" t="n"/>
      <c r="F36" s="1570" t="n"/>
      <c r="G36" s="1570" t="n"/>
      <c r="H36" s="923">
        <f>IF(G36,(F36-G36)/G36,IF(ISBLANK(G36),"",IF(F36,IF( F36 &gt; 0,1,-1),"")))</f>
        <v/>
      </c>
    </row>
    <row r="37" ht="18.75" customHeight="1" s="1225">
      <c r="A37" s="1518" t="inlineStr">
        <is>
          <t>Reprises des charges, provisions et dépréciations H.A.O</t>
        </is>
      </c>
      <c r="B37" s="1420" t="n"/>
      <c r="C37" s="1420" t="n"/>
      <c r="D37" s="1420" t="n"/>
      <c r="E37" s="1411" t="n"/>
      <c r="F37" s="1570" t="n"/>
      <c r="G37" s="1570" t="n"/>
      <c r="H37" s="923">
        <f>IF(G37,(F37-G37)/G37,IF(ISBLANK(G37),"",IF(F37,IF( F37 &gt; 0,1,-1),"")))</f>
        <v/>
      </c>
    </row>
    <row r="38" ht="18" customHeight="1" s="1225">
      <c r="A38" s="1518" t="inlineStr">
        <is>
          <t>Subventions d'équilibre</t>
        </is>
      </c>
      <c r="B38" s="1420" t="n"/>
      <c r="C38" s="1420" t="n"/>
      <c r="D38" s="1420" t="n"/>
      <c r="E38" s="1411" t="n"/>
      <c r="F38" s="1570" t="n"/>
      <c r="G38" s="1570" t="n"/>
      <c r="H38" s="923">
        <f>IF(G38,(F38-G38)/G38,IF(ISBLANK(G38),"",IF(F38,IF( F38 &gt; 0,1,-1),"")))</f>
        <v/>
      </c>
    </row>
    <row r="39" ht="18" customHeight="1" s="1225" thickBot="1">
      <c r="A39" s="1633" t="inlineStr">
        <is>
          <t>SOUS TOTAL : AUTRES PRODUITS HAO (ligne TO du CR)</t>
        </is>
      </c>
      <c r="B39" s="1527" t="n"/>
      <c r="C39" s="1527" t="n"/>
      <c r="D39" s="1527" t="n"/>
      <c r="E39" s="1528" t="n"/>
      <c r="F39" s="1632">
        <f>SUM(F25:F38)</f>
        <v/>
      </c>
      <c r="G39" s="1632">
        <f>SUM(G25:G38)</f>
        <v/>
      </c>
      <c r="H39" s="927">
        <f>IF(G39,(F39-G39)/G39,IF(ISBLANK(G39),"",IF(F39,IF( F39 &gt; 0,1,-1),"")))</f>
        <v/>
      </c>
    </row>
    <row r="40">
      <c r="A40" s="926" t="inlineStr">
        <is>
          <t>(CR): Compte de résultat</t>
        </is>
      </c>
    </row>
    <row r="41" ht="12" customFormat="1" customHeight="1" s="1356">
      <c r="A41" s="559" t="inlineStr">
        <is>
          <t>Commentaire :</t>
        </is>
      </c>
    </row>
    <row r="42" ht="12" customFormat="1" customHeight="1" s="1356">
      <c r="A42" s="627" t="inlineStr">
        <is>
          <t>●   Commenter toute variation significative.</t>
        </is>
      </c>
    </row>
  </sheetData>
  <mergeCells count="39">
    <mergeCell ref="B4:F4"/>
    <mergeCell ref="A39:E39"/>
    <mergeCell ref="A34:E34"/>
    <mergeCell ref="A30:E30"/>
    <mergeCell ref="C6:D6"/>
    <mergeCell ref="A24:E24"/>
    <mergeCell ref="G2:H2"/>
    <mergeCell ref="A15:E15"/>
    <mergeCell ref="C5:D5"/>
    <mergeCell ref="A11:E11"/>
    <mergeCell ref="A36:E36"/>
    <mergeCell ref="A1:H1"/>
    <mergeCell ref="A7:H7"/>
    <mergeCell ref="A16:E16"/>
    <mergeCell ref="A25:E25"/>
    <mergeCell ref="A37:E37"/>
    <mergeCell ref="A18:E18"/>
    <mergeCell ref="A27:E27"/>
    <mergeCell ref="A21:E21"/>
    <mergeCell ref="A12:E12"/>
    <mergeCell ref="A26:E26"/>
    <mergeCell ref="A33:E33"/>
    <mergeCell ref="A23:E23"/>
    <mergeCell ref="A32:E32"/>
    <mergeCell ref="A14:E14"/>
    <mergeCell ref="A8:E8"/>
    <mergeCell ref="C3:H3"/>
    <mergeCell ref="A22:E22"/>
    <mergeCell ref="A17:E17"/>
    <mergeCell ref="A29:E29"/>
    <mergeCell ref="A35:E35"/>
    <mergeCell ref="A20:E20"/>
    <mergeCell ref="A38:E38"/>
    <mergeCell ref="A10:E10"/>
    <mergeCell ref="A28:E28"/>
    <mergeCell ref="A19:E19"/>
    <mergeCell ref="A13:E13"/>
    <mergeCell ref="A31:E31"/>
    <mergeCell ref="A9:E9"/>
  </mergeCells>
  <dataValidations count="1">
    <dataValidation sqref="F9:G22 F24:G38"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1"/>
</worksheet>
</file>

<file path=xl/worksheets/sheet58.xml><?xml version="1.0" encoding="utf-8"?>
<worksheet xmlns="http://schemas.openxmlformats.org/spreadsheetml/2006/main">
  <sheetPr codeName="Feuil59">
    <tabColor theme="4" tint="0.5999938962981048"/>
    <outlinePr summaryBelow="1" summaryRight="1"/>
    <pageSetUpPr fitToPage="1"/>
  </sheetPr>
  <dimension ref="A1:L37"/>
  <sheetViews>
    <sheetView showGridLines="0" workbookViewId="0">
      <selection activeCell="B14" sqref="B14"/>
    </sheetView>
  </sheetViews>
  <sheetFormatPr baseColWidth="10" defaultRowHeight="15"/>
  <cols>
    <col width="17.140625" customWidth="1" style="1225" min="2" max="2"/>
    <col width="2.85546875" customWidth="1" style="1225" min="4" max="4"/>
    <col width="14.42578125" customWidth="1" style="1225" min="5" max="5"/>
    <col width="20.42578125" customWidth="1" style="1225" min="6" max="6"/>
    <col width="15.7109375" customWidth="1" style="1225" min="7" max="11"/>
  </cols>
  <sheetData>
    <row r="1">
      <c r="A1" s="1429" t="inlineStr">
        <is>
          <t>- 21 -</t>
        </is>
      </c>
    </row>
    <row r="2" ht="22.5" customHeight="1" s="1225">
      <c r="A2" s="1429" t="n"/>
      <c r="B2" s="1429" t="n"/>
      <c r="C2" s="1429" t="n"/>
      <c r="D2" s="1429" t="n"/>
      <c r="E2" s="1429" t="n"/>
      <c r="F2" s="1429" t="n"/>
      <c r="J2" s="1438" t="inlineStr">
        <is>
          <t>NOTE 31
SYSTEME NORMAL</t>
        </is>
      </c>
      <c r="K2" s="1411" t="n"/>
    </row>
    <row r="3" ht="15" customFormat="1" customHeight="1" s="1382">
      <c r="A3" s="1451" t="inlineStr">
        <is>
          <t>Dénomination sociale de l'entité :</t>
        </is>
      </c>
      <c r="B3" s="1451" t="n"/>
      <c r="C3" s="1276">
        <f>'NOTE 30'!C3:H3</f>
        <v/>
      </c>
      <c r="D3" s="1277" t="n"/>
      <c r="E3" s="1277" t="n"/>
      <c r="F3" s="1277" t="n"/>
      <c r="G3" s="1277" t="n"/>
      <c r="H3" s="1277" t="n"/>
      <c r="I3" s="1277" t="n"/>
      <c r="J3" s="1277" t="n"/>
      <c r="K3" s="1277" t="n"/>
    </row>
    <row r="4" ht="15" customFormat="1" customHeight="1" s="1382">
      <c r="A4" s="1451" t="inlineStr">
        <is>
          <t>Adresse :</t>
        </is>
      </c>
      <c r="B4" s="1276">
        <f>'NOTE 30'!B4:F4</f>
        <v/>
      </c>
      <c r="C4" s="1277" t="n"/>
      <c r="D4" s="1277" t="n"/>
      <c r="E4" s="1277" t="n"/>
      <c r="F4" s="1277" t="n"/>
      <c r="G4" s="1277" t="n"/>
      <c r="H4" s="1277" t="n"/>
      <c r="I4" s="1277" t="n"/>
      <c r="J4" s="1589" t="inlineStr">
        <is>
          <t>Sigle usuel :</t>
        </is>
      </c>
      <c r="K4" s="1488">
        <f>'NOTE 30'!H4</f>
        <v/>
      </c>
    </row>
    <row r="5" ht="15" customFormat="1" customHeight="1" s="1382">
      <c r="A5" s="1451" t="inlineStr">
        <is>
          <t>N° IFU :</t>
        </is>
      </c>
      <c r="B5" s="1451" t="n"/>
      <c r="C5" s="1276">
        <f>'NOTE 30'!C5:D5</f>
        <v/>
      </c>
      <c r="D5" s="1277" t="n"/>
      <c r="E5" s="1277" t="n"/>
      <c r="F5" s="1277" t="n"/>
      <c r="G5" s="1457" t="inlineStr">
        <is>
          <t>Exercice clos le :</t>
        </is>
      </c>
      <c r="H5" s="1563">
        <f>'NOTE 30'!F5</f>
        <v/>
      </c>
      <c r="I5" s="1277" t="n"/>
      <c r="J5" s="1589" t="inlineStr">
        <is>
          <t>Durée (en mois) :</t>
        </is>
      </c>
      <c r="K5" s="111">
        <f>'NOTE 30'!H5</f>
        <v/>
      </c>
    </row>
    <row r="6" ht="15" customFormat="1" customHeight="1" s="1382">
      <c r="A6" s="259" t="inlineStr">
        <is>
          <t xml:space="preserve">N° de télédéclarant (NES): </t>
        </is>
      </c>
      <c r="B6" s="1451" t="n"/>
      <c r="C6" s="1520" t="n"/>
      <c r="D6" s="1521" t="n"/>
      <c r="E6" s="1521" t="n"/>
      <c r="F6" s="1521" t="n"/>
      <c r="G6" s="253" t="n"/>
      <c r="H6" s="1970" t="n"/>
      <c r="I6" s="1970" t="n"/>
      <c r="J6" s="254" t="n"/>
      <c r="K6" s="1970" t="n"/>
    </row>
    <row r="7" ht="27.75" customHeight="1" s="1225" thickBot="1">
      <c r="A7" s="1341" t="inlineStr">
        <is>
          <t>NOTE 31 : REPARTITION DU RESULTAT ET AUTRES ELEMENTS CARACTERISTIQUES DES CINQ DERNIERS EXERCICES</t>
        </is>
      </c>
    </row>
    <row r="8" ht="12.75" customHeight="1" s="1225">
      <c r="A8" s="1754" t="inlineStr">
        <is>
          <t>EXERCICES CONCERNES (1)</t>
        </is>
      </c>
      <c r="B8" s="1300" t="n"/>
      <c r="C8" s="1300" t="n"/>
      <c r="D8" s="1300" t="n"/>
      <c r="E8" s="1300" t="n"/>
      <c r="F8" s="1514" t="n"/>
      <c r="G8" s="1750" t="inlineStr">
        <is>
          <t>N</t>
        </is>
      </c>
      <c r="H8" s="1750" t="inlineStr">
        <is>
          <t>N-1</t>
        </is>
      </c>
      <c r="I8" s="1750" t="inlineStr">
        <is>
          <t>N - 2</t>
        </is>
      </c>
      <c r="J8" s="1750" t="inlineStr">
        <is>
          <t>N - 3</t>
        </is>
      </c>
      <c r="K8" s="1751" t="inlineStr">
        <is>
          <t>N - 4</t>
        </is>
      </c>
    </row>
    <row r="9" ht="15" customHeight="1" s="1225">
      <c r="A9" s="1753" t="inlineStr">
        <is>
          <t>NATURE DES INDICATIONS</t>
        </is>
      </c>
      <c r="B9" s="1516" t="n"/>
      <c r="C9" s="1516" t="n"/>
      <c r="D9" s="1516" t="n"/>
      <c r="E9" s="1516" t="n"/>
      <c r="F9" s="1517" t="n"/>
      <c r="G9" s="1524" t="n"/>
      <c r="H9" s="1524" t="n"/>
      <c r="I9" s="1524" t="n"/>
      <c r="J9" s="1524" t="n"/>
      <c r="K9" s="1565" t="n"/>
    </row>
    <row r="10" ht="15" customHeight="1" s="1225">
      <c r="A10" s="1544" t="inlineStr">
        <is>
          <t>STRUCTURE DU CAPITAL A LA CLOTURE DE L'EXERCICE (2)</t>
        </is>
      </c>
      <c r="B10" s="1420" t="n"/>
      <c r="C10" s="1420" t="n"/>
      <c r="D10" s="1420" t="n"/>
      <c r="E10" s="1420" t="n"/>
      <c r="F10" s="1411" t="n"/>
      <c r="G10" s="1631">
        <f>SUM(G11:G16)</f>
        <v/>
      </c>
      <c r="H10" s="1631">
        <f>SUM(H11:H16)</f>
        <v/>
      </c>
      <c r="I10" s="1631">
        <f>SUM(I11:I16)</f>
        <v/>
      </c>
      <c r="J10" s="1631">
        <f>SUM(J11:J16)</f>
        <v/>
      </c>
      <c r="K10" s="840">
        <f>SUM(K11:K16)</f>
        <v/>
      </c>
    </row>
    <row r="11" ht="15" customHeight="1" s="1225">
      <c r="A11" s="1512" t="inlineStr">
        <is>
          <t>Capital social</t>
        </is>
      </c>
      <c r="B11" s="1420" t="n"/>
      <c r="C11" s="1420" t="n"/>
      <c r="D11" s="1420" t="n"/>
      <c r="E11" s="1420" t="n"/>
      <c r="F11" s="1411" t="n"/>
      <c r="G11" s="1570" t="n"/>
      <c r="H11" s="1570" t="n"/>
      <c r="I11" s="1570" t="n"/>
      <c r="J11" s="1570" t="n"/>
      <c r="K11" s="1570" t="n"/>
    </row>
    <row r="12" ht="15" customHeight="1" s="1225">
      <c r="A12" s="1512" t="inlineStr">
        <is>
          <t>Actions ordinaires</t>
        </is>
      </c>
      <c r="B12" s="1420" t="n"/>
      <c r="C12" s="1420" t="n"/>
      <c r="D12" s="1420" t="n"/>
      <c r="E12" s="1420" t="n"/>
      <c r="F12" s="1411" t="n"/>
      <c r="G12" s="1570" t="n"/>
      <c r="H12" s="1570" t="n"/>
      <c r="I12" s="1570" t="n"/>
      <c r="J12" s="1570" t="n"/>
      <c r="K12" s="798" t="n"/>
    </row>
    <row r="13" ht="15" customHeight="1" s="1225">
      <c r="A13" s="1512" t="inlineStr">
        <is>
          <t>Actions à dividendes prioritaires (A.D.P) sans droit de vote</t>
        </is>
      </c>
      <c r="B13" s="1420" t="n"/>
      <c r="C13" s="1420" t="n"/>
      <c r="D13" s="1420" t="n"/>
      <c r="E13" s="1420" t="n"/>
      <c r="F13" s="1411" t="n"/>
      <c r="G13" s="1570" t="n"/>
      <c r="H13" s="1570" t="n"/>
      <c r="I13" s="1570" t="n"/>
      <c r="J13" s="1570" t="n"/>
      <c r="K13" s="798" t="n"/>
    </row>
    <row r="14" ht="15" customHeight="1" s="1225">
      <c r="A14" s="1512" t="inlineStr">
        <is>
          <t>Actions nouvelles à émettre :</t>
        </is>
      </c>
      <c r="B14" s="1420" t="n"/>
      <c r="C14" s="1420" t="n"/>
      <c r="D14" s="1420" t="n"/>
      <c r="E14" s="1420" t="n"/>
      <c r="F14" s="1411" t="n"/>
      <c r="G14" s="1570" t="n"/>
      <c r="H14" s="1570" t="n"/>
      <c r="I14" s="1570" t="n"/>
      <c r="J14" s="1570" t="n"/>
      <c r="K14" s="798" t="n"/>
    </row>
    <row r="15" ht="15" customHeight="1" s="1225">
      <c r="A15" s="1512" t="inlineStr">
        <is>
          <t>- par conversion d'obligations</t>
        </is>
      </c>
      <c r="B15" s="1420" t="n"/>
      <c r="C15" s="1420" t="n"/>
      <c r="D15" s="1420" t="n"/>
      <c r="E15" s="1420" t="n"/>
      <c r="F15" s="1411" t="n"/>
      <c r="G15" s="1570" t="n"/>
      <c r="H15" s="1570" t="n"/>
      <c r="I15" s="1570" t="n"/>
      <c r="J15" s="1570" t="n"/>
      <c r="K15" s="798" t="n"/>
    </row>
    <row r="16" ht="15" customHeight="1" s="1225">
      <c r="A16" s="1512" t="inlineStr">
        <is>
          <t>- par exercice de droits de souscription</t>
        </is>
      </c>
      <c r="B16" s="1420" t="n"/>
      <c r="C16" s="1420" t="n"/>
      <c r="D16" s="1420" t="n"/>
      <c r="E16" s="1420" t="n"/>
      <c r="F16" s="1411" t="n"/>
      <c r="G16" s="1570" t="n"/>
      <c r="H16" s="1570" t="n"/>
      <c r="I16" s="1570" t="n"/>
      <c r="J16" s="1570" t="n"/>
      <c r="K16" s="798" t="n"/>
    </row>
    <row r="17" ht="15" customHeight="1" s="1225">
      <c r="A17" s="1544" t="inlineStr">
        <is>
          <t>OPERATIONS ET RESULTATS DE L'EXERCICE (3)</t>
        </is>
      </c>
      <c r="B17" s="1420" t="n"/>
      <c r="C17" s="1420" t="n"/>
      <c r="D17" s="1420" t="n"/>
      <c r="E17" s="1420" t="n"/>
      <c r="F17" s="1411" t="n"/>
      <c r="G17" s="1631">
        <f>SUM(G18:G22)</f>
        <v/>
      </c>
      <c r="H17" s="1631">
        <f>SUM(H18:H22)</f>
        <v/>
      </c>
      <c r="I17" s="1631">
        <f>SUM(I18:I22)</f>
        <v/>
      </c>
      <c r="J17" s="1631">
        <f>SUM(J18:J22)</f>
        <v/>
      </c>
      <c r="K17" s="840">
        <f>SUM(K18:K22)</f>
        <v/>
      </c>
    </row>
    <row r="18" ht="15" customHeight="1" s="1225">
      <c r="A18" s="1512" t="inlineStr">
        <is>
          <t>Chiffre d'affaires hors taxes</t>
        </is>
      </c>
      <c r="B18" s="1420" t="n"/>
      <c r="C18" s="1420" t="n"/>
      <c r="D18" s="1420" t="n"/>
      <c r="E18" s="1420" t="n"/>
      <c r="F18" s="1411" t="n"/>
      <c r="G18" s="1570">
        <f>RESULTAT!I18</f>
        <v/>
      </c>
      <c r="H18" s="1570" t="n"/>
      <c r="I18" s="1570" t="n"/>
      <c r="J18" s="1570" t="n"/>
      <c r="K18" s="798" t="n"/>
    </row>
    <row r="19" ht="15" customHeight="1" s="1225">
      <c r="A19" s="1512" t="inlineStr">
        <is>
          <t>Résultat des activités ordinaires (R.A.O) hors dotations et reprises (exploitation et financières)</t>
        </is>
      </c>
      <c r="B19" s="1420" t="n"/>
      <c r="C19" s="1420" t="n"/>
      <c r="D19" s="1420" t="n"/>
      <c r="E19" s="1420" t="n"/>
      <c r="F19" s="1411" t="n"/>
      <c r="G19" s="1570" t="n"/>
      <c r="H19" s="1570" t="n"/>
      <c r="I19" s="1570" t="n"/>
      <c r="J19" s="1570" t="n"/>
      <c r="K19" s="798" t="n"/>
      <c r="L19" s="1992" t="n"/>
    </row>
    <row r="20" ht="15" customHeight="1" s="1225">
      <c r="A20" s="1512" t="inlineStr">
        <is>
          <t>Participation des travailleurs aux bénéfices</t>
        </is>
      </c>
      <c r="B20" s="1420" t="n"/>
      <c r="C20" s="1420" t="n"/>
      <c r="D20" s="1420" t="n"/>
      <c r="E20" s="1420" t="n"/>
      <c r="F20" s="1411" t="n"/>
      <c r="G20" s="1570" t="n"/>
      <c r="H20" s="1570" t="n"/>
      <c r="I20" s="1570" t="n"/>
      <c r="J20" s="1570" t="n"/>
      <c r="K20" s="798" t="n"/>
      <c r="L20" s="1992" t="n"/>
    </row>
    <row r="21" ht="15" customHeight="1" s="1225">
      <c r="A21" s="1512" t="inlineStr">
        <is>
          <t>Impôt sur le résultat</t>
        </is>
      </c>
      <c r="B21" s="1420" t="n"/>
      <c r="C21" s="1420" t="n"/>
      <c r="D21" s="1420" t="n"/>
      <c r="E21" s="1420" t="n"/>
      <c r="F21" s="1411" t="n"/>
      <c r="G21" s="1570" t="n"/>
      <c r="H21" s="1570" t="n"/>
      <c r="I21" s="1570" t="n"/>
      <c r="J21" s="1570" t="n"/>
      <c r="K21" s="798" t="n"/>
    </row>
    <row r="22" ht="15" customHeight="1" s="1225">
      <c r="A22" s="1512" t="inlineStr">
        <is>
          <t>Résultat net (4)</t>
        </is>
      </c>
      <c r="B22" s="1420" t="n"/>
      <c r="C22" s="1420" t="n"/>
      <c r="D22" s="1420" t="n"/>
      <c r="E22" s="1420" t="n"/>
      <c r="F22" s="1411" t="n"/>
      <c r="G22" s="1570" t="n"/>
      <c r="H22" s="1570" t="n"/>
      <c r="I22" s="1570" t="n"/>
      <c r="J22" s="1570" t="n"/>
      <c r="K22" s="798" t="n"/>
    </row>
    <row r="23" ht="15" customHeight="1" s="1225">
      <c r="A23" s="1544" t="inlineStr">
        <is>
          <t>RESULTAT ET DIVIDENDE DISTRIBUES</t>
        </is>
      </c>
      <c r="B23" s="1420" t="n"/>
      <c r="C23" s="1420" t="n"/>
      <c r="D23" s="1420" t="n"/>
      <c r="E23" s="1420" t="n"/>
      <c r="F23" s="1411" t="n"/>
      <c r="G23" s="1631" t="n"/>
      <c r="H23" s="1631" t="n"/>
      <c r="I23" s="1631" t="n"/>
      <c r="J23" s="1631" t="n"/>
      <c r="K23" s="840">
        <f>SUM(K24:K25)</f>
        <v/>
      </c>
      <c r="L23" s="1992" t="n"/>
    </row>
    <row r="24" ht="15" customHeight="1" s="1225">
      <c r="A24" s="1512" t="inlineStr">
        <is>
          <t>Résultat  distribué (5)</t>
        </is>
      </c>
      <c r="B24" s="1420" t="n"/>
      <c r="C24" s="1420" t="n"/>
      <c r="D24" s="1420" t="n"/>
      <c r="E24" s="1420" t="n"/>
      <c r="F24" s="1411" t="n"/>
      <c r="G24" s="1570" t="n"/>
      <c r="H24" s="1570" t="n"/>
      <c r="I24" s="1570" t="n"/>
      <c r="J24" s="1570" t="n"/>
      <c r="K24" s="798" t="n"/>
    </row>
    <row r="25" ht="15" customHeight="1" s="1225">
      <c r="A25" s="1512" t="inlineStr">
        <is>
          <t>Dividende attribué à chaque action</t>
        </is>
      </c>
      <c r="B25" s="1420" t="n"/>
      <c r="C25" s="1420" t="n"/>
      <c r="D25" s="1420" t="n"/>
      <c r="E25" s="1420" t="n"/>
      <c r="F25" s="1411" t="n"/>
      <c r="G25" s="1570" t="n"/>
      <c r="H25" s="1570" t="n"/>
      <c r="I25" s="1570" t="n"/>
      <c r="J25" s="1570" t="n"/>
      <c r="K25" s="798" t="n"/>
    </row>
    <row r="26" ht="15" customHeight="1" s="1225">
      <c r="A26" s="1544" t="inlineStr">
        <is>
          <t>PERSONNEL ET POLITIQUE SALARIALE</t>
        </is>
      </c>
      <c r="B26" s="1420" t="n"/>
      <c r="C26" s="1420" t="n"/>
      <c r="D26" s="1420" t="n"/>
      <c r="E26" s="1420" t="n"/>
      <c r="F26" s="1411" t="n"/>
      <c r="G26" s="1631" t="n"/>
      <c r="H26" s="1631" t="n"/>
      <c r="I26" s="1631" t="n"/>
      <c r="J26" s="1631" t="n"/>
      <c r="K26" s="840">
        <f>SUM(K29:K31)</f>
        <v/>
      </c>
    </row>
    <row r="27" ht="15" customHeight="1" s="1225">
      <c r="A27" s="1512" t="inlineStr">
        <is>
          <t>Effectif moyen des travailleurs au cours de l'exercice (6)</t>
        </is>
      </c>
      <c r="B27" s="1420" t="n"/>
      <c r="C27" s="1420" t="n"/>
      <c r="D27" s="1420" t="n"/>
      <c r="E27" s="1420" t="n"/>
      <c r="F27" s="1411" t="n"/>
      <c r="G27" s="1570" t="n"/>
      <c r="H27" s="1570" t="n"/>
      <c r="I27" s="1570" t="n"/>
      <c r="J27" s="1570" t="n"/>
      <c r="K27" s="798" t="n"/>
    </row>
    <row r="28" ht="15" customHeight="1" s="1225">
      <c r="A28" s="1512" t="inlineStr">
        <is>
          <t>Effectif moyen de personnel extérieur</t>
        </is>
      </c>
      <c r="B28" s="1420" t="n"/>
      <c r="C28" s="1420" t="n"/>
      <c r="D28" s="1420" t="n"/>
      <c r="E28" s="1420" t="n"/>
      <c r="F28" s="1411" t="n"/>
      <c r="G28" s="1570" t="n"/>
      <c r="H28" s="1570" t="n"/>
      <c r="I28" s="1570" t="n"/>
      <c r="J28" s="1570" t="n"/>
      <c r="K28" s="798" t="n"/>
    </row>
    <row r="29" ht="15" customHeight="1" s="1225">
      <c r="A29" s="1512" t="inlineStr">
        <is>
          <t>Masse salariale distribuée au cours de l'exercice (7)</t>
        </is>
      </c>
      <c r="B29" s="1420" t="n"/>
      <c r="C29" s="1420" t="n"/>
      <c r="D29" s="1420" t="n"/>
      <c r="E29" s="1420" t="n"/>
      <c r="F29" s="1411" t="n"/>
      <c r="G29" s="1570" t="n"/>
      <c r="H29" s="1570" t="n"/>
      <c r="I29" s="1570" t="n"/>
      <c r="J29" s="1570" t="n"/>
      <c r="K29" s="798" t="n"/>
    </row>
    <row r="30" ht="15" customHeight="1" s="1225">
      <c r="A30" s="1512" t="inlineStr">
        <is>
          <t>Avantages sociaux versés au cours de l'exercice (8) [Sécurité sociale, œuvres sociales]</t>
        </is>
      </c>
      <c r="B30" s="1420" t="n"/>
      <c r="C30" s="1420" t="n"/>
      <c r="D30" s="1420" t="n"/>
      <c r="E30" s="1420" t="n"/>
      <c r="F30" s="1411" t="n"/>
      <c r="G30" s="1570" t="n"/>
      <c r="H30" s="1570" t="n"/>
      <c r="I30" s="1570" t="n"/>
      <c r="J30" s="1570" t="n"/>
      <c r="K30" s="798" t="n"/>
    </row>
    <row r="31" ht="15" customHeight="1" s="1225" thickBot="1">
      <c r="A31" s="1688" t="inlineStr">
        <is>
          <t>Personnel extérieur facturé à l'entité (9)</t>
        </is>
      </c>
      <c r="B31" s="1527" t="n"/>
      <c r="C31" s="1527" t="n"/>
      <c r="D31" s="1527" t="n"/>
      <c r="E31" s="1527" t="n"/>
      <c r="F31" s="1528" t="n"/>
      <c r="G31" s="830" t="n"/>
      <c r="H31" s="830" t="n">
        <v>0</v>
      </c>
      <c r="I31" s="830" t="n"/>
      <c r="J31" s="830" t="n"/>
      <c r="K31" s="831" t="n"/>
    </row>
    <row r="32" ht="6.75" customHeight="1" s="1225">
      <c r="A32" s="48" t="n"/>
      <c r="B32" s="48" t="n"/>
      <c r="C32" s="48" t="n"/>
      <c r="D32" s="1451" t="n"/>
      <c r="E32" s="1451" t="n"/>
      <c r="F32" s="1451" t="n"/>
      <c r="G32" s="1451" t="n"/>
      <c r="H32" s="1451" t="n"/>
      <c r="I32" s="1451" t="n"/>
    </row>
    <row r="33" ht="12" customHeight="1" s="1225">
      <c r="A33" s="1752" t="inlineStr">
        <is>
          <t>(1)  Y compris l'exercice dont les états financiers sont soumis à l'approbation de l'Assemblée</t>
        </is>
      </c>
      <c r="B33" s="1420" t="n"/>
      <c r="C33" s="1420" t="n"/>
      <c r="D33" s="1420" t="n"/>
      <c r="E33" s="1420" t="n"/>
      <c r="F33" s="1411" t="n"/>
      <c r="G33" s="1752" t="inlineStr">
        <is>
          <t>(6) Personnel propre</t>
        </is>
      </c>
      <c r="H33" s="1411" t="n"/>
      <c r="I33" s="1451" t="n"/>
    </row>
    <row r="34" ht="12" customHeight="1" s="1225">
      <c r="A34" s="1752" t="inlineStr">
        <is>
          <t>(2) Indication, en cas de libération partielle du capital, du montant du capital non appelé</t>
        </is>
      </c>
      <c r="B34" s="1420" t="n"/>
      <c r="C34" s="1420" t="n"/>
      <c r="D34" s="1420" t="n"/>
      <c r="E34" s="1420" t="n"/>
      <c r="F34" s="1411" t="n"/>
      <c r="G34" s="1752" t="inlineStr">
        <is>
          <t>(7) Total des comptes 661, 662, 663</t>
        </is>
      </c>
      <c r="H34" s="1411" t="n"/>
      <c r="I34" s="1451" t="n"/>
    </row>
    <row r="35" ht="12" customHeight="1" s="1225">
      <c r="A35" s="1752" t="inlineStr">
        <is>
          <t>(3) Les éléments de cette rubrique sont ceux figurant au compte de résultat</t>
        </is>
      </c>
      <c r="B35" s="1420" t="n"/>
      <c r="C35" s="1420" t="n"/>
      <c r="D35" s="1420" t="n"/>
      <c r="E35" s="1420" t="n"/>
      <c r="F35" s="1411" t="n"/>
      <c r="G35" s="1752" t="inlineStr">
        <is>
          <t>(8) Total des comptes 664, 668</t>
        </is>
      </c>
      <c r="H35" s="1411" t="n"/>
      <c r="I35" s="1451" t="n"/>
    </row>
    <row r="36" ht="12" customHeight="1" s="1225">
      <c r="A36" s="1752" t="inlineStr">
        <is>
          <t>(4) Le résultat, lorsqu'il est négatif, doit être mis entre parenthèses</t>
        </is>
      </c>
      <c r="B36" s="1420" t="n"/>
      <c r="C36" s="1420" t="n"/>
      <c r="D36" s="1420" t="n"/>
      <c r="E36" s="1420" t="n"/>
      <c r="F36" s="1411" t="n"/>
      <c r="G36" s="1752" t="inlineStr">
        <is>
          <t>(9) Compte 667</t>
        </is>
      </c>
      <c r="H36" s="1411" t="n"/>
      <c r="I36" s="1451" t="n"/>
    </row>
    <row r="37" ht="12" customHeight="1" s="1225">
      <c r="A37" s="1752" t="inlineStr">
        <is>
          <t>(5) L'exercice N correspond au dividende proposé du dernier exercice</t>
        </is>
      </c>
      <c r="B37" s="1420" t="n"/>
      <c r="C37" s="1420" t="n"/>
      <c r="D37" s="1420" t="n"/>
      <c r="E37" s="1420" t="n"/>
      <c r="F37" s="1411" t="n"/>
      <c r="G37" s="1752" t="n"/>
      <c r="H37" s="1411" t="n"/>
      <c r="I37" s="1451" t="n"/>
    </row>
  </sheetData>
  <mergeCells count="47">
    <mergeCell ref="A16:F16"/>
    <mergeCell ref="G8:G9"/>
    <mergeCell ref="A37:F37"/>
    <mergeCell ref="A27:F27"/>
    <mergeCell ref="G36:H36"/>
    <mergeCell ref="A18:F18"/>
    <mergeCell ref="A12:F12"/>
    <mergeCell ref="A26:F26"/>
    <mergeCell ref="A21:F21"/>
    <mergeCell ref="A1:K1"/>
    <mergeCell ref="A33:F33"/>
    <mergeCell ref="A14:F14"/>
    <mergeCell ref="A7:K7"/>
    <mergeCell ref="A23:F23"/>
    <mergeCell ref="C6:F6"/>
    <mergeCell ref="G37:H37"/>
    <mergeCell ref="A8:F8"/>
    <mergeCell ref="A22:F22"/>
    <mergeCell ref="A17:F17"/>
    <mergeCell ref="A35:F35"/>
    <mergeCell ref="A20:F20"/>
    <mergeCell ref="C5:F5"/>
    <mergeCell ref="A29:F29"/>
    <mergeCell ref="G34:H34"/>
    <mergeCell ref="A10:F10"/>
    <mergeCell ref="A28:F28"/>
    <mergeCell ref="A19:F19"/>
    <mergeCell ref="I8:I9"/>
    <mergeCell ref="A13:F13"/>
    <mergeCell ref="K8:K9"/>
    <mergeCell ref="G33:H33"/>
    <mergeCell ref="A9:F9"/>
    <mergeCell ref="A31:F31"/>
    <mergeCell ref="A34:F34"/>
    <mergeCell ref="C3:K3"/>
    <mergeCell ref="A30:F30"/>
    <mergeCell ref="A15:F15"/>
    <mergeCell ref="G35:H35"/>
    <mergeCell ref="A24:F24"/>
    <mergeCell ref="A11:F11"/>
    <mergeCell ref="A36:F36"/>
    <mergeCell ref="H8:H9"/>
    <mergeCell ref="J2:K2"/>
    <mergeCell ref="J8:J9"/>
    <mergeCell ref="H5:I5"/>
    <mergeCell ref="B4:I4"/>
    <mergeCell ref="A25:F25"/>
  </mergeCells>
  <dataValidations count="1">
    <dataValidation sqref="G11:K16 G18:K22 G24:K25 G27:K31"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2362204724409449" bottom="0.2362204724409449" header="0.3149606299212598" footer="0.3149606299212598"/>
  <pageSetup orientation="landscape" paperSize="9" scale="90"/>
</worksheet>
</file>

<file path=xl/worksheets/sheet59.xml><?xml version="1.0" encoding="utf-8"?>
<worksheet xmlns="http://schemas.openxmlformats.org/spreadsheetml/2006/main">
  <sheetPr codeName="Feuil60">
    <tabColor theme="4" tint="0.5999938962981048"/>
    <outlinePr summaryBelow="1" summaryRight="1"/>
    <pageSetUpPr fitToPage="1"/>
  </sheetPr>
  <dimension ref="A1:P31"/>
  <sheetViews>
    <sheetView showGridLines="0" topLeftCell="B1" workbookViewId="0">
      <selection activeCell="B14" sqref="B14"/>
    </sheetView>
  </sheetViews>
  <sheetFormatPr baseColWidth="10" defaultRowHeight="15"/>
  <cols>
    <col width="16.42578125" customWidth="1" style="1225" min="2" max="2"/>
    <col width="9.7109375" customWidth="1" style="1225" min="3" max="3"/>
    <col width="8.42578125" customWidth="1" style="1225" min="4" max="4"/>
    <col width="10.140625" customWidth="1" style="1225" min="5" max="5"/>
    <col width="13.7109375" customWidth="1" style="1225" min="6" max="6"/>
    <col width="10.140625" customWidth="1" style="1225" min="7" max="7"/>
    <col width="13.7109375" customWidth="1" style="1225" min="8" max="8"/>
    <col width="10.140625" customWidth="1" style="1225" min="9" max="9"/>
    <col width="13.7109375" customWidth="1" style="1225" min="10" max="10"/>
    <col width="10.140625" customWidth="1" style="1225" min="11" max="11"/>
    <col width="13.7109375" customWidth="1" style="1225" min="12" max="12"/>
    <col width="10.140625" customWidth="1" style="1225" min="13" max="13"/>
    <col width="13.7109375" customWidth="1" style="1225" min="14" max="14"/>
    <col width="10.140625" customWidth="1" style="1225" min="15" max="15"/>
    <col width="13.7109375" customWidth="1" style="1225" min="16" max="16"/>
  </cols>
  <sheetData>
    <row r="1">
      <c r="A1" s="1429" t="inlineStr">
        <is>
          <t>- 0 -</t>
        </is>
      </c>
    </row>
    <row r="2" ht="24.95" customHeight="1" s="1225">
      <c r="A2" s="1429" t="n"/>
      <c r="B2" s="1429" t="n"/>
      <c r="C2" s="1429" t="n"/>
      <c r="D2" s="1429" t="n"/>
      <c r="E2" s="1429" t="n"/>
      <c r="F2" s="1429" t="n"/>
      <c r="O2" s="1438" t="inlineStr">
        <is>
          <t>NOTE 32
SYSTEME NORMAL</t>
        </is>
      </c>
      <c r="P2" s="1411" t="n"/>
    </row>
    <row r="3" ht="15" customFormat="1" customHeight="1" s="1382">
      <c r="A3" s="1451" t="inlineStr">
        <is>
          <t>Dénomination sociale de l'entité :</t>
        </is>
      </c>
      <c r="B3" s="1451" t="n"/>
      <c r="C3" s="1276">
        <f>'NOTE 31'!C3</f>
        <v/>
      </c>
      <c r="D3" s="1277" t="n"/>
      <c r="E3" s="1277" t="n"/>
      <c r="F3" s="1277" t="n"/>
      <c r="G3" s="1277" t="n"/>
      <c r="H3" s="1277" t="n"/>
      <c r="I3" s="1277" t="n"/>
      <c r="J3" s="1277" t="n"/>
      <c r="K3" s="1277" t="n"/>
      <c r="L3" s="1277" t="n"/>
      <c r="M3" s="1277" t="n"/>
      <c r="N3" s="1277" t="n"/>
      <c r="O3" s="1277" t="n"/>
      <c r="P3" s="1277" t="n"/>
    </row>
    <row r="4" ht="15" customFormat="1" customHeight="1" s="1382">
      <c r="A4" s="1451" t="inlineStr">
        <is>
          <t>Adresse :</t>
        </is>
      </c>
      <c r="B4" s="1276">
        <f>'NOTE 31'!B4</f>
        <v/>
      </c>
      <c r="C4" s="1277" t="n"/>
      <c r="D4" s="1277" t="n"/>
      <c r="E4" s="1277" t="n"/>
      <c r="F4" s="1277" t="n"/>
      <c r="G4" s="1277" t="n"/>
      <c r="H4" s="1277" t="n"/>
      <c r="I4" s="1277" t="n"/>
      <c r="J4" s="1277" t="n"/>
      <c r="K4" s="1277" t="n"/>
      <c r="L4" s="1277" t="n"/>
      <c r="M4" s="1277" t="n"/>
      <c r="N4" s="1589" t="inlineStr">
        <is>
          <t>Sigle usuel :</t>
        </is>
      </c>
      <c r="O4" s="1285">
        <f>'NOTE 31'!K4</f>
        <v/>
      </c>
      <c r="P4" s="1277" t="n"/>
    </row>
    <row r="5" ht="15" customFormat="1" customHeight="1" s="1382">
      <c r="A5" s="1451" t="inlineStr">
        <is>
          <t>N° IFU :</t>
        </is>
      </c>
      <c r="B5" s="1451" t="n"/>
      <c r="C5" s="1276">
        <f>'NOTE 31'!C5</f>
        <v/>
      </c>
      <c r="D5" s="1277" t="n"/>
      <c r="E5" s="1277" t="n"/>
      <c r="F5" s="1277" t="n"/>
      <c r="G5" s="1277" t="n"/>
      <c r="H5" s="1457" t="inlineStr">
        <is>
          <t>Exercice clos le :</t>
        </is>
      </c>
      <c r="J5" s="1563">
        <f>'NOTE 31'!H5</f>
        <v/>
      </c>
      <c r="K5" s="1277" t="n"/>
      <c r="L5" s="1277" t="n"/>
      <c r="N5" s="1589" t="inlineStr">
        <is>
          <t>Durée (en mois) :</t>
        </is>
      </c>
      <c r="O5" s="1285">
        <f>'NOTE 31'!K5</f>
        <v/>
      </c>
      <c r="P5" s="1277" t="n"/>
    </row>
    <row r="6" ht="15" customFormat="1" customHeight="1" s="1382">
      <c r="A6" s="259" t="inlineStr">
        <is>
          <t xml:space="preserve">N° de télédéclarant (NES): </t>
        </is>
      </c>
      <c r="B6" s="1451" t="n"/>
      <c r="C6" s="1520">
        <f>'NOTE 31'!C6</f>
        <v/>
      </c>
      <c r="D6" s="1521" t="n"/>
      <c r="E6" s="1521" t="n"/>
      <c r="F6" s="1521" t="n"/>
      <c r="G6" s="1521" t="n"/>
      <c r="H6" s="253" t="n"/>
      <c r="I6" s="253" t="n"/>
      <c r="J6" s="1970" t="n"/>
      <c r="K6" s="1970" t="n"/>
      <c r="L6" s="1970" t="n"/>
      <c r="M6" s="258" t="n"/>
      <c r="N6" s="254" t="n"/>
      <c r="O6" s="1970" t="n"/>
      <c r="P6" s="1970" t="n"/>
    </row>
    <row r="7" ht="35.1" customHeight="1" s="1225" thickBot="1">
      <c r="A7" s="1341" t="inlineStr">
        <is>
          <t>NOTE 32 : PRODUCTION DE L'EXERCICE</t>
        </is>
      </c>
    </row>
    <row r="8" ht="15" customHeight="1" s="1225">
      <c r="A8" s="1755" t="inlineStr">
        <is>
          <t>DESIGNATION DU PRODUIT</t>
        </is>
      </c>
      <c r="B8" s="1475" t="n"/>
      <c r="C8" s="1560" t="n"/>
      <c r="D8" s="1738" t="inlineStr">
        <is>
          <t>UNITE DE
QUANTITE
CHOISIE</t>
        </is>
      </c>
      <c r="E8" s="1738" t="inlineStr">
        <is>
          <t>PRODUCTION VENDUE
DANS LE PAYS</t>
        </is>
      </c>
      <c r="F8" s="1560" t="n"/>
      <c r="G8" s="1738" t="inlineStr">
        <is>
          <t>PRODUCTION VENDUE
DANS LES AUTRES
PAYS DE L'OHADA</t>
        </is>
      </c>
      <c r="H8" s="1560" t="n"/>
      <c r="I8" s="1738" t="inlineStr">
        <is>
          <t>PRODUCTION VENDUE
HORS OHADA</t>
        </is>
      </c>
      <c r="J8" s="1560" t="n"/>
      <c r="K8" s="1738" t="inlineStr">
        <is>
          <t>PRODUCTION
IMMOBILISEE</t>
        </is>
      </c>
      <c r="L8" s="1560" t="n"/>
      <c r="M8" s="1738" t="inlineStr">
        <is>
          <t>STOCK OUVERTURE
DE L'EXERCICE</t>
        </is>
      </c>
      <c r="N8" s="1560" t="n"/>
      <c r="O8" s="1738" t="inlineStr">
        <is>
          <t>STOCK CLOTURE
DE L'EXERCICE</t>
        </is>
      </c>
      <c r="P8" s="1560" t="n"/>
    </row>
    <row r="9" ht="24" customHeight="1" s="1225">
      <c r="A9" s="1756" t="n"/>
      <c r="C9" s="1550" t="n"/>
      <c r="D9" s="1758" t="n"/>
      <c r="E9" s="1594" t="n"/>
      <c r="F9" s="1517" t="n"/>
      <c r="G9" s="1594" t="n"/>
      <c r="H9" s="1517" t="n"/>
      <c r="I9" s="1594" t="n"/>
      <c r="J9" s="1517" t="n"/>
      <c r="K9" s="1594" t="n"/>
      <c r="L9" s="1517" t="n"/>
      <c r="M9" s="1594" t="n"/>
      <c r="N9" s="1517" t="n"/>
      <c r="O9" s="1594" t="n"/>
      <c r="P9" s="1517" t="n"/>
    </row>
    <row r="10">
      <c r="A10" s="1720" t="n"/>
      <c r="B10" s="1516" t="n"/>
      <c r="C10" s="1517" t="n"/>
      <c r="D10" s="1524" t="n"/>
      <c r="E10" s="1419" t="inlineStr">
        <is>
          <t>Quantité</t>
        </is>
      </c>
      <c r="F10" s="1419" t="inlineStr">
        <is>
          <t>Valeur</t>
        </is>
      </c>
      <c r="G10" s="1419" t="inlineStr">
        <is>
          <t>Quantité</t>
        </is>
      </c>
      <c r="H10" s="1419" t="inlineStr">
        <is>
          <t>Valeur</t>
        </is>
      </c>
      <c r="I10" s="1419" t="inlineStr">
        <is>
          <t>Quantité</t>
        </is>
      </c>
      <c r="J10" s="1419" t="inlineStr">
        <is>
          <t>Valeur</t>
        </is>
      </c>
      <c r="K10" s="1419" t="inlineStr">
        <is>
          <t>Quantité</t>
        </is>
      </c>
      <c r="L10" s="1419" t="inlineStr">
        <is>
          <t>Valeur</t>
        </is>
      </c>
      <c r="M10" s="1419" t="inlineStr">
        <is>
          <t>Quantité</t>
        </is>
      </c>
      <c r="N10" s="1419" t="inlineStr">
        <is>
          <t>Valeur</t>
        </is>
      </c>
      <c r="O10" s="1419" t="inlineStr">
        <is>
          <t>Quantité</t>
        </is>
      </c>
      <c r="P10" s="1745" t="inlineStr">
        <is>
          <t>Valeur</t>
        </is>
      </c>
    </row>
    <row r="11" ht="17.1" customHeight="1" s="1225">
      <c r="A11" s="1663" t="n"/>
      <c r="B11" s="1395" t="n"/>
      <c r="C11" s="1396" t="n"/>
      <c r="D11" s="149" t="n"/>
      <c r="E11" s="1909" t="n"/>
      <c r="F11" s="1909" t="n"/>
      <c r="G11" s="1909" t="n"/>
      <c r="H11" s="1909" t="n"/>
      <c r="I11" s="1909" t="n"/>
      <c r="J11" s="1909" t="n"/>
      <c r="K11" s="1909" t="n"/>
      <c r="L11" s="1909" t="n"/>
      <c r="M11" s="1909" t="n"/>
      <c r="N11" s="1909" t="n"/>
      <c r="O11" s="1909" t="n"/>
      <c r="P11" s="1910" t="n"/>
    </row>
    <row r="12" ht="17.1" customHeight="1" s="1225">
      <c r="A12" s="1663" t="n"/>
      <c r="B12" s="1395" t="n"/>
      <c r="C12" s="1396" t="n"/>
      <c r="D12" s="149" t="n"/>
      <c r="E12" s="1909" t="n"/>
      <c r="F12" s="1909" t="n"/>
      <c r="G12" s="1909" t="n"/>
      <c r="H12" s="1909" t="n"/>
      <c r="I12" s="1909" t="n"/>
      <c r="J12" s="1909" t="n"/>
      <c r="K12" s="1909" t="n"/>
      <c r="L12" s="1909" t="n"/>
      <c r="M12" s="1909" t="n"/>
      <c r="N12" s="1909" t="n"/>
      <c r="O12" s="1909" t="n"/>
      <c r="P12" s="1910" t="n"/>
    </row>
    <row r="13" ht="17.1" customHeight="1" s="1225">
      <c r="A13" s="1663" t="n"/>
      <c r="B13" s="1395" t="n"/>
      <c r="C13" s="1396" t="n"/>
      <c r="D13" s="149" t="n"/>
      <c r="E13" s="1909" t="n"/>
      <c r="F13" s="1909" t="n"/>
      <c r="G13" s="1909" t="n"/>
      <c r="H13" s="1909" t="n"/>
      <c r="I13" s="1909" t="n"/>
      <c r="J13" s="1909" t="n"/>
      <c r="K13" s="1909" t="n"/>
      <c r="L13" s="1909" t="n"/>
      <c r="M13" s="1909" t="n"/>
      <c r="N13" s="1909" t="n"/>
      <c r="O13" s="1909" t="n"/>
      <c r="P13" s="1910" t="n"/>
    </row>
    <row r="14" ht="17.1" customHeight="1" s="1225">
      <c r="A14" s="1663" t="n"/>
      <c r="B14" s="1395" t="n"/>
      <c r="C14" s="1396" t="n"/>
      <c r="D14" s="149" t="n"/>
      <c r="E14" s="1909" t="n"/>
      <c r="F14" s="1909" t="n"/>
      <c r="G14" s="1909" t="n"/>
      <c r="H14" s="1909" t="n"/>
      <c r="I14" s="1909" t="n"/>
      <c r="J14" s="1909" t="n"/>
      <c r="K14" s="1909" t="n"/>
      <c r="L14" s="1909" t="n"/>
      <c r="M14" s="1909" t="n"/>
      <c r="N14" s="1909" t="n"/>
      <c r="O14" s="1909" t="n"/>
      <c r="P14" s="1910" t="n"/>
    </row>
    <row r="15" ht="17.1" customHeight="1" s="1225">
      <c r="A15" s="1663" t="n"/>
      <c r="B15" s="1395" t="n"/>
      <c r="C15" s="1396" t="n"/>
      <c r="D15" s="149" t="n"/>
      <c r="E15" s="1909" t="n"/>
      <c r="F15" s="1909" t="n"/>
      <c r="G15" s="1909" t="n"/>
      <c r="H15" s="1909" t="n"/>
      <c r="I15" s="1909" t="n"/>
      <c r="J15" s="1909" t="n"/>
      <c r="K15" s="1909" t="n"/>
      <c r="L15" s="1909" t="n"/>
      <c r="M15" s="1909" t="n"/>
      <c r="N15" s="1909" t="n"/>
      <c r="O15" s="1909" t="n"/>
      <c r="P15" s="1910" t="n"/>
    </row>
    <row r="16" ht="17.1" customHeight="1" s="1225">
      <c r="A16" s="1663" t="n"/>
      <c r="B16" s="1395" t="n"/>
      <c r="C16" s="1396" t="n"/>
      <c r="D16" s="149" t="n"/>
      <c r="E16" s="1909" t="n"/>
      <c r="F16" s="1909" t="n"/>
      <c r="G16" s="1909" t="n"/>
      <c r="H16" s="1909" t="n"/>
      <c r="I16" s="1909" t="n"/>
      <c r="J16" s="1909" t="n"/>
      <c r="K16" s="1909" t="n"/>
      <c r="L16" s="1909" t="n"/>
      <c r="M16" s="1909" t="n"/>
      <c r="N16" s="1909" t="n"/>
      <c r="O16" s="1909" t="n"/>
      <c r="P16" s="1910" t="n"/>
    </row>
    <row r="17" ht="17.1" customHeight="1" s="1225">
      <c r="A17" s="1663" t="n"/>
      <c r="B17" s="1395" t="n"/>
      <c r="C17" s="1396" t="n"/>
      <c r="D17" s="149" t="n"/>
      <c r="E17" s="1909" t="n"/>
      <c r="F17" s="1909" t="n"/>
      <c r="G17" s="1909" t="n"/>
      <c r="H17" s="1909" t="n"/>
      <c r="I17" s="1909" t="n"/>
      <c r="J17" s="1909" t="n"/>
      <c r="K17" s="1909" t="n"/>
      <c r="L17" s="1909" t="n"/>
      <c r="M17" s="1909" t="n"/>
      <c r="N17" s="1909" t="n"/>
      <c r="O17" s="1909" t="n"/>
      <c r="P17" s="1910" t="n"/>
    </row>
    <row r="18" ht="17.1" customHeight="1" s="1225">
      <c r="A18" s="1663" t="n"/>
      <c r="B18" s="1395" t="n"/>
      <c r="C18" s="1396" t="n"/>
      <c r="D18" s="149" t="n"/>
      <c r="E18" s="1909" t="n"/>
      <c r="F18" s="1909" t="n"/>
      <c r="G18" s="1909" t="n"/>
      <c r="H18" s="1909" t="n"/>
      <c r="I18" s="1909" t="n"/>
      <c r="J18" s="1909" t="n"/>
      <c r="K18" s="1909" t="n"/>
      <c r="L18" s="1909" t="n"/>
      <c r="M18" s="1909" t="n"/>
      <c r="N18" s="1909" t="n"/>
      <c r="O18" s="1909" t="n"/>
      <c r="P18" s="1910" t="n"/>
    </row>
    <row r="19" ht="17.1" customHeight="1" s="1225">
      <c r="A19" s="1663" t="n"/>
      <c r="B19" s="1395" t="n"/>
      <c r="C19" s="1396" t="n"/>
      <c r="D19" s="149" t="n"/>
      <c r="E19" s="1909" t="n"/>
      <c r="F19" s="1909" t="n"/>
      <c r="G19" s="1909" t="n"/>
      <c r="H19" s="1909" t="n"/>
      <c r="I19" s="1909" t="n"/>
      <c r="J19" s="1909" t="n"/>
      <c r="K19" s="1909" t="n"/>
      <c r="L19" s="1909" t="n"/>
      <c r="M19" s="1909" t="n"/>
      <c r="N19" s="1909" t="n"/>
      <c r="O19" s="1909" t="n"/>
      <c r="P19" s="1910" t="n"/>
    </row>
    <row r="20" ht="17.1" customHeight="1" s="1225">
      <c r="A20" s="1663" t="n"/>
      <c r="B20" s="1395" t="n"/>
      <c r="C20" s="1396" t="n"/>
      <c r="D20" s="149" t="n"/>
      <c r="E20" s="1909" t="n"/>
      <c r="F20" s="1909" t="n"/>
      <c r="G20" s="1909" t="n"/>
      <c r="H20" s="1909" t="n"/>
      <c r="I20" s="1909" t="n"/>
      <c r="J20" s="1909" t="n"/>
      <c r="K20" s="1909" t="n"/>
      <c r="L20" s="1909" t="n"/>
      <c r="M20" s="1909" t="n"/>
      <c r="N20" s="1909" t="n"/>
      <c r="O20" s="1909" t="n"/>
      <c r="P20" s="1910" t="n"/>
    </row>
    <row r="21" ht="17.1" customHeight="1" s="1225">
      <c r="A21" s="1663" t="n"/>
      <c r="B21" s="1395" t="n"/>
      <c r="C21" s="1396" t="n"/>
      <c r="D21" s="153" t="n"/>
      <c r="E21" s="151" t="n"/>
      <c r="F21" s="151" t="n"/>
      <c r="G21" s="151" t="n"/>
      <c r="H21" s="151" t="n"/>
      <c r="I21" s="151" t="n"/>
      <c r="J21" s="151" t="n"/>
      <c r="K21" s="151" t="n"/>
      <c r="L21" s="151" t="n"/>
      <c r="M21" s="151" t="n"/>
      <c r="N21" s="151" t="n"/>
      <c r="O21" s="151" t="n"/>
      <c r="P21" s="861" t="n"/>
    </row>
    <row r="22" ht="17.1" customHeight="1" s="1225">
      <c r="A22" s="1663" t="n"/>
      <c r="B22" s="1395" t="n"/>
      <c r="C22" s="1396" t="n"/>
      <c r="D22" s="153" t="n"/>
      <c r="E22" s="151" t="n"/>
      <c r="F22" s="151" t="n"/>
      <c r="G22" s="151" t="n"/>
      <c r="H22" s="151" t="n"/>
      <c r="I22" s="151" t="n"/>
      <c r="J22" s="151" t="n"/>
      <c r="K22" s="151" t="n"/>
      <c r="L22" s="151" t="n"/>
      <c r="M22" s="151" t="n"/>
      <c r="N22" s="151" t="n"/>
      <c r="O22" s="151" t="n"/>
      <c r="P22" s="861" t="n"/>
    </row>
    <row r="23" ht="17.1" customHeight="1" s="1225">
      <c r="A23" s="1663" t="n"/>
      <c r="B23" s="1395" t="n"/>
      <c r="C23" s="1396" t="n"/>
      <c r="D23" s="153" t="n"/>
      <c r="E23" s="151" t="n"/>
      <c r="F23" s="151" t="n"/>
      <c r="G23" s="151" t="n"/>
      <c r="H23" s="151" t="n"/>
      <c r="I23" s="151" t="n"/>
      <c r="J23" s="151" t="n"/>
      <c r="K23" s="151" t="n"/>
      <c r="L23" s="151" t="n"/>
      <c r="M23" s="151" t="n"/>
      <c r="N23" s="151" t="n"/>
      <c r="O23" s="151" t="n"/>
      <c r="P23" s="861" t="n"/>
    </row>
    <row r="24" ht="17.1" customHeight="1" s="1225">
      <c r="A24" s="1663" t="n"/>
      <c r="B24" s="1395" t="n"/>
      <c r="C24" s="1396" t="n"/>
      <c r="D24" s="153" t="n"/>
      <c r="E24" s="151" t="n"/>
      <c r="F24" s="151" t="n"/>
      <c r="G24" s="151" t="n"/>
      <c r="H24" s="151" t="n"/>
      <c r="I24" s="151" t="n"/>
      <c r="J24" s="151" t="n"/>
      <c r="K24" s="151" t="n"/>
      <c r="L24" s="151" t="n"/>
      <c r="M24" s="151" t="n"/>
      <c r="N24" s="151" t="n"/>
      <c r="O24" s="151" t="n"/>
      <c r="P24" s="861" t="n"/>
    </row>
    <row r="25" ht="17.1" customHeight="1" s="1225">
      <c r="A25" s="1663" t="n"/>
      <c r="B25" s="1395" t="n"/>
      <c r="C25" s="1396" t="n"/>
      <c r="D25" s="153" t="n"/>
      <c r="E25" s="151" t="n"/>
      <c r="F25" s="151" t="n"/>
      <c r="G25" s="151" t="n"/>
      <c r="H25" s="151" t="n"/>
      <c r="I25" s="151" t="n"/>
      <c r="J25" s="151" t="n"/>
      <c r="K25" s="151" t="n"/>
      <c r="L25" s="151" t="n"/>
      <c r="M25" s="151" t="n"/>
      <c r="N25" s="151" t="n"/>
      <c r="O25" s="151" t="n"/>
      <c r="P25" s="861" t="n"/>
    </row>
    <row r="26" ht="17.1" customHeight="1" s="1225">
      <c r="A26" s="1663" t="n"/>
      <c r="B26" s="1395" t="n"/>
      <c r="C26" s="1396" t="n"/>
      <c r="D26" s="153" t="n"/>
      <c r="E26" s="151" t="n"/>
      <c r="F26" s="151" t="n"/>
      <c r="G26" s="151" t="n"/>
      <c r="H26" s="151" t="n"/>
      <c r="I26" s="151" t="n"/>
      <c r="J26" s="151" t="n"/>
      <c r="K26" s="151" t="n"/>
      <c r="L26" s="151" t="n"/>
      <c r="M26" s="151" t="n"/>
      <c r="N26" s="151" t="n"/>
      <c r="O26" s="151" t="n"/>
      <c r="P26" s="861" t="n"/>
    </row>
    <row r="27" ht="17.1" customHeight="1" s="1225">
      <c r="A27" s="1663" t="n"/>
      <c r="B27" s="1395" t="n"/>
      <c r="C27" s="1396" t="n"/>
      <c r="D27" s="153" t="n"/>
      <c r="E27" s="151" t="n"/>
      <c r="F27" s="151" t="n"/>
      <c r="G27" s="151" t="n"/>
      <c r="H27" s="151" t="n"/>
      <c r="I27" s="151" t="n"/>
      <c r="J27" s="151" t="n"/>
      <c r="K27" s="151" t="n"/>
      <c r="L27" s="151" t="n"/>
      <c r="M27" s="151" t="n"/>
      <c r="N27" s="151" t="n"/>
      <c r="O27" s="151" t="n"/>
      <c r="P27" s="861" t="n"/>
    </row>
    <row r="28" ht="17.1" customHeight="1" s="1225">
      <c r="A28" s="1663" t="n"/>
      <c r="B28" s="1395" t="n"/>
      <c r="C28" s="1396" t="n"/>
      <c r="D28" s="153" t="n"/>
      <c r="E28" s="151" t="n"/>
      <c r="F28" s="151" t="n"/>
      <c r="G28" s="151" t="n"/>
      <c r="H28" s="151" t="n"/>
      <c r="I28" s="151" t="n"/>
      <c r="J28" s="151" t="n"/>
      <c r="K28" s="151" t="n"/>
      <c r="L28" s="151" t="n"/>
      <c r="M28" s="151" t="n"/>
      <c r="N28" s="151" t="n"/>
      <c r="O28" s="151" t="n"/>
      <c r="P28" s="861" t="n"/>
    </row>
    <row r="29" ht="17.1" customHeight="1" s="1225">
      <c r="A29" s="1718" t="inlineStr">
        <is>
          <t>NON VENTILE (1)</t>
        </is>
      </c>
      <c r="B29" s="1420" t="n"/>
      <c r="C29" s="1420" t="n"/>
      <c r="D29" s="1411" t="n"/>
      <c r="E29" s="152" t="n"/>
      <c r="F29" s="152" t="n"/>
      <c r="G29" s="152" t="n"/>
      <c r="H29" s="152" t="n"/>
      <c r="I29" s="152" t="n"/>
      <c r="J29" s="152" t="n"/>
      <c r="K29" s="152" t="n"/>
      <c r="L29" s="152" t="n"/>
      <c r="M29" s="152" t="n"/>
      <c r="N29" s="152" t="n"/>
      <c r="O29" s="152" t="n"/>
      <c r="P29" s="929" t="n"/>
    </row>
    <row r="30" ht="17.1" customHeight="1" s="1225" thickBot="1">
      <c r="A30" s="1757" t="inlineStr">
        <is>
          <t>TOTAL</t>
        </is>
      </c>
      <c r="B30" s="1527" t="n"/>
      <c r="C30" s="1527" t="n"/>
      <c r="D30" s="1528" t="n"/>
      <c r="E30" s="864">
        <f>SUM(E11:E29)</f>
        <v/>
      </c>
      <c r="F30" s="864">
        <f>SUM(F11:F29)</f>
        <v/>
      </c>
      <c r="G30" s="864">
        <f>SUM(G11:G29)</f>
        <v/>
      </c>
      <c r="H30" s="864">
        <f>SUM(H11:H29)</f>
        <v/>
      </c>
      <c r="I30" s="864">
        <f>SUM(I11:I29)</f>
        <v/>
      </c>
      <c r="J30" s="864">
        <f>SUM(J11:J29)</f>
        <v/>
      </c>
      <c r="K30" s="864">
        <f>SUM(K11:K29)</f>
        <v/>
      </c>
      <c r="L30" s="864">
        <f>SUM(L11:L29)</f>
        <v/>
      </c>
      <c r="M30" s="864">
        <f>SUM(M11:M29)</f>
        <v/>
      </c>
      <c r="N30" s="864">
        <f>SUM(N11:N29)</f>
        <v/>
      </c>
      <c r="O30" s="864">
        <f>SUM(O11:O29)</f>
        <v/>
      </c>
      <c r="P30" s="865">
        <f>SUM(P11:P29)</f>
        <v/>
      </c>
    </row>
    <row r="31">
      <c r="A31" s="1680" t="inlineStr">
        <is>
          <t>(1) Le montant doit être inférieur ou égal à 1% du total des produits</t>
        </is>
      </c>
    </row>
  </sheetData>
  <mergeCells count="39">
    <mergeCell ref="A25:C25"/>
    <mergeCell ref="C3:P3"/>
    <mergeCell ref="C6:G6"/>
    <mergeCell ref="A29:D29"/>
    <mergeCell ref="C5:G5"/>
    <mergeCell ref="A18:C18"/>
    <mergeCell ref="D8:D10"/>
    <mergeCell ref="A21:C21"/>
    <mergeCell ref="A27:C27"/>
    <mergeCell ref="A12:C12"/>
    <mergeCell ref="I8:J9"/>
    <mergeCell ref="A26:C26"/>
    <mergeCell ref="K8:L9"/>
    <mergeCell ref="M8:N9"/>
    <mergeCell ref="O8:P9"/>
    <mergeCell ref="A23:C23"/>
    <mergeCell ref="O5:P5"/>
    <mergeCell ref="A14:C14"/>
    <mergeCell ref="A30:D30"/>
    <mergeCell ref="A22:C22"/>
    <mergeCell ref="A17:C17"/>
    <mergeCell ref="A8:C10"/>
    <mergeCell ref="O4:P4"/>
    <mergeCell ref="A20:C20"/>
    <mergeCell ref="A28:C28"/>
    <mergeCell ref="A13:C13"/>
    <mergeCell ref="A19:C19"/>
    <mergeCell ref="A1:P1"/>
    <mergeCell ref="A15:C15"/>
    <mergeCell ref="E8:F9"/>
    <mergeCell ref="B4:M4"/>
    <mergeCell ref="A7:P7"/>
    <mergeCell ref="A24:C24"/>
    <mergeCell ref="G8:H9"/>
    <mergeCell ref="J5:L5"/>
    <mergeCell ref="O2:P2"/>
    <mergeCell ref="A11:C11"/>
    <mergeCell ref="H5:I5"/>
    <mergeCell ref="A16:C16"/>
  </mergeCells>
  <dataValidations count="1">
    <dataValidation sqref="E11:P29" showDropDown="0" showInputMessage="1" showErrorMessage="1" allowBlank="1" errorTitle="Attention!" error="Valeur numérique attendue" type="whole">
      <formula1>-9999999999999</formula1>
      <formula2>9999999999999</formula2>
    </dataValidation>
  </dataValidations>
  <printOptions horizontalCentered="1"/>
  <pageMargins left="0.2362204724409449" right="0.2362204724409449" top="0.3543307086614174" bottom="0.3543307086614174" header="0.3149606299212598" footer="0.3149606299212598"/>
  <pageSetup orientation="landscape" paperSize="9" scale="75"/>
</worksheet>
</file>

<file path=xl/worksheets/sheet60.xml><?xml version="1.0" encoding="utf-8"?>
<worksheet xmlns="http://schemas.openxmlformats.org/spreadsheetml/2006/main">
  <sheetPr codeName="Feuil61">
    <tabColor theme="4" tint="0.5999938962981048"/>
    <outlinePr summaryBelow="1" summaryRight="1"/>
    <pageSetUpPr fitToPage="1"/>
  </sheetPr>
  <dimension ref="A1:L32"/>
  <sheetViews>
    <sheetView showGridLines="0" workbookViewId="0">
      <selection activeCell="B14" sqref="B14"/>
    </sheetView>
  </sheetViews>
  <sheetFormatPr baseColWidth="10" defaultRowHeight="15"/>
  <cols>
    <col width="16.42578125" customWidth="1" style="1225" min="2" max="2"/>
    <col width="9.85546875" customWidth="1" style="1225" min="5" max="5"/>
    <col width="11.42578125" customWidth="1" style="1225" min="6" max="6"/>
    <col width="15.42578125" customWidth="1" style="1225" min="7" max="7"/>
    <col width="11.42578125" customWidth="1" style="1225" min="8" max="8"/>
    <col width="15.42578125" customWidth="1" style="1225" min="9" max="9"/>
    <col width="11.42578125" customWidth="1" style="1225" min="10" max="10"/>
    <col width="15.42578125" customWidth="1" style="1225" min="11" max="12"/>
  </cols>
  <sheetData>
    <row r="1">
      <c r="A1" s="1429" t="inlineStr">
        <is>
          <t>- 0 -</t>
        </is>
      </c>
    </row>
    <row r="2" ht="24.95" customHeight="1" s="1225">
      <c r="A2" s="1429" t="n"/>
      <c r="B2" s="1429" t="n"/>
      <c r="C2" s="1429" t="n"/>
      <c r="D2" s="1429" t="n"/>
      <c r="E2" s="1429" t="n"/>
      <c r="F2" s="1429" t="n"/>
      <c r="K2" s="1438" t="inlineStr">
        <is>
          <t>NOTE 33
SYSTEME NORMAL</t>
        </is>
      </c>
      <c r="L2" s="1411" t="n"/>
    </row>
    <row r="3" ht="15" customFormat="1" customHeight="1" s="1382">
      <c r="A3" s="1451" t="inlineStr">
        <is>
          <t>Dénomination sociale de l'entité :</t>
        </is>
      </c>
      <c r="B3" s="1451" t="n"/>
      <c r="C3" s="1276">
        <f>'NOTE 31'!C3</f>
        <v/>
      </c>
      <c r="D3" s="1277" t="n"/>
      <c r="E3" s="1277" t="n"/>
      <c r="F3" s="1277" t="n"/>
      <c r="G3" s="1277" t="n"/>
      <c r="H3" s="1277" t="n"/>
      <c r="I3" s="1277" t="n"/>
      <c r="J3" s="1277" t="n"/>
      <c r="K3" s="1277" t="n"/>
      <c r="L3" s="1277" t="n"/>
    </row>
    <row r="4" ht="15" customFormat="1" customHeight="1" s="1382">
      <c r="A4" s="1451" t="inlineStr">
        <is>
          <t>Adresse :</t>
        </is>
      </c>
      <c r="B4" s="1276">
        <f>'NOTE 31'!B4</f>
        <v/>
      </c>
      <c r="C4" s="1277" t="n"/>
      <c r="D4" s="1277" t="n"/>
      <c r="E4" s="1277" t="n"/>
      <c r="F4" s="1277" t="n"/>
      <c r="G4" s="1277" t="n"/>
      <c r="H4" s="1277" t="n"/>
      <c r="I4" s="1277" t="n"/>
      <c r="J4" s="1589" t="inlineStr">
        <is>
          <t>Sigle usuel :</t>
        </is>
      </c>
      <c r="K4" s="1760">
        <f>'NOTE 31'!K4</f>
        <v/>
      </c>
      <c r="L4" s="1279" t="n"/>
    </row>
    <row r="5" ht="15" customFormat="1" customHeight="1" s="1382">
      <c r="A5" s="1451" t="inlineStr">
        <is>
          <t>N° IFU :</t>
        </is>
      </c>
      <c r="B5" s="1451" t="n"/>
      <c r="C5" s="1280">
        <f>'NOTE 31'!C5</f>
        <v/>
      </c>
      <c r="D5" s="1279" t="n"/>
      <c r="E5" s="1282" t="inlineStr">
        <is>
          <t>Exercice clos le :</t>
        </is>
      </c>
      <c r="F5" s="1283" t="n"/>
      <c r="G5" s="1601">
        <f>'NOTE 31'!H5</f>
        <v/>
      </c>
      <c r="H5" s="1279" t="n"/>
      <c r="I5" s="1589" t="inlineStr">
        <is>
          <t>Durée (en mois) :</t>
        </is>
      </c>
      <c r="K5" s="1760">
        <f>'NOTE 31'!K5</f>
        <v/>
      </c>
      <c r="L5" s="1279" t="n"/>
    </row>
    <row r="6" ht="15" customFormat="1" customHeight="1" s="1382">
      <c r="A6" s="259" t="inlineStr">
        <is>
          <t xml:space="preserve">N° de télédéclarant (NES): </t>
        </is>
      </c>
      <c r="B6" s="1451" t="n"/>
      <c r="C6" s="1520">
        <f>'NOTE 31'!C6</f>
        <v/>
      </c>
      <c r="D6" s="1521" t="n"/>
      <c r="E6" s="253" t="n"/>
      <c r="F6" s="253" t="n"/>
      <c r="G6" s="1970" t="n"/>
      <c r="H6" s="1970" t="n"/>
      <c r="I6" s="254" t="n"/>
      <c r="J6" s="254" t="n"/>
      <c r="K6" s="1970" t="n"/>
      <c r="L6" s="1970" t="n"/>
    </row>
    <row r="7" ht="35.1" customHeight="1" s="1225" thickBot="1">
      <c r="A7" s="1341" t="inlineStr">
        <is>
          <t>NOTE 33 : ACHATS DESTINES A LA PRODUCTION</t>
        </is>
      </c>
    </row>
    <row r="8">
      <c r="A8" s="1755" t="inlineStr">
        <is>
          <t>DESIGNATION DES MATIERES ET PRODUITS</t>
        </is>
      </c>
      <c r="B8" s="1475" t="n"/>
      <c r="C8" s="1475" t="n"/>
      <c r="D8" s="1560" t="n"/>
      <c r="E8" s="1738" t="inlineStr">
        <is>
          <t>UNITE DE
QUANTITE
CHOISIE</t>
        </is>
      </c>
      <c r="F8" s="1738" t="inlineStr">
        <is>
          <t>ACHATS EFFECTUES AU COURS DE L'EXERCICE</t>
        </is>
      </c>
      <c r="G8" s="1509" t="n"/>
      <c r="H8" s="1509" t="n"/>
      <c r="I8" s="1509" t="n"/>
      <c r="J8" s="1509" t="n"/>
      <c r="K8" s="1562" t="n"/>
      <c r="L8" s="1761" t="inlineStr">
        <is>
          <t>VARIATION
DES STOCKS 
(en valeur)</t>
        </is>
      </c>
    </row>
    <row r="9">
      <c r="A9" s="1756" t="n"/>
      <c r="D9" s="1550" t="n"/>
      <c r="E9" s="1758" t="n"/>
      <c r="F9" s="1419" t="inlineStr">
        <is>
          <t>PRODUITS DE L'ETAT</t>
        </is>
      </c>
      <c r="G9" s="1583" t="n"/>
      <c r="H9" s="1419" t="inlineStr">
        <is>
          <t>PRODUITS IMPORTES</t>
        </is>
      </c>
      <c r="I9" s="1420" t="n"/>
      <c r="J9" s="1420" t="n"/>
      <c r="K9" s="1411" t="n"/>
      <c r="L9" s="1762" t="n"/>
    </row>
    <row r="10">
      <c r="A10" s="1756" t="n"/>
      <c r="D10" s="1550" t="n"/>
      <c r="E10" s="1758" t="n"/>
      <c r="F10" s="1594" t="n"/>
      <c r="G10" s="1517" t="n"/>
      <c r="H10" s="1419" t="inlineStr">
        <is>
          <t>ACHETES DANS L'ETAT</t>
        </is>
      </c>
      <c r="I10" s="1411" t="n"/>
      <c r="J10" s="1419" t="inlineStr">
        <is>
          <t>ACHETES HORS DE L'ETAT</t>
        </is>
      </c>
      <c r="K10" s="1411" t="n"/>
      <c r="L10" s="1762" t="n"/>
    </row>
    <row r="11">
      <c r="A11" s="1720" t="n"/>
      <c r="B11" s="1516" t="n"/>
      <c r="C11" s="1516" t="n"/>
      <c r="D11" s="1517" t="n"/>
      <c r="E11" s="1524" t="n"/>
      <c r="F11" s="1419" t="inlineStr">
        <is>
          <t>Quantité</t>
        </is>
      </c>
      <c r="G11" s="1419" t="inlineStr">
        <is>
          <t>Valeur</t>
        </is>
      </c>
      <c r="H11" s="1419" t="inlineStr">
        <is>
          <t>Quantité</t>
        </is>
      </c>
      <c r="I11" s="1419" t="inlineStr">
        <is>
          <t>Valeur</t>
        </is>
      </c>
      <c r="J11" s="1419" t="inlineStr">
        <is>
          <t>Quantité</t>
        </is>
      </c>
      <c r="K11" s="1419" t="inlineStr">
        <is>
          <t>Valeur</t>
        </is>
      </c>
      <c r="L11" s="1565" t="n"/>
    </row>
    <row r="12" ht="17.1" customHeight="1" s="1225">
      <c r="A12" s="1603" t="n"/>
      <c r="B12" s="1395" t="n"/>
      <c r="C12" s="1395" t="n"/>
      <c r="D12" s="1396" t="n"/>
      <c r="E12" s="154" t="n"/>
      <c r="F12" s="151" t="n"/>
      <c r="G12" s="151" t="n"/>
      <c r="H12" s="151" t="n"/>
      <c r="I12" s="151" t="n"/>
      <c r="J12" s="151" t="n"/>
      <c r="K12" s="151" t="n"/>
      <c r="L12" s="861" t="n"/>
    </row>
    <row r="13" ht="17.1" customHeight="1" s="1225">
      <c r="A13" s="1603" t="n"/>
      <c r="B13" s="1395" t="n"/>
      <c r="C13" s="1395" t="n"/>
      <c r="D13" s="1396" t="n"/>
      <c r="E13" s="154" t="n"/>
      <c r="F13" s="151" t="n"/>
      <c r="G13" s="151" t="n"/>
      <c r="H13" s="151" t="n"/>
      <c r="I13" s="151" t="n"/>
      <c r="J13" s="151" t="n"/>
      <c r="K13" s="151" t="n"/>
      <c r="L13" s="861" t="n"/>
    </row>
    <row r="14" ht="17.1" customHeight="1" s="1225">
      <c r="A14" s="1603" t="n"/>
      <c r="B14" s="1395" t="n"/>
      <c r="C14" s="1395" t="n"/>
      <c r="D14" s="1396" t="n"/>
      <c r="E14" s="154" t="n"/>
      <c r="F14" s="151" t="n"/>
      <c r="G14" s="151" t="n"/>
      <c r="H14" s="151" t="n"/>
      <c r="I14" s="151" t="n"/>
      <c r="J14" s="151" t="n"/>
      <c r="K14" s="151" t="n"/>
      <c r="L14" s="861" t="n"/>
    </row>
    <row r="15" ht="17.1" customHeight="1" s="1225">
      <c r="A15" s="1603" t="n"/>
      <c r="B15" s="1395" t="n"/>
      <c r="C15" s="1395" t="n"/>
      <c r="D15" s="1396" t="n"/>
      <c r="E15" s="154" t="n"/>
      <c r="F15" s="151" t="n"/>
      <c r="G15" s="151" t="n"/>
      <c r="H15" s="151" t="n"/>
      <c r="I15" s="151" t="n"/>
      <c r="J15" s="151" t="n"/>
      <c r="K15" s="151" t="n"/>
      <c r="L15" s="861" t="n"/>
    </row>
    <row r="16" ht="17.1" customHeight="1" s="1225">
      <c r="A16" s="1603" t="n"/>
      <c r="B16" s="1395" t="n"/>
      <c r="C16" s="1395" t="n"/>
      <c r="D16" s="1396" t="n"/>
      <c r="E16" s="154" t="n"/>
      <c r="F16" s="151" t="n"/>
      <c r="G16" s="151" t="n"/>
      <c r="H16" s="151" t="n"/>
      <c r="I16" s="151" t="n"/>
      <c r="J16" s="151" t="n"/>
      <c r="K16" s="151" t="n"/>
      <c r="L16" s="861" t="n"/>
    </row>
    <row r="17" ht="17.1" customHeight="1" s="1225">
      <c r="A17" s="1603" t="n"/>
      <c r="B17" s="1395" t="n"/>
      <c r="C17" s="1395" t="n"/>
      <c r="D17" s="1396" t="n"/>
      <c r="E17" s="154" t="n"/>
      <c r="F17" s="151" t="n"/>
      <c r="G17" s="151" t="n"/>
      <c r="H17" s="151" t="n"/>
      <c r="I17" s="151" t="n"/>
      <c r="J17" s="151" t="n"/>
      <c r="K17" s="151" t="n"/>
      <c r="L17" s="861" t="n"/>
    </row>
    <row r="18" ht="17.1" customHeight="1" s="1225">
      <c r="A18" s="1603" t="n"/>
      <c r="B18" s="1395" t="n"/>
      <c r="C18" s="1395" t="n"/>
      <c r="D18" s="1396" t="n"/>
      <c r="E18" s="154" t="n"/>
      <c r="F18" s="151" t="n"/>
      <c r="G18" s="151" t="n"/>
      <c r="H18" s="151" t="n"/>
      <c r="I18" s="151" t="n"/>
      <c r="J18" s="151" t="n"/>
      <c r="K18" s="151" t="n"/>
      <c r="L18" s="861" t="n"/>
    </row>
    <row r="19" ht="17.1" customHeight="1" s="1225">
      <c r="A19" s="1603" t="n"/>
      <c r="B19" s="1395" t="n"/>
      <c r="C19" s="1395" t="n"/>
      <c r="D19" s="1396" t="n"/>
      <c r="E19" s="154" t="n"/>
      <c r="F19" s="151" t="n"/>
      <c r="G19" s="151" t="n"/>
      <c r="H19" s="151" t="n"/>
      <c r="I19" s="151" t="n"/>
      <c r="J19" s="151" t="n"/>
      <c r="K19" s="151" t="n"/>
      <c r="L19" s="861" t="n"/>
    </row>
    <row r="20" ht="17.1" customHeight="1" s="1225">
      <c r="A20" s="1603" t="n"/>
      <c r="B20" s="1395" t="n"/>
      <c r="C20" s="1395" t="n"/>
      <c r="D20" s="1396" t="n"/>
      <c r="E20" s="154" t="n"/>
      <c r="F20" s="151" t="n"/>
      <c r="G20" s="151" t="n"/>
      <c r="H20" s="151" t="n"/>
      <c r="I20" s="151" t="n"/>
      <c r="J20" s="151" t="n"/>
      <c r="K20" s="151" t="n"/>
      <c r="L20" s="861" t="n"/>
    </row>
    <row r="21" ht="17.1" customHeight="1" s="1225">
      <c r="A21" s="1603" t="n"/>
      <c r="B21" s="1395" t="n"/>
      <c r="C21" s="1395" t="n"/>
      <c r="D21" s="1396" t="n"/>
      <c r="E21" s="154" t="n"/>
      <c r="F21" s="151" t="n"/>
      <c r="G21" s="151" t="n"/>
      <c r="H21" s="151" t="n"/>
      <c r="I21" s="151" t="n"/>
      <c r="J21" s="151" t="n"/>
      <c r="K21" s="151" t="n"/>
      <c r="L21" s="861" t="n"/>
    </row>
    <row r="22" ht="17.1" customHeight="1" s="1225">
      <c r="A22" s="1603" t="n"/>
      <c r="B22" s="1395" t="n"/>
      <c r="C22" s="1395" t="n"/>
      <c r="D22" s="1396" t="n"/>
      <c r="E22" s="154" t="n"/>
      <c r="F22" s="151" t="n"/>
      <c r="G22" s="151" t="n"/>
      <c r="H22" s="151" t="n"/>
      <c r="I22" s="151" t="n"/>
      <c r="J22" s="151" t="n"/>
      <c r="K22" s="151" t="n"/>
      <c r="L22" s="861" t="n"/>
    </row>
    <row r="23" ht="17.1" customHeight="1" s="1225">
      <c r="A23" s="1603" t="n"/>
      <c r="B23" s="1395" t="n"/>
      <c r="C23" s="1395" t="n"/>
      <c r="D23" s="1396" t="n"/>
      <c r="E23" s="154" t="n"/>
      <c r="F23" s="151" t="n"/>
      <c r="G23" s="151" t="n"/>
      <c r="H23" s="151" t="n"/>
      <c r="I23" s="151" t="n"/>
      <c r="J23" s="151" t="n"/>
      <c r="K23" s="151" t="n"/>
      <c r="L23" s="861" t="n"/>
    </row>
    <row r="24" ht="17.1" customHeight="1" s="1225">
      <c r="A24" s="1603" t="n"/>
      <c r="B24" s="1395" t="n"/>
      <c r="C24" s="1395" t="n"/>
      <c r="D24" s="1396" t="n"/>
      <c r="E24" s="154" t="n"/>
      <c r="F24" s="151" t="n"/>
      <c r="G24" s="151" t="n"/>
      <c r="H24" s="151" t="n"/>
      <c r="I24" s="151" t="n"/>
      <c r="J24" s="151" t="n"/>
      <c r="K24" s="151" t="n"/>
      <c r="L24" s="861" t="n"/>
    </row>
    <row r="25" ht="17.1" customHeight="1" s="1225">
      <c r="A25" s="1603" t="n"/>
      <c r="B25" s="1395" t="n"/>
      <c r="C25" s="1395" t="n"/>
      <c r="D25" s="1396" t="n"/>
      <c r="E25" s="154" t="n"/>
      <c r="F25" s="151" t="n"/>
      <c r="G25" s="151" t="n"/>
      <c r="H25" s="151" t="n"/>
      <c r="I25" s="151" t="n"/>
      <c r="J25" s="151" t="n"/>
      <c r="K25" s="151" t="n"/>
      <c r="L25" s="861" t="n"/>
    </row>
    <row r="26" ht="17.1" customHeight="1" s="1225">
      <c r="A26" s="1603" t="n"/>
      <c r="B26" s="1395" t="n"/>
      <c r="C26" s="1395" t="n"/>
      <c r="D26" s="1396" t="n"/>
      <c r="E26" s="154" t="n"/>
      <c r="F26" s="151" t="n"/>
      <c r="G26" s="151" t="n"/>
      <c r="H26" s="151" t="n"/>
      <c r="I26" s="151" t="n"/>
      <c r="J26" s="151" t="n"/>
      <c r="K26" s="151" t="n"/>
      <c r="L26" s="861" t="n"/>
    </row>
    <row r="27" ht="17.1" customHeight="1" s="1225">
      <c r="A27" s="1603" t="n"/>
      <c r="B27" s="1395" t="n"/>
      <c r="C27" s="1395" t="n"/>
      <c r="D27" s="1396" t="n"/>
      <c r="E27" s="154" t="n"/>
      <c r="F27" s="151" t="n"/>
      <c r="G27" s="151" t="n"/>
      <c r="H27" s="151" t="n"/>
      <c r="I27" s="151" t="n"/>
      <c r="J27" s="151" t="n"/>
      <c r="K27" s="151" t="n"/>
      <c r="L27" s="861" t="n"/>
    </row>
    <row r="28" ht="17.1" customHeight="1" s="1225">
      <c r="A28" s="1603" t="n"/>
      <c r="B28" s="1395" t="n"/>
      <c r="C28" s="1395" t="n"/>
      <c r="D28" s="1396" t="n"/>
      <c r="E28" s="154" t="n"/>
      <c r="F28" s="151" t="n"/>
      <c r="G28" s="151" t="n"/>
      <c r="H28" s="151" t="n"/>
      <c r="I28" s="151" t="n"/>
      <c r="J28" s="151" t="n"/>
      <c r="K28" s="151" t="n"/>
      <c r="L28" s="861" t="n"/>
    </row>
    <row r="29" ht="17.1" customHeight="1" s="1225">
      <c r="A29" s="1603" t="n"/>
      <c r="B29" s="1395" t="n"/>
      <c r="C29" s="1395" t="n"/>
      <c r="D29" s="1396" t="n"/>
      <c r="E29" s="154" t="n"/>
      <c r="F29" s="151" t="n"/>
      <c r="G29" s="151" t="n"/>
      <c r="H29" s="151" t="n"/>
      <c r="I29" s="151" t="n"/>
      <c r="J29" s="151" t="n"/>
      <c r="K29" s="151" t="n"/>
      <c r="L29" s="861" t="n"/>
    </row>
    <row r="30" ht="17.1" customHeight="1" s="1225">
      <c r="A30" s="1718" t="inlineStr">
        <is>
          <t>NON VENTILES (1)</t>
        </is>
      </c>
      <c r="B30" s="1420" t="n"/>
      <c r="C30" s="1420" t="n"/>
      <c r="D30" s="1420" t="n"/>
      <c r="E30" s="1411" t="n"/>
      <c r="F30" s="152" t="n"/>
      <c r="G30" s="152" t="n"/>
      <c r="H30" s="152" t="n"/>
      <c r="I30" s="152" t="n"/>
      <c r="J30" s="152" t="n"/>
      <c r="K30" s="152" t="n"/>
      <c r="L30" s="929" t="n"/>
    </row>
    <row r="31" ht="17.1" customHeight="1" s="1225" thickBot="1">
      <c r="A31" s="1759" t="inlineStr">
        <is>
          <t>TOTAL</t>
        </is>
      </c>
      <c r="B31" s="1527" t="n"/>
      <c r="C31" s="1527" t="n"/>
      <c r="D31" s="1527" t="n"/>
      <c r="E31" s="1528" t="n"/>
      <c r="F31" s="930">
        <f>SUM(F12:F30)</f>
        <v/>
      </c>
      <c r="G31" s="930">
        <f>SUM(G12:G30)</f>
        <v/>
      </c>
      <c r="H31" s="930">
        <f>SUM(H12:H30)</f>
        <v/>
      </c>
      <c r="I31" s="930">
        <f>SUM(I12:I30)</f>
        <v/>
      </c>
      <c r="J31" s="930">
        <f>SUM(J12:J30)</f>
        <v/>
      </c>
      <c r="K31" s="930">
        <f>SUM(K12:K30)</f>
        <v/>
      </c>
      <c r="L31" s="931">
        <f>SUM(L12:L30)</f>
        <v/>
      </c>
    </row>
    <row r="32">
      <c r="A32" s="1680" t="inlineStr">
        <is>
          <t>(1) Le montant doit être inférieur ou égal  à 1% du total des achats</t>
        </is>
      </c>
    </row>
  </sheetData>
  <mergeCells count="40">
    <mergeCell ref="A30:E30"/>
    <mergeCell ref="A23:D23"/>
    <mergeCell ref="A17:D17"/>
    <mergeCell ref="C6:D6"/>
    <mergeCell ref="A7:L7"/>
    <mergeCell ref="A22:D22"/>
    <mergeCell ref="H10:I10"/>
    <mergeCell ref="E8:E11"/>
    <mergeCell ref="A20:D20"/>
    <mergeCell ref="C5:D5"/>
    <mergeCell ref="J10:K10"/>
    <mergeCell ref="A29:D29"/>
    <mergeCell ref="E5:F5"/>
    <mergeCell ref="K5:L5"/>
    <mergeCell ref="F8:K8"/>
    <mergeCell ref="A19:D19"/>
    <mergeCell ref="A28:D28"/>
    <mergeCell ref="A13:D13"/>
    <mergeCell ref="F9:G10"/>
    <mergeCell ref="C3:L3"/>
    <mergeCell ref="L8:L11"/>
    <mergeCell ref="A15:D15"/>
    <mergeCell ref="A24:D24"/>
    <mergeCell ref="H9:K9"/>
    <mergeCell ref="K2:L2"/>
    <mergeCell ref="A8:D11"/>
    <mergeCell ref="G5:H5"/>
    <mergeCell ref="I5:J5"/>
    <mergeCell ref="A25:D25"/>
    <mergeCell ref="A16:D16"/>
    <mergeCell ref="A18:D18"/>
    <mergeCell ref="A27:D27"/>
    <mergeCell ref="A12:D12"/>
    <mergeCell ref="A1:L1"/>
    <mergeCell ref="A21:D21"/>
    <mergeCell ref="A26:D26"/>
    <mergeCell ref="A31:E31"/>
    <mergeCell ref="K4:L4"/>
    <mergeCell ref="B4:I4"/>
    <mergeCell ref="A14:D14"/>
  </mergeCells>
  <dataValidations count="1">
    <dataValidation sqref="F12:L30"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89"/>
</worksheet>
</file>

<file path=xl/worksheets/sheet61.xml><?xml version="1.0" encoding="utf-8"?>
<worksheet xmlns="http://schemas.openxmlformats.org/spreadsheetml/2006/main">
  <sheetPr codeName="Feuil62">
    <tabColor theme="4" tint="0.5999938962981048"/>
    <outlinePr summaryBelow="1" summaryRight="1"/>
    <pageSetUpPr fitToPage="1"/>
  </sheetPr>
  <dimension ref="A1:I65"/>
  <sheetViews>
    <sheetView showGridLines="0" topLeftCell="A44" zoomScale="110" zoomScaleNormal="110" workbookViewId="0">
      <selection activeCell="B14" sqref="B14"/>
    </sheetView>
  </sheetViews>
  <sheetFormatPr baseColWidth="10" defaultRowHeight="15"/>
  <cols>
    <col width="17" customWidth="1" style="1225" min="2" max="2"/>
    <col width="3.140625" customWidth="1" style="1225" min="4" max="4"/>
    <col width="23.85546875" customWidth="1" style="1225" min="5" max="5"/>
    <col width="14.28515625" customWidth="1" style="1225" min="6" max="7"/>
    <col width="11" customWidth="1" style="1467" min="8" max="8"/>
    <col width="12" bestFit="1" customWidth="1" style="1225" min="11" max="11"/>
    <col width="13.5703125" bestFit="1" customWidth="1" style="1225" min="13" max="13"/>
  </cols>
  <sheetData>
    <row r="1" ht="12.75" customHeight="1" s="1225">
      <c r="A1" s="1429" t="inlineStr">
        <is>
          <t>- 22 -</t>
        </is>
      </c>
    </row>
    <row r="2" ht="24.95" customHeight="1" s="1225">
      <c r="A2" s="1429" t="n"/>
      <c r="B2" s="1429" t="n"/>
      <c r="C2" s="1429" t="n"/>
      <c r="D2" s="1429" t="n"/>
      <c r="E2" s="1429" t="n"/>
      <c r="F2" s="1429" t="n"/>
      <c r="G2" s="1328" t="inlineStr">
        <is>
          <t>NOTE 34
SYSTEME NORMAL</t>
        </is>
      </c>
      <c r="H2" s="1274" t="n"/>
    </row>
    <row r="3" ht="15" customFormat="1" customHeight="1" s="1382">
      <c r="A3" s="1451" t="inlineStr">
        <is>
          <t>Dénomination sociale de l'entité :</t>
        </is>
      </c>
      <c r="B3" s="1451" t="n"/>
      <c r="C3" s="1276">
        <f>'NOTE 31'!C3</f>
        <v/>
      </c>
      <c r="D3" s="1277" t="n"/>
      <c r="E3" s="1277" t="n"/>
      <c r="F3" s="1277" t="n"/>
      <c r="G3" s="1277" t="n"/>
      <c r="H3" s="1277" t="n"/>
    </row>
    <row r="4" ht="15" customFormat="1" customHeight="1" s="1382">
      <c r="A4" s="1451" t="inlineStr">
        <is>
          <t>Adresse :</t>
        </is>
      </c>
      <c r="B4" s="1276">
        <f>'NOTE 31'!B4</f>
        <v/>
      </c>
      <c r="C4" s="1277" t="n"/>
      <c r="D4" s="1277" t="n"/>
      <c r="E4" s="1277" t="n"/>
      <c r="F4" s="1589" t="inlineStr">
        <is>
          <t>Sigle usuel :</t>
        </is>
      </c>
      <c r="G4" s="1760">
        <f>'NOTE 31'!K4</f>
        <v/>
      </c>
      <c r="H4" s="1279" t="n"/>
    </row>
    <row r="5" ht="15" customFormat="1" customHeight="1" s="1382">
      <c r="A5" s="1451" t="inlineStr">
        <is>
          <t>N° IFU :</t>
        </is>
      </c>
      <c r="B5" s="1451" t="n"/>
      <c r="C5" s="1280">
        <f>'NOTE 31'!C5</f>
        <v/>
      </c>
      <c r="D5" s="1279" t="n"/>
      <c r="E5" s="1457" t="inlineStr">
        <is>
          <t>Exercice clos le :</t>
        </is>
      </c>
      <c r="F5" s="1563" t="n"/>
      <c r="G5" s="1589" t="inlineStr">
        <is>
          <t>Durée (en mois) :</t>
        </is>
      </c>
      <c r="H5" s="1970">
        <f>'NOTE 31'!K5</f>
        <v/>
      </c>
    </row>
    <row r="6" ht="15" customFormat="1" customHeight="1" s="1382">
      <c r="A6" s="259" t="inlineStr">
        <is>
          <t xml:space="preserve">N° de télédéclarant (NES): </t>
        </is>
      </c>
      <c r="B6" s="1451" t="n"/>
      <c r="C6" s="1520">
        <f>'NOTE 31'!C6</f>
        <v/>
      </c>
      <c r="D6" s="1521" t="n"/>
      <c r="E6" s="253" t="n"/>
      <c r="F6" s="1970" t="n"/>
      <c r="G6" s="254" t="n"/>
      <c r="H6" s="1970" t="n"/>
    </row>
    <row r="7" ht="21.75" customHeight="1" s="1225" thickBot="1">
      <c r="A7" s="1341" t="inlineStr">
        <is>
          <t>NOTE 34 : FICHE DE SYNTHESE DES PRINCIPAUX INDICATEURS FINANCIERS</t>
        </is>
      </c>
    </row>
    <row r="8" ht="24" customHeight="1" s="1225">
      <c r="A8" s="1774" t="inlineStr">
        <is>
          <t>( EN  MILLIERS DE FRANCS)</t>
        </is>
      </c>
      <c r="B8" s="1509" t="n"/>
      <c r="C8" s="1509" t="n"/>
      <c r="D8" s="1509" t="n"/>
      <c r="E8" s="1562" t="n"/>
      <c r="F8" s="1738" t="inlineStr">
        <is>
          <t>Année N</t>
        </is>
      </c>
      <c r="G8" s="1738" t="inlineStr">
        <is>
          <t>Année N-1</t>
        </is>
      </c>
      <c r="H8" s="1761" t="inlineStr">
        <is>
          <t>Variation
en %</t>
        </is>
      </c>
    </row>
    <row r="9" ht="11.85" customHeight="1" s="1225">
      <c r="A9" s="1784" t="inlineStr">
        <is>
          <t>ANALYSE DE L'ACTIVITE</t>
        </is>
      </c>
      <c r="B9" s="1420" t="n"/>
      <c r="C9" s="1420" t="n"/>
      <c r="D9" s="1420" t="n"/>
      <c r="E9" s="1420" t="n"/>
      <c r="F9" s="1420" t="n"/>
      <c r="G9" s="1420" t="n"/>
      <c r="H9" s="1411" t="n"/>
    </row>
    <row r="10" ht="11.85" customHeight="1" s="1225">
      <c r="A10" s="1780" t="inlineStr">
        <is>
          <t>SOLDES INTERMEDIAIRES DE GESTION</t>
        </is>
      </c>
      <c r="B10" s="1420" t="n"/>
      <c r="C10" s="1420" t="n"/>
      <c r="D10" s="1420" t="n"/>
      <c r="E10" s="1411" t="n"/>
      <c r="F10" s="1782" t="n"/>
      <c r="G10" s="1420" t="n"/>
      <c r="H10" s="1411" t="n"/>
    </row>
    <row r="11" ht="11.85" customHeight="1" s="1225">
      <c r="A11" s="1777" t="inlineStr">
        <is>
          <t>CHIFFRE D'AFFAIRES</t>
        </is>
      </c>
      <c r="B11" s="1582" t="n"/>
      <c r="C11" s="1582" t="n"/>
      <c r="D11" s="1582" t="n"/>
      <c r="E11" s="1583" t="n"/>
      <c r="F11" s="147">
        <f>RESULTAT!I18</f>
        <v/>
      </c>
      <c r="G11" s="147">
        <f>RESULTAT!J18</f>
        <v/>
      </c>
      <c r="H11" s="932" t="n"/>
    </row>
    <row r="12" ht="11.85" customHeight="1" s="1225">
      <c r="A12" s="1764" t="inlineStr">
        <is>
          <t>MARGE COMMERCIALE</t>
        </is>
      </c>
      <c r="E12" s="1550" t="n"/>
      <c r="F12" s="147">
        <f>RESULTAT!I14</f>
        <v/>
      </c>
      <c r="G12" s="147">
        <f>RESULTAT!J14</f>
        <v/>
      </c>
      <c r="H12" s="932" t="n"/>
    </row>
    <row r="13" ht="11.85" customHeight="1" s="1225">
      <c r="A13" s="1764" t="inlineStr">
        <is>
          <t>VALEUR AJOUTEE</t>
        </is>
      </c>
      <c r="E13" s="1550" t="n"/>
      <c r="F13" s="147">
        <f>RESULTAT!I32</f>
        <v/>
      </c>
      <c r="G13" s="147">
        <f>RESULTAT!J32</f>
        <v/>
      </c>
      <c r="H13" s="932" t="n"/>
    </row>
    <row r="14" ht="11.85" customHeight="1" s="1225">
      <c r="A14" s="1764" t="inlineStr">
        <is>
          <t>EXCEDENT BRUT D'EXPLOITATION (EBE)</t>
        </is>
      </c>
      <c r="E14" s="1550" t="n"/>
      <c r="F14" s="147">
        <f>RESULTAT!I34</f>
        <v/>
      </c>
      <c r="G14" s="147">
        <f>RESULTAT!J34</f>
        <v/>
      </c>
      <c r="H14" s="932" t="n"/>
    </row>
    <row r="15" ht="11.85" customHeight="1" s="1225">
      <c r="A15" s="1764" t="inlineStr">
        <is>
          <t>RESULTAT D'EXPLOITATION</t>
        </is>
      </c>
      <c r="E15" s="1550" t="n"/>
      <c r="F15" s="147">
        <f>RESULTAT!I37</f>
        <v/>
      </c>
      <c r="G15" s="147">
        <f>RESULTAT!J37</f>
        <v/>
      </c>
      <c r="H15" s="932" t="n"/>
    </row>
    <row r="16" ht="11.85" customHeight="1" s="1225">
      <c r="A16" s="1764" t="inlineStr">
        <is>
          <t>RESULTAT FINANCIER</t>
        </is>
      </c>
      <c r="E16" s="1550" t="n"/>
      <c r="F16" s="147">
        <f>RESULTAT!I43</f>
        <v/>
      </c>
      <c r="G16" s="147">
        <f>RESULTAT!J43</f>
        <v/>
      </c>
      <c r="H16" s="932" t="n"/>
    </row>
    <row r="17" ht="11.85" customHeight="1" s="1225">
      <c r="A17" s="1764" t="inlineStr">
        <is>
          <t>RESULTAT DES ACTIVITES ORDINAIRES</t>
        </is>
      </c>
      <c r="E17" s="1550" t="n"/>
      <c r="F17" s="147">
        <f>RESULTAT!I44</f>
        <v/>
      </c>
      <c r="G17" s="147">
        <f>RESULTAT!J44</f>
        <v/>
      </c>
      <c r="H17" s="932" t="n"/>
    </row>
    <row r="18" ht="11.85" customHeight="1" s="1225">
      <c r="A18" s="1764" t="inlineStr">
        <is>
          <t>RESULTAT HORS ACTIVITES ORDINAIRES</t>
        </is>
      </c>
      <c r="E18" s="1550" t="n"/>
      <c r="F18" s="147">
        <f>RESULTAT!I49</f>
        <v/>
      </c>
      <c r="G18" s="147">
        <f>RESULTAT!J49</f>
        <v/>
      </c>
      <c r="H18" s="932" t="n"/>
    </row>
    <row r="19" ht="11.85" customHeight="1" s="1225">
      <c r="A19" s="1783" t="inlineStr">
        <is>
          <t>RESULTAT NET</t>
        </is>
      </c>
      <c r="B19" s="1516" t="n"/>
      <c r="C19" s="1516" t="n"/>
      <c r="D19" s="1516" t="n"/>
      <c r="E19" s="1517" t="n"/>
      <c r="F19" s="147">
        <f>RESULTAT!I52</f>
        <v/>
      </c>
      <c r="G19" s="147">
        <f>RESULTAT!J52</f>
        <v/>
      </c>
      <c r="H19" s="932" t="n"/>
    </row>
    <row r="20" ht="11.85" customHeight="1" s="1225">
      <c r="A20" s="1780" t="inlineStr">
        <is>
          <t>DETERMINATION DE LA CAPACITE D'AUTOFINANCEMENT</t>
        </is>
      </c>
      <c r="B20" s="1420" t="n"/>
      <c r="C20" s="1420" t="n"/>
      <c r="D20" s="1420" t="n"/>
      <c r="E20" s="1411" t="n"/>
      <c r="F20" s="1785" t="n"/>
      <c r="G20" s="1420" t="n"/>
      <c r="H20" s="1532" t="n"/>
    </row>
    <row r="21" ht="11.85" customHeight="1" s="1225">
      <c r="A21" s="1773" t="inlineStr">
        <is>
          <t>Excédent brut d'exploitation (EBE)</t>
        </is>
      </c>
      <c r="B21" s="1582" t="n"/>
      <c r="C21" s="1582" t="n"/>
      <c r="D21" s="1582" t="n"/>
      <c r="E21" s="1583" t="n"/>
      <c r="F21" s="47">
        <f>F14</f>
        <v/>
      </c>
      <c r="G21" s="47">
        <f>G14</f>
        <v/>
      </c>
      <c r="H21" s="933" t="n"/>
    </row>
    <row r="22" ht="11.85" customHeight="1" s="1225">
      <c r="A22" s="1765" t="inlineStr">
        <is>
          <t>+ Valeurs comptables des cessions courantes d’immobilisation  (compte 654)</t>
        </is>
      </c>
      <c r="E22" s="1550" t="n"/>
      <c r="F22" s="147">
        <f>CtaCptSolde("654*")</f>
        <v/>
      </c>
      <c r="G22" s="147">
        <f>CtaCptSoldeNm1("654*")</f>
        <v/>
      </c>
      <c r="H22" s="933" t="n"/>
    </row>
    <row r="23" ht="11.85" customHeight="1" s="1225">
      <c r="A23" s="1765" t="inlineStr">
        <is>
          <t>- Produits des cessions courantes d’immobilisation (compte 754)</t>
        </is>
      </c>
      <c r="E23" s="1550" t="n"/>
      <c r="F23" s="147">
        <f>CtaCptSolde("754*")</f>
        <v/>
      </c>
      <c r="G23" s="147">
        <f>CtaCptSoldeNm1("754*")</f>
        <v/>
      </c>
      <c r="H23" s="933" t="n"/>
    </row>
    <row r="24" ht="11.85" customHeight="1" s="1225">
      <c r="A24" s="1781" t="inlineStr">
        <is>
          <t>= CAPACITE D'AUTOFINANCEMENT D'EXPLOITATION</t>
        </is>
      </c>
      <c r="B24" s="1420" t="n"/>
      <c r="C24" s="1420" t="n"/>
      <c r="D24" s="1420" t="n"/>
      <c r="E24" s="1411" t="n"/>
      <c r="F24" s="175">
        <f>F21+F22-F23</f>
        <v/>
      </c>
      <c r="G24" s="175">
        <f>G21+G22-G23</f>
        <v/>
      </c>
      <c r="H24" s="934">
        <f>IF(G24,(F24-G24)/G24,IF(ISBLANK(G24),"",IF(F24,IF( F24 &gt; 0,1,-1),"")))</f>
        <v/>
      </c>
    </row>
    <row r="25" ht="11.85" customHeight="1" s="1225">
      <c r="A25" s="1765" t="inlineStr">
        <is>
          <t>+ Revenus financiers</t>
        </is>
      </c>
      <c r="E25" s="1550" t="n"/>
      <c r="F25" s="147">
        <f>-CtaCptSolde("77*")</f>
        <v/>
      </c>
      <c r="G25" s="147">
        <f>-CtaCptSoldeNm1("77*")</f>
        <v/>
      </c>
      <c r="H25" s="933" t="n"/>
    </row>
    <row r="26" ht="11.85" customHeight="1" s="1225">
      <c r="A26" s="1765" t="inlineStr">
        <is>
          <t>+ Gains de change financiers</t>
        </is>
      </c>
      <c r="E26" s="1550" t="n"/>
      <c r="F26" s="147">
        <f>-CtaCptSolde("766*")</f>
        <v/>
      </c>
      <c r="G26" s="147">
        <f>-CtaCptSoldeNm1("766*")</f>
        <v/>
      </c>
      <c r="H26" s="933" t="n"/>
    </row>
    <row r="27" ht="11.85" customHeight="1" s="1225">
      <c r="A27" s="1764" t="inlineStr">
        <is>
          <t>+ Transferts de charges financières</t>
        </is>
      </c>
      <c r="E27" s="1550" t="n"/>
      <c r="F27" s="147">
        <f>CtaCptSolde("787*")</f>
        <v/>
      </c>
      <c r="G27" s="147">
        <f>CtaCptSoldeNm1("787*")</f>
        <v/>
      </c>
      <c r="H27" s="933" t="n"/>
    </row>
    <row r="28" ht="11.85" customHeight="1" s="1225">
      <c r="A28" s="1765" t="inlineStr">
        <is>
          <t>+ Produits HAO</t>
        </is>
      </c>
      <c r="E28" s="1550" t="n"/>
      <c r="F28" s="147">
        <f>CtaCptSolde("84*")</f>
        <v/>
      </c>
      <c r="G28" s="147">
        <f>CtaCptSoldeNm1("84*")</f>
        <v/>
      </c>
      <c r="H28" s="933" t="n"/>
    </row>
    <row r="29" ht="11.85" customHeight="1" s="1225">
      <c r="A29" s="1764" t="inlineStr">
        <is>
          <t>+ Transferts de charges HAO</t>
        </is>
      </c>
      <c r="E29" s="1550" t="n"/>
      <c r="F29" s="147">
        <f>CtaCptSolde("788*")</f>
        <v/>
      </c>
      <c r="G29" s="147">
        <f>CtaCptSoldeNm1("788*")</f>
        <v/>
      </c>
      <c r="H29" s="933" t="n"/>
    </row>
    <row r="30" ht="11.85" customHeight="1" s="1225">
      <c r="A30" s="1765" t="inlineStr">
        <is>
          <t xml:space="preserve"> - Frais financiers</t>
        </is>
      </c>
      <c r="E30" s="1550" t="n"/>
      <c r="F30" s="147">
        <f>CtaCptSolde("67*")</f>
        <v/>
      </c>
      <c r="G30" s="147">
        <f>CtaCptSoldeNm1("67*")</f>
        <v/>
      </c>
      <c r="H30" s="933" t="n"/>
    </row>
    <row r="31" ht="11.85" customHeight="1" s="1225">
      <c r="A31" s="1765" t="inlineStr">
        <is>
          <t xml:space="preserve"> - Pertes de change financières</t>
        </is>
      </c>
      <c r="E31" s="1550" t="n"/>
      <c r="F31" s="147">
        <f>CtaCptSolde("666*")</f>
        <v/>
      </c>
      <c r="G31" s="147">
        <f>CtaCptSoldeNm1("666*")</f>
        <v/>
      </c>
      <c r="H31" s="933" t="n"/>
    </row>
    <row r="32" ht="11.85" customHeight="1" s="1225">
      <c r="A32" s="1765" t="inlineStr">
        <is>
          <t xml:space="preserve"> - Charges HAO</t>
        </is>
      </c>
      <c r="E32" s="1550" t="n"/>
      <c r="F32" s="147">
        <f>CtaCptSolde("85*")</f>
        <v/>
      </c>
      <c r="G32" s="147">
        <f>CtaCptSoldeNm1("85*")</f>
        <v/>
      </c>
      <c r="H32" s="933" t="n"/>
    </row>
    <row r="33" ht="11.85" customHeight="1" s="1225">
      <c r="A33" s="1764" t="inlineStr">
        <is>
          <t xml:space="preserve"> - Participations</t>
        </is>
      </c>
      <c r="E33" s="1550" t="n"/>
      <c r="F33" s="147">
        <f>CtaCptSolde("87*")</f>
        <v/>
      </c>
      <c r="G33" s="147">
        <f>CtaCptSoldeNm1("87*")</f>
        <v/>
      </c>
      <c r="H33" s="933" t="n"/>
    </row>
    <row r="34" ht="11.85" customHeight="1" s="1225">
      <c r="A34" s="1764" t="inlineStr">
        <is>
          <t xml:space="preserve"> - Impôts sur les résultats</t>
        </is>
      </c>
      <c r="E34" s="1550" t="n"/>
      <c r="F34" s="147">
        <f>CtaCptSolde("89*")</f>
        <v/>
      </c>
      <c r="G34" s="147">
        <f>CtaCptSoldeNm1("89*")</f>
        <v/>
      </c>
      <c r="H34" s="933" t="n"/>
    </row>
    <row r="35" ht="11.85" customHeight="1" s="1225">
      <c r="A35" s="1769" t="inlineStr">
        <is>
          <t>= CAPACITE D'AUTOFINANCEMENT GLOBALE (C.A.F.G.)</t>
        </is>
      </c>
      <c r="B35" s="1420" t="n"/>
      <c r="C35" s="1420" t="n"/>
      <c r="D35" s="1420" t="n"/>
      <c r="E35" s="1411" t="n"/>
      <c r="F35" s="176">
        <f>F24+F25+F26+F27+F28+F29-F30-F31-F32-F33-F34</f>
        <v/>
      </c>
      <c r="G35" s="176">
        <f>G24+G25+G26+G27+G28+G29-G30-G31-G32-G33-G34</f>
        <v/>
      </c>
      <c r="H35" s="935" t="n"/>
    </row>
    <row r="36" ht="11.85" customHeight="1" s="1225">
      <c r="A36" s="1779" t="inlineStr">
        <is>
          <t>- Distributions de dividendes opérées durant l'exercice</t>
        </is>
      </c>
      <c r="E36" s="1550" t="n"/>
      <c r="F36" s="147" t="n"/>
      <c r="G36" s="147" t="n"/>
      <c r="H36" s="937" t="n"/>
    </row>
    <row r="37" ht="11.85" customHeight="1" s="1225">
      <c r="A37" s="1769" t="inlineStr">
        <is>
          <t>= AUTOFINANCEMENT</t>
        </is>
      </c>
      <c r="B37" s="1420" t="n"/>
      <c r="C37" s="1420" t="n"/>
      <c r="D37" s="1420" t="n"/>
      <c r="E37" s="1411" t="n"/>
      <c r="F37" s="176">
        <f>F35-F36</f>
        <v/>
      </c>
      <c r="G37" s="176">
        <f>G35-G36</f>
        <v/>
      </c>
      <c r="H37" s="935" t="n"/>
    </row>
    <row r="38" ht="11.85" customHeight="1" s="1225">
      <c r="A38" s="1768" t="inlineStr">
        <is>
          <t>ANALYSE DE LA RENTABILITE</t>
        </is>
      </c>
      <c r="B38" s="1420" t="n"/>
      <c r="C38" s="1420" t="n"/>
      <c r="D38" s="1420" t="n"/>
      <c r="E38" s="1420" t="n"/>
      <c r="F38" s="1420" t="n"/>
      <c r="G38" s="1420" t="n"/>
      <c r="H38" s="1532" t="n"/>
    </row>
    <row r="39" ht="11.85" customFormat="1" customHeight="1" s="233">
      <c r="A39" s="1730" t="inlineStr">
        <is>
          <t>Rentabilité économique = Résultat d’exploitation (a)/Capitaux propres + dettes financières</t>
        </is>
      </c>
      <c r="B39" s="1420" t="n"/>
      <c r="C39" s="1420" t="n"/>
      <c r="D39" s="1420" t="n"/>
      <c r="E39" s="1411" t="n"/>
      <c r="F39" s="234">
        <f>RESULTAT!I37/(BILAN!M21+BILAN!M25)</f>
        <v/>
      </c>
      <c r="G39" s="234">
        <f>RESULTAT!J37/(BILAN!N21+BILAN!N25)</f>
        <v/>
      </c>
      <c r="H39" s="902">
        <f>TEXT(100*(F39-G39),"0") &amp; " points"</f>
        <v/>
      </c>
      <c r="I39" s="606" t="n"/>
    </row>
    <row r="40" ht="11.85" customFormat="1" customHeight="1" s="233">
      <c r="A40" s="1730" t="inlineStr">
        <is>
          <t>Rentabilité financière = Résultat net/Capitaux propres</t>
        </is>
      </c>
      <c r="B40" s="1420" t="n"/>
      <c r="C40" s="1420" t="n"/>
      <c r="D40" s="1420" t="n"/>
      <c r="E40" s="1411" t="n"/>
      <c r="F40" s="234">
        <f>RESULTAT!I52/BILAN!M21</f>
        <v/>
      </c>
      <c r="G40" s="234">
        <f>RESULTAT!J52/BILAN!N21</f>
        <v/>
      </c>
      <c r="H40" s="902">
        <f>TEXT(100*(F40-G40),"0") &amp; " points"</f>
        <v/>
      </c>
    </row>
    <row r="41" ht="11.85" customHeight="1" s="1225">
      <c r="A41" s="1768" t="inlineStr">
        <is>
          <t>ANALYSE DE LA STRUCTURE FINANCIERE</t>
        </is>
      </c>
      <c r="B41" s="1420" t="n"/>
      <c r="C41" s="1420" t="n"/>
      <c r="D41" s="1420" t="n"/>
      <c r="E41" s="1420" t="n"/>
      <c r="F41" s="1420" t="n"/>
      <c r="G41" s="1420" t="n"/>
      <c r="H41" s="1532" t="n"/>
    </row>
    <row r="42" ht="11.85" customHeight="1" s="1225">
      <c r="A42" s="1772" t="inlineStr">
        <is>
          <t>+ Capitaux propres et ressources assimilées</t>
        </is>
      </c>
      <c r="B42" s="1582" t="n"/>
      <c r="C42" s="1582" t="n"/>
      <c r="D42" s="1582" t="n"/>
      <c r="E42" s="1583" t="n"/>
      <c r="F42" s="147">
        <f>BILAN!M21</f>
        <v/>
      </c>
      <c r="G42" s="147">
        <f>BILAN!N21</f>
        <v/>
      </c>
      <c r="H42" s="937" t="n"/>
    </row>
    <row r="43" ht="11.85" customHeight="1" s="1225">
      <c r="A43" s="1764" t="inlineStr">
        <is>
          <t>+ Dettes financières* et autres ressources assimilées (b)</t>
        </is>
      </c>
      <c r="E43" s="1550" t="n"/>
      <c r="F43" s="147">
        <f>BILAN!M25</f>
        <v/>
      </c>
      <c r="G43" s="147">
        <f>BILAN!N25</f>
        <v/>
      </c>
      <c r="H43" s="937" t="n"/>
    </row>
    <row r="44" ht="11.85" customHeight="1" s="1225">
      <c r="A44" s="1766" t="inlineStr">
        <is>
          <t>= ressources stables</t>
        </is>
      </c>
      <c r="E44" s="1550" t="n"/>
      <c r="F44" s="47">
        <f>F42+F43</f>
        <v/>
      </c>
      <c r="G44" s="47">
        <f>G42+G43</f>
        <v/>
      </c>
      <c r="H44" s="937" t="n"/>
    </row>
    <row r="45" ht="11.85" customHeight="1" s="1225">
      <c r="A45" s="1778" t="inlineStr">
        <is>
          <t>- Actif immobilisé (b)</t>
        </is>
      </c>
      <c r="E45" s="1550" t="n"/>
      <c r="F45" s="174">
        <f>BILAN!H26</f>
        <v/>
      </c>
      <c r="G45" s="174">
        <f>BILAN!I26</f>
        <v/>
      </c>
      <c r="H45" s="937" t="n"/>
    </row>
    <row r="46" ht="11.85" customHeight="1" s="1225">
      <c r="A46" s="1770" t="inlineStr">
        <is>
          <t>= FONDS DE ROULEMENT (1)</t>
        </is>
      </c>
      <c r="B46" s="1420" t="n"/>
      <c r="C46" s="1420" t="n"/>
      <c r="D46" s="1420" t="n"/>
      <c r="E46" s="1411" t="n"/>
      <c r="F46" s="176">
        <f>F44-F45</f>
        <v/>
      </c>
      <c r="G46" s="176">
        <f>G44-G45</f>
        <v/>
      </c>
      <c r="H46" s="935" t="n"/>
    </row>
    <row r="47" ht="11.85" customHeight="1" s="1225">
      <c r="A47" s="1765" t="inlineStr">
        <is>
          <t>+ Actif circulant d'exploitation (b)</t>
        </is>
      </c>
      <c r="E47" s="1550" t="n"/>
      <c r="F47" s="147">
        <f>BILAN!H33-BILAN!H27</f>
        <v/>
      </c>
      <c r="G47" s="147">
        <f>BILAN!I33-BILAN!I27</f>
        <v/>
      </c>
      <c r="H47" s="937" t="n"/>
    </row>
    <row r="48" ht="11.85" customHeight="1" s="1225">
      <c r="A48" s="1764" t="inlineStr">
        <is>
          <t>-  Passif circulant d'exploitation (b)</t>
        </is>
      </c>
      <c r="E48" s="1550" t="n"/>
      <c r="F48" s="147">
        <f>BILAN!M33-BILAN!M27</f>
        <v/>
      </c>
      <c r="G48" s="147">
        <f>BILAN!N33-BILAN!N27</f>
        <v/>
      </c>
      <c r="H48" s="937" t="n"/>
    </row>
    <row r="49" ht="11.85" customHeight="1" s="1225">
      <c r="A49" s="1766" t="inlineStr">
        <is>
          <t>= BESOIN DE FINANCEMENT D'EXPLOITATION (2)</t>
        </is>
      </c>
      <c r="E49" s="1550" t="n"/>
      <c r="F49" s="47">
        <f>F47-F48</f>
        <v/>
      </c>
      <c r="G49" s="47">
        <f>G47-G48</f>
        <v/>
      </c>
      <c r="H49" s="937" t="n"/>
    </row>
    <row r="50" ht="11.85" customHeight="1" s="1225">
      <c r="A50" s="1765" t="inlineStr">
        <is>
          <t>+ Actif circulant HAO (b)</t>
        </is>
      </c>
      <c r="E50" s="1550" t="n"/>
      <c r="F50" s="147">
        <f>BILAN!H27</f>
        <v/>
      </c>
      <c r="G50" s="147">
        <f>BILAN!I27</f>
        <v/>
      </c>
      <c r="H50" s="937" t="n"/>
    </row>
    <row r="51" ht="11.85" customHeight="1" s="1225">
      <c r="A51" s="1764" t="inlineStr">
        <is>
          <t>-  Passif circulant HAO (b)</t>
        </is>
      </c>
      <c r="E51" s="1550" t="n"/>
      <c r="F51" s="147">
        <f>BILAN!M27</f>
        <v/>
      </c>
      <c r="G51" s="147">
        <f>BILAN!N27</f>
        <v/>
      </c>
      <c r="H51" s="937" t="n"/>
    </row>
    <row r="52" ht="11.85" customHeight="1" s="1225">
      <c r="A52" s="1766" t="inlineStr">
        <is>
          <t>= BESOIN DE FINANCEMENT HAO (3)</t>
        </is>
      </c>
      <c r="E52" s="1550" t="n"/>
      <c r="F52" s="47">
        <f>F50-F51</f>
        <v/>
      </c>
      <c r="G52" s="47">
        <f>G50-G51</f>
        <v/>
      </c>
      <c r="H52" s="937" t="n"/>
    </row>
    <row r="53" ht="11.85" customHeight="1" s="1225">
      <c r="A53" s="1770" t="inlineStr">
        <is>
          <t>BESOIN DE FINANCEMENT GLOBAL (4) = (2) + (3)</t>
        </is>
      </c>
      <c r="B53" s="1420" t="n"/>
      <c r="C53" s="1420" t="n"/>
      <c r="D53" s="1420" t="n"/>
      <c r="E53" s="1411" t="n"/>
      <c r="F53" s="176">
        <f>F49+F52</f>
        <v/>
      </c>
      <c r="G53" s="176">
        <f>G49+G52</f>
        <v/>
      </c>
      <c r="H53" s="935" t="n"/>
    </row>
    <row r="54" ht="11.85" customHeight="1" s="1225">
      <c r="A54" s="1770" t="inlineStr">
        <is>
          <t>TRESORERIE NETTE (5) = (1) - (4)</t>
        </is>
      </c>
      <c r="B54" s="1420" t="n"/>
      <c r="C54" s="1420" t="n"/>
      <c r="D54" s="1420" t="n"/>
      <c r="E54" s="1411" t="n"/>
      <c r="F54" s="176">
        <f>F46-F53</f>
        <v/>
      </c>
      <c r="G54" s="176">
        <f>G46-G53</f>
        <v/>
      </c>
      <c r="H54" s="935" t="n"/>
    </row>
    <row r="55" ht="11.85" customHeight="1" s="1225">
      <c r="A55" s="1771" t="inlineStr">
        <is>
          <t>CONTRÔLE : TRESORERIE NETTE = (TRESORERIE - ACTIF) - (TRESORERIE - PASSIF)</t>
        </is>
      </c>
      <c r="B55" s="1516" t="n"/>
      <c r="C55" s="1516" t="n"/>
      <c r="D55" s="1516" t="n"/>
      <c r="E55" s="1517" t="n"/>
      <c r="F55" s="118">
        <f>BILAN!H37-BILAN!M37</f>
        <v/>
      </c>
      <c r="G55" s="118">
        <f>BILAN!I37-BILAN!N37</f>
        <v/>
      </c>
      <c r="H55" s="937">
        <f>IF(G55,(F55-G55)/G55,IF(ISBLANK(G55),"",IF(F55,IF( F55 &gt; 0,1,-1),"")))</f>
        <v/>
      </c>
    </row>
    <row r="56" ht="11.85" customHeight="1" s="1225">
      <c r="A56" s="1768" t="inlineStr">
        <is>
          <t>ANALYSE DE LA VARIATION DE LA TRESORERIE</t>
        </is>
      </c>
      <c r="B56" s="1420" t="n"/>
      <c r="C56" s="1420" t="n"/>
      <c r="D56" s="1420" t="n"/>
      <c r="E56" s="1420" t="n"/>
      <c r="F56" s="1420" t="n"/>
      <c r="G56" s="1420" t="n"/>
      <c r="H56" s="1532" t="n"/>
    </row>
    <row r="57" ht="11.85" customHeight="1" s="1225">
      <c r="A57" s="1772" t="inlineStr">
        <is>
          <t>+ Flux de trésorerie des activités opérationnelles</t>
        </is>
      </c>
      <c r="B57" s="1582" t="n"/>
      <c r="C57" s="1582" t="n"/>
      <c r="D57" s="1582" t="n"/>
      <c r="E57" s="1583" t="n"/>
      <c r="F57" s="147">
        <f>TFT!I19</f>
        <v/>
      </c>
      <c r="G57" s="147" t="n"/>
      <c r="H57" s="937" t="n"/>
    </row>
    <row r="58" ht="11.85" customHeight="1" s="1225">
      <c r="A58" s="1765" t="inlineStr">
        <is>
          <t>- Flux de trésorerie des activités d'investissement</t>
        </is>
      </c>
      <c r="E58" s="1550" t="n"/>
      <c r="F58" s="147">
        <f>TFT!I26</f>
        <v/>
      </c>
      <c r="G58" s="147" t="n"/>
      <c r="H58" s="937" t="n"/>
    </row>
    <row r="59" ht="11.85" customHeight="1" s="1225">
      <c r="A59" s="1765" t="inlineStr">
        <is>
          <t>+ Flux de trésorerie des activités de financement</t>
        </is>
      </c>
      <c r="E59" s="1550" t="n"/>
      <c r="F59" s="147">
        <f>TFT!I38</f>
        <v/>
      </c>
      <c r="G59" s="147" t="n"/>
      <c r="H59" s="937" t="n"/>
    </row>
    <row r="60" ht="11.85" customHeight="1" s="1225">
      <c r="A60" s="1776" t="inlineStr">
        <is>
          <t>= VARIATION de LA TRESORERIE NETTE de LA PERIODE</t>
        </is>
      </c>
      <c r="B60" s="1516" t="n"/>
      <c r="C60" s="1516" t="n"/>
      <c r="D60" s="1516" t="n"/>
      <c r="E60" s="1517" t="n"/>
      <c r="F60" s="176">
        <f>F57+F58+F59</f>
        <v/>
      </c>
      <c r="G60" s="176" t="n"/>
      <c r="H60" s="937" t="n"/>
    </row>
    <row r="61" ht="11.85" customHeight="1" s="1225">
      <c r="A61" s="1768" t="inlineStr">
        <is>
          <t>ANALYSE DE LA VARIATION DE L’ENDETTEMENT FINANCIER NET</t>
        </is>
      </c>
      <c r="B61" s="1420" t="n"/>
      <c r="C61" s="1420" t="n"/>
      <c r="D61" s="1420" t="n"/>
      <c r="E61" s="1420" t="n"/>
      <c r="F61" s="1420" t="n"/>
      <c r="G61" s="1420" t="n"/>
      <c r="H61" s="1532" t="n"/>
    </row>
    <row r="62" ht="11.85" customHeight="1" s="1225">
      <c r="A62" s="1773" t="inlineStr">
        <is>
          <t>Endettement financier brut (Dettes financières* + Trésorerie – passif)</t>
        </is>
      </c>
      <c r="B62" s="1582" t="n"/>
      <c r="C62" s="1582" t="n"/>
      <c r="D62" s="1582" t="n"/>
      <c r="E62" s="1583" t="n"/>
      <c r="F62" s="147">
        <f>+BILAN!M25+BILAN!M36</f>
        <v/>
      </c>
      <c r="G62" s="147" t="n"/>
      <c r="H62" s="937" t="n"/>
    </row>
    <row r="63" ht="11.85" customHeight="1" s="1225">
      <c r="A63" s="1763" t="inlineStr">
        <is>
          <t>- Trésorerie - actif</t>
        </is>
      </c>
      <c r="B63" s="1516" t="n"/>
      <c r="C63" s="1516" t="n"/>
      <c r="D63" s="1516" t="n"/>
      <c r="E63" s="1517" t="n"/>
      <c r="F63" s="147">
        <f>-BILAN!F37</f>
        <v/>
      </c>
      <c r="G63" s="147" t="n"/>
      <c r="H63" s="937" t="n"/>
    </row>
    <row r="64" ht="11.85" customHeight="1" s="1225" thickBot="1">
      <c r="A64" s="1775" t="inlineStr">
        <is>
          <t>= ENDETTEMENT FINANCIER NET</t>
        </is>
      </c>
      <c r="B64" s="1527" t="n"/>
      <c r="C64" s="1527" t="n"/>
      <c r="D64" s="1527" t="n"/>
      <c r="E64" s="1528" t="n"/>
      <c r="F64" s="938">
        <f>F62+F63</f>
        <v/>
      </c>
      <c r="G64" s="938">
        <f>G62+G63</f>
        <v/>
      </c>
      <c r="H64" s="939">
        <f>IF(G64,(F64-G64)/G64,IF(ISBLANK(G64),"",IF(F64,IF( F64 &gt; 0,1,-1),"")))</f>
        <v/>
      </c>
    </row>
    <row r="65" ht="40.5" customHeight="1" s="1225">
      <c r="A65" s="1767" t="inlineStr">
        <is>
          <t xml:space="preserve">(a) Résultat d’exploitation après impôt théorique sur le bénéfice.
(b) Les écarts de conversion doivent être éliminés afin de ramener les créances et les dettes concernées à leur valeur initiale.
Dettes financières* = emprunts et dettes financières diverses + dettes de location acquisition.
</t>
        </is>
      </c>
    </row>
  </sheetData>
  <mergeCells count="68">
    <mergeCell ref="A9:H9"/>
    <mergeCell ref="A39:E39"/>
    <mergeCell ref="A34:E34"/>
    <mergeCell ref="A30:E30"/>
    <mergeCell ref="A59:E59"/>
    <mergeCell ref="A48:E48"/>
    <mergeCell ref="C6:D6"/>
    <mergeCell ref="A24:E24"/>
    <mergeCell ref="F20:H20"/>
    <mergeCell ref="G2:H2"/>
    <mergeCell ref="A15:E15"/>
    <mergeCell ref="A64:E64"/>
    <mergeCell ref="A60:E60"/>
    <mergeCell ref="C5:D5"/>
    <mergeCell ref="A11:E11"/>
    <mergeCell ref="A49:E49"/>
    <mergeCell ref="A51:E51"/>
    <mergeCell ref="A45:E45"/>
    <mergeCell ref="A36:E36"/>
    <mergeCell ref="A1:H1"/>
    <mergeCell ref="A61:H61"/>
    <mergeCell ref="B4:E4"/>
    <mergeCell ref="A7:H7"/>
    <mergeCell ref="A16:E16"/>
    <mergeCell ref="A54:E54"/>
    <mergeCell ref="A65:H65"/>
    <mergeCell ref="A25:E25"/>
    <mergeCell ref="A41:H41"/>
    <mergeCell ref="A37:E37"/>
    <mergeCell ref="A46:E46"/>
    <mergeCell ref="A18:E18"/>
    <mergeCell ref="A27:E27"/>
    <mergeCell ref="A21:E21"/>
    <mergeCell ref="A56:H56"/>
    <mergeCell ref="A55:E55"/>
    <mergeCell ref="A12:E12"/>
    <mergeCell ref="A50:E50"/>
    <mergeCell ref="A26:E26"/>
    <mergeCell ref="A57:E57"/>
    <mergeCell ref="A42:E42"/>
    <mergeCell ref="A33:E33"/>
    <mergeCell ref="A47:E47"/>
    <mergeCell ref="A23:E23"/>
    <mergeCell ref="A32:E32"/>
    <mergeCell ref="A14:E14"/>
    <mergeCell ref="A8:E8"/>
    <mergeCell ref="C3:H3"/>
    <mergeCell ref="A22:E22"/>
    <mergeCell ref="A17:E17"/>
    <mergeCell ref="A53:E53"/>
    <mergeCell ref="F10:H10"/>
    <mergeCell ref="A35:E35"/>
    <mergeCell ref="G4:H4"/>
    <mergeCell ref="A62:E62"/>
    <mergeCell ref="A20:E20"/>
    <mergeCell ref="A43:E43"/>
    <mergeCell ref="A29:E29"/>
    <mergeCell ref="A52:E52"/>
    <mergeCell ref="A38:H38"/>
    <mergeCell ref="A10:E10"/>
    <mergeCell ref="A28:E28"/>
    <mergeCell ref="A19:E19"/>
    <mergeCell ref="A63:E63"/>
    <mergeCell ref="A13:E13"/>
    <mergeCell ref="A31:E31"/>
    <mergeCell ref="A44:E44"/>
    <mergeCell ref="A58:E58"/>
    <mergeCell ref="A40:E40"/>
  </mergeCells>
  <dataValidations count="2">
    <dataValidation sqref="F11:G19 F21:G37 F42:G55 F57:G60 F62:G64" showDropDown="0" showInputMessage="1" showErrorMessage="1" allowBlank="1" errorTitle="Attention!" error="Valeur numérique attendue" type="whole">
      <formula1>-9999999999999</formula1>
      <formula2>9999999999999</formula2>
    </dataValidation>
    <dataValidation sqref="F39:G40" showDropDown="0" showInputMessage="1" showErrorMessage="1" allowBlank="1" errorTitle="Attention!" error="Valeur numérique attendue" type="decimal">
      <formula1>-9999999999999</formula1>
      <formula2>9999999999999</formula2>
    </dataValidation>
  </dataValidations>
  <printOptions horizontalCentered="1"/>
  <pageMargins left="0.3149606299212598" right="0.3149606299212598" top="0.2362204724409449" bottom="0.2362204724409449" header="0.3149606299212598" footer="0.3149606299212598"/>
  <pageSetup orientation="portrait" paperSize="9" scale="91"/>
</worksheet>
</file>

<file path=xl/worksheets/sheet62.xml><?xml version="1.0" encoding="utf-8"?>
<worksheet xmlns="http://schemas.openxmlformats.org/spreadsheetml/2006/main">
  <sheetPr codeName="Feuil63">
    <tabColor theme="4" tint="0.5999938962981048"/>
    <outlinePr summaryBelow="1" summaryRight="1"/>
    <pageSetUpPr fitToPage="1"/>
  </sheetPr>
  <dimension ref="A1:I52"/>
  <sheetViews>
    <sheetView showGridLines="0" topLeftCell="A7" zoomScaleNormal="100" workbookViewId="0">
      <selection activeCell="B14" sqref="B14"/>
    </sheetView>
  </sheetViews>
  <sheetFormatPr baseColWidth="10" defaultRowHeight="15"/>
  <cols>
    <col width="12.140625" customWidth="1" style="1225" min="2" max="2"/>
    <col width="8.42578125" customWidth="1" style="1225" min="4" max="4"/>
    <col width="13" customWidth="1" style="1225" min="5" max="5"/>
    <col width="8.7109375" customWidth="1" style="1225" min="6" max="6"/>
    <col width="17.140625" customWidth="1" style="1225" min="7" max="7"/>
    <col width="12.7109375" customWidth="1" style="1225" min="8" max="8"/>
    <col width="11.42578125" customWidth="1" style="1225" min="9" max="9"/>
  </cols>
  <sheetData>
    <row r="1">
      <c r="A1" s="1429" t="inlineStr">
        <is>
          <t>- 0 -</t>
        </is>
      </c>
    </row>
    <row r="2" ht="24.95" customHeight="1" s="1225">
      <c r="A2" s="1429" t="n"/>
      <c r="B2" s="1429" t="n"/>
      <c r="C2" s="1429" t="n"/>
      <c r="D2" s="1429" t="n"/>
      <c r="E2" s="1429" t="n"/>
      <c r="F2" s="1429" t="n"/>
      <c r="H2" s="1438" t="inlineStr">
        <is>
          <t>NOTE 35
SYSTEME NORMAL</t>
        </is>
      </c>
      <c r="I2" s="1411" t="n"/>
    </row>
    <row r="3">
      <c r="A3" s="1333" t="inlineStr">
        <is>
          <t>Dénomination sociale de l'entité :</t>
        </is>
      </c>
      <c r="B3" s="1333" t="n"/>
      <c r="C3" s="1798">
        <f>'NOTE 31'!C3</f>
        <v/>
      </c>
      <c r="D3" s="1277" t="n"/>
      <c r="E3" s="1277" t="n"/>
      <c r="F3" s="1277" t="n"/>
      <c r="G3" s="1277" t="n"/>
      <c r="H3" s="1277" t="n"/>
      <c r="I3" s="1277" t="n"/>
    </row>
    <row r="4">
      <c r="A4" s="1333" t="inlineStr">
        <is>
          <t>Adresse :</t>
        </is>
      </c>
      <c r="B4" s="1798">
        <f>'NOTE 31'!B4</f>
        <v/>
      </c>
      <c r="C4" s="1277" t="n"/>
      <c r="D4" s="1277" t="n"/>
      <c r="E4" s="1277" t="n"/>
      <c r="F4" s="1277" t="n"/>
      <c r="G4" s="1277" t="n"/>
      <c r="H4" s="114" t="inlineStr">
        <is>
          <t>Sigle usuel :</t>
        </is>
      </c>
      <c r="I4" s="1278">
        <f>'NOTE 31'!K4</f>
        <v/>
      </c>
    </row>
    <row r="5">
      <c r="A5" s="1451" t="inlineStr">
        <is>
          <t>N° IFU :</t>
        </is>
      </c>
      <c r="B5" s="1451" t="n"/>
      <c r="C5" s="1280">
        <f>'NOTE 31'!C5</f>
        <v/>
      </c>
      <c r="D5" s="1279" t="n"/>
      <c r="E5" s="1804" t="inlineStr">
        <is>
          <t>Exercice clos le :</t>
        </is>
      </c>
      <c r="F5" s="1283" t="n"/>
      <c r="G5" s="1601" t="n"/>
      <c r="H5" s="114" t="inlineStr">
        <is>
          <t>Durée (en mois) :</t>
        </is>
      </c>
      <c r="I5" s="1760">
        <f>'NOTE 31'!K5</f>
        <v/>
      </c>
    </row>
    <row r="6">
      <c r="A6" s="259" t="inlineStr">
        <is>
          <t xml:space="preserve">N° de télédéclarant (NES): </t>
        </is>
      </c>
      <c r="B6" s="1451" t="n"/>
      <c r="C6" s="1520">
        <f>'NOTE 31'!C6</f>
        <v/>
      </c>
      <c r="D6" s="1521" t="n"/>
      <c r="E6" s="358" t="n"/>
      <c r="F6" s="358" t="n"/>
      <c r="G6" s="1970" t="n"/>
      <c r="H6" s="359" t="n"/>
      <c r="I6" s="1970" t="n"/>
    </row>
    <row r="7" ht="24.75" customHeight="1" s="1225">
      <c r="A7" s="1284" t="inlineStr">
        <is>
          <t>NOTE 35 : LISTE DES INFORMATIONS SOCIALES, ENVIRONNEMENTALES ET SOCIETALES A FOURNIR</t>
        </is>
      </c>
    </row>
    <row r="8" ht="12.75" customHeight="1" s="1225" thickBot="1">
      <c r="A8" s="1801" t="inlineStr">
        <is>
          <t>Note obligatoire pour les entités ayant un effectif de plus de 250 salariés</t>
        </is>
      </c>
    </row>
    <row r="9" ht="22.5" customHeight="1" s="1225">
      <c r="A9" s="1799" t="inlineStr">
        <is>
          <t>Liste des informations sociales, environnementales et sociétales à fournir</t>
        </is>
      </c>
      <c r="B9" s="1509" t="n"/>
      <c r="C9" s="1509" t="n"/>
      <c r="D9" s="1509" t="n"/>
      <c r="E9" s="1509" t="n"/>
      <c r="F9" s="1509" t="n"/>
      <c r="G9" s="1509" t="n"/>
      <c r="H9" s="1509" t="n"/>
      <c r="I9" s="1510" t="n"/>
    </row>
    <row r="10" ht="12.75" customHeight="1" s="1225">
      <c r="A10" s="1794" t="inlineStr">
        <is>
          <t>INFORMATIONS SOCIALES</t>
        </is>
      </c>
      <c r="B10" s="1420" t="n"/>
      <c r="C10" s="1420" t="n"/>
      <c r="D10" s="1420" t="n"/>
      <c r="E10" s="1420" t="n"/>
      <c r="F10" s="1420" t="n"/>
      <c r="G10" s="1420" t="n"/>
      <c r="H10" s="1420" t="n"/>
      <c r="I10" s="1532" t="n"/>
    </row>
    <row r="11" ht="14.25" customHeight="1" s="1225">
      <c r="A11" s="1802" t="inlineStr">
        <is>
          <t>Emplois :</t>
        </is>
      </c>
      <c r="B11" s="1582" t="n"/>
      <c r="C11" s="1582" t="n"/>
      <c r="D11" s="1582" t="n"/>
      <c r="E11" s="1582" t="n"/>
      <c r="F11" s="1582" t="n"/>
      <c r="G11" s="1582" t="n"/>
      <c r="H11" s="1582" t="n"/>
      <c r="I11" s="1606" t="n"/>
    </row>
    <row r="12" ht="14.25" customHeight="1" s="1225">
      <c r="A12" s="1803" t="inlineStr">
        <is>
          <t>•  l'effectif total et la répartition des salariés par sexe, âge et zone géographique ;</t>
        </is>
      </c>
      <c r="I12" s="1408" t="n"/>
    </row>
    <row r="13" ht="14.25" customHeight="1" s="1225">
      <c r="A13" s="1789" t="inlineStr">
        <is>
          <t>•  les embauches et les licenciements ;</t>
        </is>
      </c>
      <c r="I13" s="1408" t="n"/>
    </row>
    <row r="14" ht="14.25" customHeight="1" s="1225">
      <c r="A14" s="1800" t="inlineStr">
        <is>
          <t>•  les rémunérations et leur évolution.</t>
        </is>
      </c>
      <c r="B14" s="1516" t="n"/>
      <c r="C14" s="1516" t="n"/>
      <c r="D14" s="1516" t="n"/>
      <c r="E14" s="1516" t="n"/>
      <c r="F14" s="1516" t="n"/>
      <c r="G14" s="1516" t="n"/>
      <c r="H14" s="1516" t="n"/>
      <c r="I14" s="1621" t="n"/>
    </row>
    <row r="15" ht="14.25" customHeight="1" s="1225">
      <c r="A15" s="1802" t="inlineStr">
        <is>
          <t>Relations sociales :</t>
        </is>
      </c>
      <c r="B15" s="1582" t="n"/>
      <c r="C15" s="1582" t="n"/>
      <c r="D15" s="1582" t="n"/>
      <c r="E15" s="1582" t="n"/>
      <c r="F15" s="1582" t="n"/>
      <c r="G15" s="1582" t="n"/>
      <c r="H15" s="1582" t="n"/>
      <c r="I15" s="1606" t="n"/>
    </row>
    <row r="16" ht="14.25" customHeight="1" s="1225">
      <c r="A16" s="1789" t="inlineStr">
        <is>
          <t>•  l'organisation du dialogue social ;</t>
        </is>
      </c>
      <c r="I16" s="1408" t="n"/>
    </row>
    <row r="17" ht="14.25" customHeight="1" s="1225">
      <c r="A17" s="1800" t="inlineStr">
        <is>
          <t>•  le bilan des accords collectifs.</t>
        </is>
      </c>
      <c r="B17" s="1516" t="n"/>
      <c r="C17" s="1516" t="n"/>
      <c r="D17" s="1516" t="n"/>
      <c r="E17" s="1516" t="n"/>
      <c r="F17" s="1516" t="n"/>
      <c r="G17" s="1516" t="n"/>
      <c r="H17" s="1516" t="n"/>
      <c r="I17" s="1621" t="n"/>
    </row>
    <row r="18" ht="14.25" customHeight="1" s="1225">
      <c r="A18" s="1805" t="inlineStr">
        <is>
          <t>Santé et sécurité :</t>
        </is>
      </c>
      <c r="I18" s="1408" t="n"/>
    </row>
    <row r="19" ht="14.25" customHeight="1" s="1225">
      <c r="A19" s="1789" t="inlineStr">
        <is>
          <t>•  les conditions de santé et de sécurité au travail ;</t>
        </is>
      </c>
      <c r="I19" s="1408" t="n"/>
    </row>
    <row r="20" ht="22.5" customHeight="1" s="1225">
      <c r="A20" s="1791" t="inlineStr">
        <is>
          <t>•  le bilan des accords signés avec les organisations syndicales ou les représentants du personnel en matière
de santé et de sécurité au travail.</t>
        </is>
      </c>
      <c r="B20" s="1792" t="n"/>
      <c r="C20" s="1792" t="n"/>
      <c r="D20" s="1792" t="n"/>
      <c r="E20" s="1792" t="n"/>
      <c r="F20" s="1792" t="n"/>
      <c r="G20" s="1792" t="n"/>
      <c r="H20" s="1792" t="n"/>
      <c r="I20" s="1793" t="n"/>
    </row>
    <row r="21" ht="14.25" customHeight="1" s="1225">
      <c r="A21" s="1786" t="inlineStr">
        <is>
          <t>Formation :</t>
        </is>
      </c>
      <c r="B21" s="1787" t="n"/>
      <c r="C21" s="1787" t="n"/>
      <c r="D21" s="1787" t="n"/>
      <c r="E21" s="1787" t="n"/>
      <c r="F21" s="1787" t="n"/>
      <c r="G21" s="1787" t="n"/>
      <c r="H21" s="1787" t="n"/>
      <c r="I21" s="1788" t="n"/>
    </row>
    <row r="22" ht="14.25" customHeight="1" s="1225">
      <c r="A22" s="1789" t="inlineStr">
        <is>
          <t>•  les politiques mises en œuvre en matière de formation ;</t>
        </is>
      </c>
      <c r="I22" s="1408" t="n"/>
    </row>
    <row r="23" ht="14.25" customHeight="1" s="1225">
      <c r="A23" s="1791" t="inlineStr">
        <is>
          <t>•  le nombre total d'heures de formation.</t>
        </is>
      </c>
      <c r="B23" s="1792" t="n"/>
      <c r="C23" s="1792" t="n"/>
      <c r="D23" s="1792" t="n"/>
      <c r="E23" s="1792" t="n"/>
      <c r="F23" s="1792" t="n"/>
      <c r="G23" s="1792" t="n"/>
      <c r="H23" s="1792" t="n"/>
      <c r="I23" s="1793" t="n"/>
    </row>
    <row r="24" ht="14.25" customHeight="1" s="1225">
      <c r="A24" s="1786" t="inlineStr">
        <is>
          <t>Égalité de traitement :</t>
        </is>
      </c>
      <c r="B24" s="1787" t="n"/>
      <c r="C24" s="1787" t="n"/>
      <c r="D24" s="1787" t="n"/>
      <c r="E24" s="1787" t="n"/>
      <c r="F24" s="1787" t="n"/>
      <c r="G24" s="1787" t="n"/>
      <c r="H24" s="1787" t="n"/>
      <c r="I24" s="1788" t="n"/>
    </row>
    <row r="25" ht="14.25" customHeight="1" s="1225">
      <c r="A25" s="1789" t="inlineStr">
        <is>
          <t>•  les mesures prises en faveur de l'égalité entre les femmes et les hommes ;</t>
        </is>
      </c>
      <c r="I25" s="1408" t="n"/>
    </row>
    <row r="26" ht="14.25" customHeight="1" s="1225">
      <c r="A26" s="1791" t="inlineStr">
        <is>
          <t>•  les mesures prises en faveur de l'emploi et de l'insertion des personnes handicapées ;</t>
        </is>
      </c>
      <c r="B26" s="1792" t="n"/>
      <c r="C26" s="1792" t="n"/>
      <c r="D26" s="1792" t="n"/>
      <c r="E26" s="1792" t="n"/>
      <c r="F26" s="1792" t="n"/>
      <c r="G26" s="1792" t="n"/>
      <c r="H26" s="1792" t="n"/>
      <c r="I26" s="1793" t="n"/>
    </row>
    <row r="27" ht="12.75" customHeight="1" s="1225">
      <c r="A27" s="1795" t="inlineStr">
        <is>
          <t>INFORMATIONS ENVIRONNEMENTALES</t>
        </is>
      </c>
      <c r="B27" s="1796" t="n"/>
      <c r="C27" s="1796" t="n"/>
      <c r="D27" s="1796" t="n"/>
      <c r="E27" s="1796" t="n"/>
      <c r="F27" s="1796" t="n"/>
      <c r="G27" s="1796" t="n"/>
      <c r="H27" s="1796" t="n"/>
      <c r="I27" s="1797" t="n"/>
    </row>
    <row r="28" ht="14.25" customHeight="1" s="1225">
      <c r="A28" s="1786" t="inlineStr">
        <is>
          <t>Politique générale en matière environnementale :</t>
        </is>
      </c>
      <c r="B28" s="1787" t="n"/>
      <c r="C28" s="1787" t="n"/>
      <c r="D28" s="1787" t="n"/>
      <c r="E28" s="1787" t="n"/>
      <c r="F28" s="1787" t="n"/>
      <c r="G28" s="1787" t="n"/>
      <c r="H28" s="1787" t="n"/>
      <c r="I28" s="1788" t="n"/>
    </row>
    <row r="29" ht="22.5" customHeight="1" s="1225">
      <c r="A29" s="1789" t="inlineStr">
        <is>
          <t>•  l'organisation de la société pour prendre en compte les questions environnementales et, le cas échéant, les démarches
d'évaluation ou de certification en matière d'environnement ;</t>
        </is>
      </c>
      <c r="I29" s="1408" t="n"/>
    </row>
    <row r="30" ht="15" customHeight="1" s="1225">
      <c r="A30" s="1789" t="inlineStr">
        <is>
          <t>•  les actions de formation et d'information des salariés menées en matière de protection de l'environnement ;</t>
        </is>
      </c>
      <c r="I30" s="1408" t="n"/>
    </row>
    <row r="31" ht="14.25" customHeight="1" s="1225">
      <c r="A31" s="1791" t="inlineStr">
        <is>
          <t>•  les moyens consacrés à la prévention des risques environnementaux et des pollutions.</t>
        </is>
      </c>
      <c r="B31" s="1792" t="n"/>
      <c r="C31" s="1792" t="n"/>
      <c r="D31" s="1792" t="n"/>
      <c r="E31" s="1792" t="n"/>
      <c r="F31" s="1792" t="n"/>
      <c r="G31" s="1792" t="n"/>
      <c r="H31" s="1792" t="n"/>
      <c r="I31" s="1793" t="n"/>
    </row>
    <row r="32" ht="14.25" customHeight="1" s="1225">
      <c r="A32" s="1786" t="inlineStr">
        <is>
          <t>Pollution et gestion des déchets :</t>
        </is>
      </c>
      <c r="B32" s="1787" t="n"/>
      <c r="C32" s="1787" t="n"/>
      <c r="D32" s="1787" t="n"/>
      <c r="E32" s="1787" t="n"/>
      <c r="F32" s="1787" t="n"/>
      <c r="G32" s="1787" t="n"/>
      <c r="H32" s="1787" t="n"/>
      <c r="I32" s="1788" t="n"/>
    </row>
    <row r="33" ht="14.25" customHeight="1" s="1225">
      <c r="A33" s="1789" t="inlineStr">
        <is>
          <t>•  les mesures de prévention, de réduction ou de réparation de rejets dans l'air, l'eau et le sol affectant gravement l'environnement ;</t>
        </is>
      </c>
      <c r="I33" s="1408" t="n"/>
    </row>
    <row r="34" ht="14.25" customHeight="1" s="1225">
      <c r="A34" s="1789" t="inlineStr">
        <is>
          <t>•  les mesures de prévention, de recyclage et d'élimination des déchets ;</t>
        </is>
      </c>
      <c r="I34" s="1408" t="n"/>
    </row>
    <row r="35" ht="14.25" customHeight="1" s="1225">
      <c r="A35" s="1791" t="inlineStr">
        <is>
          <t>•  la prise en compte des nuisances sonores et de toute autre forme de pollution spécifique à une activité.</t>
        </is>
      </c>
      <c r="B35" s="1792" t="n"/>
      <c r="C35" s="1792" t="n"/>
      <c r="D35" s="1792" t="n"/>
      <c r="E35" s="1792" t="n"/>
      <c r="F35" s="1792" t="n"/>
      <c r="G35" s="1792" t="n"/>
      <c r="H35" s="1792" t="n"/>
      <c r="I35" s="1793" t="n"/>
    </row>
    <row r="36" ht="14.25" customHeight="1" s="1225">
      <c r="A36" s="1786" t="inlineStr">
        <is>
          <t>Utilisation durable des ressources :</t>
        </is>
      </c>
      <c r="B36" s="1787" t="n"/>
      <c r="C36" s="1787" t="n"/>
      <c r="D36" s="1787" t="n"/>
      <c r="E36" s="1787" t="n"/>
      <c r="F36" s="1787" t="n"/>
      <c r="G36" s="1787" t="n"/>
      <c r="H36" s="1787" t="n"/>
      <c r="I36" s="1788" t="n"/>
    </row>
    <row r="37" ht="14.25" customHeight="1" s="1225">
      <c r="A37" s="1789" t="inlineStr">
        <is>
          <t>•  la consommation d'eau et l'approvisionnement en eau en fonction des contraintes locales ;</t>
        </is>
      </c>
      <c r="I37" s="1408" t="n"/>
    </row>
    <row r="38" ht="14.25" customHeight="1" s="1225">
      <c r="A38" s="1789" t="inlineStr">
        <is>
          <t>•  la consommation de matières premières et les mesures prises pour améliorer l'efficacité dans leur utilisation ;</t>
        </is>
      </c>
      <c r="I38" s="1408" t="n"/>
    </row>
    <row r="39" ht="14.25" customHeight="1" s="1225">
      <c r="A39" s="1791" t="inlineStr">
        <is>
          <t>•  la consommation d'énergie, les mesures prises pour améliorer l'efficacité énergétique et le recours aux énergies renouvelables.</t>
        </is>
      </c>
      <c r="B39" s="1792" t="n"/>
      <c r="C39" s="1792" t="n"/>
      <c r="D39" s="1792" t="n"/>
      <c r="E39" s="1792" t="n"/>
      <c r="F39" s="1792" t="n"/>
      <c r="G39" s="1792" t="n"/>
      <c r="H39" s="1792" t="n"/>
      <c r="I39" s="1793" t="n"/>
    </row>
    <row r="40" ht="14.25" customHeight="1" s="1225">
      <c r="A40" s="1786" t="inlineStr">
        <is>
          <t>Changement climatique :</t>
        </is>
      </c>
      <c r="B40" s="1787" t="n"/>
      <c r="C40" s="1787" t="n"/>
      <c r="D40" s="1787" t="n"/>
      <c r="E40" s="1787" t="n"/>
      <c r="F40" s="1787" t="n"/>
      <c r="G40" s="1787" t="n"/>
      <c r="H40" s="1787" t="n"/>
      <c r="I40" s="1788" t="n"/>
    </row>
    <row r="41" ht="14.25" customHeight="1" s="1225">
      <c r="A41" s="1791" t="inlineStr">
        <is>
          <t>•  les rejets de gaz à effet de serre.</t>
        </is>
      </c>
      <c r="B41" s="1792" t="n"/>
      <c r="C41" s="1792" t="n"/>
      <c r="D41" s="1792" t="n"/>
      <c r="E41" s="1792" t="n"/>
      <c r="F41" s="1792" t="n"/>
      <c r="G41" s="1792" t="n"/>
      <c r="H41" s="1792" t="n"/>
      <c r="I41" s="1793" t="n"/>
    </row>
    <row r="42" ht="14.25" customHeight="1" s="1225">
      <c r="A42" s="1786" t="inlineStr">
        <is>
          <t>Protection de la biodiversité :</t>
        </is>
      </c>
      <c r="B42" s="1787" t="n"/>
      <c r="C42" s="1787" t="n"/>
      <c r="D42" s="1787" t="n"/>
      <c r="E42" s="1787" t="n"/>
      <c r="F42" s="1787" t="n"/>
      <c r="G42" s="1787" t="n"/>
      <c r="H42" s="1787" t="n"/>
      <c r="I42" s="1788" t="n"/>
    </row>
    <row r="43" ht="14.25" customHeight="1" s="1225">
      <c r="A43" s="1791" t="inlineStr">
        <is>
          <t>•  les mesures prises pour préserver ou développer la biodiversité.</t>
        </is>
      </c>
      <c r="B43" s="1792" t="n"/>
      <c r="C43" s="1792" t="n"/>
      <c r="D43" s="1792" t="n"/>
      <c r="E43" s="1792" t="n"/>
      <c r="F43" s="1792" t="n"/>
      <c r="G43" s="1792" t="n"/>
      <c r="H43" s="1792" t="n"/>
      <c r="I43" s="1793" t="n"/>
    </row>
    <row r="44" ht="12.75" customHeight="1" s="1225">
      <c r="A44" s="1795" t="inlineStr">
        <is>
          <t>INFORMATIONS RELATIVES AUX ENGAGEMENTS SOCIÉTAUX EN FAVEUR DU DÉVELOPPEMENT DURABLE</t>
        </is>
      </c>
      <c r="B44" s="1796" t="n"/>
      <c r="C44" s="1796" t="n"/>
      <c r="D44" s="1796" t="n"/>
      <c r="E44" s="1796" t="n"/>
      <c r="F44" s="1796" t="n"/>
      <c r="G44" s="1796" t="n"/>
      <c r="H44" s="1796" t="n"/>
      <c r="I44" s="1797" t="n"/>
    </row>
    <row r="45">
      <c r="A45" s="1786" t="inlineStr">
        <is>
          <t>Impact territorial, économique et social de l'activité de la société :</t>
        </is>
      </c>
      <c r="B45" s="1787" t="n"/>
      <c r="C45" s="1787" t="n"/>
      <c r="D45" s="1787" t="n"/>
      <c r="E45" s="1787" t="n"/>
      <c r="F45" s="1787" t="n"/>
      <c r="G45" s="1787" t="n"/>
      <c r="H45" s="1787" t="n"/>
      <c r="I45" s="1788" t="n"/>
    </row>
    <row r="46">
      <c r="A46" s="1789" t="inlineStr">
        <is>
          <t>•  en matière d'emploi et de développement régional ;</t>
        </is>
      </c>
      <c r="I46" s="1408" t="n"/>
    </row>
    <row r="47">
      <c r="A47" s="1791" t="inlineStr">
        <is>
          <t>•  sur les populations riveraines ou locales.</t>
        </is>
      </c>
      <c r="B47" s="1792" t="n"/>
      <c r="C47" s="1792" t="n"/>
      <c r="D47" s="1792" t="n"/>
      <c r="E47" s="1792" t="n"/>
      <c r="F47" s="1792" t="n"/>
      <c r="G47" s="1792" t="n"/>
      <c r="H47" s="1792" t="n"/>
      <c r="I47" s="1793" t="n"/>
    </row>
    <row r="48" ht="25.5" customHeight="1" s="1225">
      <c r="A48" s="1786" t="inlineStr">
        <is>
          <t>Relations entretenues avec les personnes ou les organisations intéressées par l'activité de la société
(associations d'insertion, établissements d'enseignement...) :</t>
        </is>
      </c>
      <c r="B48" s="1787" t="n"/>
      <c r="C48" s="1787" t="n"/>
      <c r="D48" s="1787" t="n"/>
      <c r="E48" s="1787" t="n"/>
      <c r="F48" s="1787" t="n"/>
      <c r="G48" s="1787" t="n"/>
      <c r="H48" s="1787" t="n"/>
      <c r="I48" s="1788" t="n"/>
    </row>
    <row r="49">
      <c r="A49" s="1789" t="inlineStr">
        <is>
          <t>•  les conditions du dialogue avec ces personnes ou organisations ;</t>
        </is>
      </c>
      <c r="I49" s="1408" t="n"/>
    </row>
    <row r="50">
      <c r="A50" s="1791" t="inlineStr">
        <is>
          <t>•  les actions de partenariat ou de mécénat.</t>
        </is>
      </c>
      <c r="B50" s="1792" t="n"/>
      <c r="C50" s="1792" t="n"/>
      <c r="D50" s="1792" t="n"/>
      <c r="E50" s="1792" t="n"/>
      <c r="F50" s="1792" t="n"/>
      <c r="G50" s="1792" t="n"/>
      <c r="H50" s="1792" t="n"/>
      <c r="I50" s="1793" t="n"/>
    </row>
    <row r="51">
      <c r="A51" s="1786" t="inlineStr">
        <is>
          <t>Sous-traitance et fournisseurs :</t>
        </is>
      </c>
      <c r="B51" s="1787" t="n"/>
      <c r="C51" s="1787" t="n"/>
      <c r="D51" s="1787" t="n"/>
      <c r="E51" s="1787" t="n"/>
      <c r="F51" s="1787" t="n"/>
      <c r="G51" s="1787" t="n"/>
      <c r="H51" s="1787" t="n"/>
      <c r="I51" s="1788" t="n"/>
    </row>
    <row r="52" ht="15" customHeight="1" s="1225" thickBot="1">
      <c r="A52" s="1790" t="inlineStr">
        <is>
          <t>•  la prise en compte dans la politique d'achat des enjeux sociaux et environnementaux.</t>
        </is>
      </c>
      <c r="B52" s="1303" t="n"/>
      <c r="C52" s="1303" t="n"/>
      <c r="D52" s="1303" t="n"/>
      <c r="E52" s="1303" t="n"/>
      <c r="F52" s="1303" t="n"/>
      <c r="G52" s="1303" t="n"/>
      <c r="H52" s="1303" t="n"/>
      <c r="I52" s="1304" t="n"/>
    </row>
  </sheetData>
  <mergeCells count="53">
    <mergeCell ref="A7:I7"/>
    <mergeCell ref="A25:I25"/>
    <mergeCell ref="A41:I41"/>
    <mergeCell ref="C6:D6"/>
    <mergeCell ref="A46:I46"/>
    <mergeCell ref="A37:I37"/>
    <mergeCell ref="C5:D5"/>
    <mergeCell ref="E5:F5"/>
    <mergeCell ref="A18:I18"/>
    <mergeCell ref="A27:I27"/>
    <mergeCell ref="A50:I50"/>
    <mergeCell ref="A12:I12"/>
    <mergeCell ref="A26:I26"/>
    <mergeCell ref="A21:I21"/>
    <mergeCell ref="A33:I33"/>
    <mergeCell ref="A47:I47"/>
    <mergeCell ref="C3:I3"/>
    <mergeCell ref="A42:I42"/>
    <mergeCell ref="A32:I32"/>
    <mergeCell ref="A14:I14"/>
    <mergeCell ref="A17:I17"/>
    <mergeCell ref="A23:I23"/>
    <mergeCell ref="A8:I8"/>
    <mergeCell ref="A22:I22"/>
    <mergeCell ref="A35:I35"/>
    <mergeCell ref="A20:I20"/>
    <mergeCell ref="A38:I38"/>
    <mergeCell ref="A29:I29"/>
    <mergeCell ref="A52:I52"/>
    <mergeCell ref="A43:I43"/>
    <mergeCell ref="H2:I2"/>
    <mergeCell ref="A19:I19"/>
    <mergeCell ref="A10:I10"/>
    <mergeCell ref="A28:I28"/>
    <mergeCell ref="A13:I13"/>
    <mergeCell ref="A44:I44"/>
    <mergeCell ref="A40:I40"/>
    <mergeCell ref="B4:G4"/>
    <mergeCell ref="A9:I9"/>
    <mergeCell ref="A31:I31"/>
    <mergeCell ref="A39:I39"/>
    <mergeCell ref="A34:I34"/>
    <mergeCell ref="A48:I48"/>
    <mergeCell ref="A30:I30"/>
    <mergeCell ref="A24:I24"/>
    <mergeCell ref="A15:I15"/>
    <mergeCell ref="A11:I11"/>
    <mergeCell ref="A51:I51"/>
    <mergeCell ref="A49:I49"/>
    <mergeCell ref="A36:I36"/>
    <mergeCell ref="A1:I1"/>
    <mergeCell ref="A45:I45"/>
    <mergeCell ref="A16:I16"/>
  </mergeCells>
  <printOptions horizontalCentered="1"/>
  <pageMargins left="0.3149606299212598" right="0.3149606299212598" top="0.3543307086614174" bottom="0.3543307086614174" header="0.3149606299212598" footer="0.3149606299212598"/>
  <pageSetup orientation="portrait" paperSize="9" scale="91"/>
</worksheet>
</file>

<file path=xl/worksheets/sheet63.xml><?xml version="1.0" encoding="utf-8"?>
<worksheet xmlns="http://schemas.openxmlformats.org/spreadsheetml/2006/main">
  <sheetPr codeName="Feuil64">
    <tabColor theme="4" tint="0.5999938962981048"/>
    <outlinePr summaryBelow="1" summaryRight="1"/>
    <pageSetUpPr fitToPage="1"/>
  </sheetPr>
  <dimension ref="A1:I31"/>
  <sheetViews>
    <sheetView showGridLines="0" topLeftCell="A16" workbookViewId="0">
      <selection activeCell="B14" sqref="B14"/>
    </sheetView>
  </sheetViews>
  <sheetFormatPr baseColWidth="10" defaultRowHeight="15"/>
  <cols>
    <col width="21.140625" customWidth="1" style="1225" min="2" max="2"/>
    <col width="12.42578125" customWidth="1" style="1225" min="3" max="3"/>
    <col width="8.140625" customWidth="1" style="1225" min="4" max="4"/>
    <col width="14.85546875" customWidth="1" style="1225" min="5" max="5"/>
    <col width="10.28515625" customWidth="1" style="1225" min="6" max="6"/>
    <col width="6.85546875" customWidth="1" style="1225" min="7" max="7"/>
  </cols>
  <sheetData>
    <row r="1" ht="12.75" customHeight="1" s="1225">
      <c r="A1" s="1429" t="inlineStr">
        <is>
          <t>- 0 -</t>
        </is>
      </c>
    </row>
    <row r="2" ht="23.25" customHeight="1" s="1225">
      <c r="A2" s="1429" t="n"/>
      <c r="B2" s="1429" t="n"/>
      <c r="C2" s="1429" t="n"/>
      <c r="D2" s="1429" t="n"/>
      <c r="E2" s="1429" t="n"/>
      <c r="F2" s="1429" t="n"/>
      <c r="G2" s="29" t="n"/>
      <c r="H2" s="1812" t="inlineStr">
        <is>
          <t>NOTE 37
SYSTEME NORMAL</t>
        </is>
      </c>
      <c r="I2" s="1274" t="n"/>
    </row>
    <row r="3" ht="15" customFormat="1" customHeight="1" s="1382">
      <c r="A3" s="1451" t="inlineStr">
        <is>
          <t>Dénomination sociale de l'entité :</t>
        </is>
      </c>
      <c r="B3" s="1451" t="n"/>
      <c r="C3" s="1276">
        <f>'NOTE 31'!C3</f>
        <v/>
      </c>
      <c r="D3" s="1277" t="n"/>
      <c r="E3" s="1277" t="n"/>
      <c r="F3" s="1277" t="n"/>
      <c r="G3" s="1277" t="n"/>
      <c r="H3" s="1277" t="n"/>
    </row>
    <row r="4" ht="15" customFormat="1" customHeight="1" s="1382">
      <c r="A4" s="1451" t="inlineStr">
        <is>
          <t>Adresse :</t>
        </is>
      </c>
      <c r="B4" s="1488">
        <f>'NOTE 31'!B4</f>
        <v/>
      </c>
      <c r="C4" s="1288" t="n"/>
      <c r="D4" s="1288" t="n"/>
      <c r="E4" s="1288" t="n"/>
      <c r="F4" s="1288" t="n"/>
      <c r="G4" s="1288" t="n"/>
      <c r="H4" s="1589" t="inlineStr">
        <is>
          <t>Sigle usuel :</t>
        </is>
      </c>
      <c r="I4" s="1280">
        <f>'NOTE 31'!K4</f>
        <v/>
      </c>
    </row>
    <row r="5" ht="15" customFormat="1" customHeight="1" s="1382">
      <c r="A5" s="1451" t="inlineStr">
        <is>
          <t>N° IFU :</t>
        </is>
      </c>
      <c r="B5" s="1451" t="n"/>
      <c r="C5" s="1276">
        <f>'NOTE 31'!C5</f>
        <v/>
      </c>
      <c r="D5" s="1277" t="n"/>
      <c r="E5" s="1457" t="inlineStr">
        <is>
          <t>Exercice clos le :</t>
        </is>
      </c>
      <c r="F5" s="1563" t="n"/>
      <c r="H5" s="1589" t="inlineStr">
        <is>
          <t>Durée (en mois) :</t>
        </is>
      </c>
      <c r="I5" s="1970">
        <f>'NOTE 31'!K5</f>
        <v/>
      </c>
    </row>
    <row r="6" ht="15" customFormat="1" customHeight="1" s="1382">
      <c r="A6" s="259" t="inlineStr">
        <is>
          <t xml:space="preserve">N° de télédéclarant (NES): </t>
        </is>
      </c>
      <c r="B6" s="1451" t="n"/>
      <c r="C6" s="1520">
        <f>'NOTE 31'!C6</f>
        <v/>
      </c>
      <c r="D6" s="1521" t="n"/>
      <c r="E6" s="253" t="n"/>
      <c r="F6" s="1970" t="n"/>
      <c r="G6" s="254" t="n"/>
      <c r="H6" s="1970" t="n"/>
      <c r="I6" s="258" t="n"/>
    </row>
    <row r="7" ht="35.1" customHeight="1" s="1225" thickBot="1">
      <c r="A7" s="1341" t="inlineStr">
        <is>
          <t>NOTE 37 : EVENEMENTS POSTERIEURS A LA CLOTURE DE L'EXERCICE</t>
        </is>
      </c>
    </row>
    <row r="8">
      <c r="A8" s="940" t="inlineStr">
        <is>
          <t xml:space="preserve">Date d'arrêté des états financiers : </t>
        </is>
      </c>
      <c r="B8" s="941" t="n"/>
      <c r="C8" s="942" t="n"/>
      <c r="D8" s="941" t="n"/>
      <c r="E8" s="941" t="n"/>
      <c r="F8" s="941" t="n"/>
      <c r="G8" s="941" t="n"/>
      <c r="H8" s="941" t="n"/>
      <c r="I8" s="943" t="n"/>
    </row>
    <row r="9">
      <c r="A9" s="944" t="n"/>
      <c r="B9" s="342" t="n"/>
      <c r="C9" s="342" t="n"/>
      <c r="D9" s="342" t="n"/>
      <c r="E9" s="342" t="n"/>
      <c r="F9" s="342" t="n"/>
      <c r="G9" s="342" t="n"/>
      <c r="H9" s="342" t="n"/>
      <c r="I9" s="945" t="n"/>
    </row>
    <row r="10">
      <c r="A10" s="946" t="inlineStr">
        <is>
          <t>Organe ayant autorisé la publication des comptes :</t>
        </is>
      </c>
      <c r="B10" s="342" t="n"/>
      <c r="C10" s="342" t="n"/>
      <c r="D10" s="1814" t="n"/>
      <c r="E10" s="1239" t="n"/>
      <c r="F10" s="1239" t="n"/>
      <c r="G10" s="1239" t="n"/>
      <c r="H10" s="1239" t="n"/>
      <c r="I10" s="1815" t="n"/>
    </row>
    <row r="11">
      <c r="A11" s="947" t="n"/>
      <c r="B11" s="343" t="n"/>
      <c r="C11" s="343" t="n"/>
      <c r="D11" s="343" t="n"/>
      <c r="E11" s="343" t="n"/>
      <c r="F11" s="343" t="n"/>
      <c r="G11" s="343" t="n"/>
      <c r="H11" s="343" t="n"/>
      <c r="I11" s="948" t="n"/>
    </row>
    <row r="12" ht="19.5" customFormat="1" customHeight="1" s="1590">
      <c r="A12" s="949" t="inlineStr">
        <is>
          <t>A - EVENEMENTS POSTERIEURS A LA DATE DE CLOTURE DONNANT LIEU A DES AJUSTEMENTS DES ETATS FINANCIERS</t>
        </is>
      </c>
      <c r="B12" s="344" t="n"/>
      <c r="C12" s="344" t="n"/>
      <c r="D12" s="344" t="n"/>
      <c r="E12" s="344" t="n"/>
      <c r="F12" s="344" t="n"/>
      <c r="G12" s="344" t="n"/>
      <c r="H12" s="344" t="n"/>
      <c r="I12" s="950" t="n"/>
    </row>
    <row r="13">
      <c r="A13" s="951" t="inlineStr">
        <is>
          <t xml:space="preserve"> </t>
        </is>
      </c>
      <c r="B13" s="345" t="n"/>
      <c r="C13" s="345" t="n"/>
      <c r="D13" s="345" t="n"/>
      <c r="E13" s="345" t="n"/>
      <c r="F13" s="345" t="n"/>
      <c r="G13" s="345" t="n"/>
      <c r="H13" s="345" t="n"/>
      <c r="I13" s="952" t="n"/>
    </row>
    <row r="14">
      <c r="A14" s="953" t="inlineStr">
        <is>
          <t xml:space="preserve">Commentaire : </t>
        </is>
      </c>
      <c r="B14" s="341" t="n"/>
      <c r="C14" s="341" t="n"/>
      <c r="D14" s="341" t="n"/>
      <c r="E14" s="341" t="n"/>
      <c r="F14" s="341" t="n"/>
      <c r="G14" s="341" t="n"/>
      <c r="H14" s="341" t="n"/>
      <c r="I14" s="954" t="n"/>
    </row>
    <row r="15" ht="54" customHeight="1" s="1225">
      <c r="A15" s="1813" t="n"/>
      <c r="B15" s="1229" t="n"/>
      <c r="C15" s="1229" t="n"/>
      <c r="D15" s="1229" t="n"/>
      <c r="E15" s="1229" t="n"/>
      <c r="F15" s="1229" t="n"/>
      <c r="G15" s="1229" t="n"/>
      <c r="H15" s="1229" t="n"/>
      <c r="I15" s="1534" t="n"/>
    </row>
    <row r="16">
      <c r="A16" s="1811" t="inlineStr">
        <is>
          <t>Indiquer la nature des événements postérieurs à la date de clôture donnant lieu à des ajustements des états financiers.</t>
        </is>
      </c>
      <c r="I16" s="1408" t="n"/>
    </row>
    <row r="17">
      <c r="A17" s="955" t="inlineStr">
        <is>
          <t>Pour chaque événement, donnez des précisions sur les comptes qui ont fait l'objet d'un ajustement.</t>
        </is>
      </c>
      <c r="B17" s="341" t="n"/>
      <c r="C17" s="341" t="n"/>
      <c r="D17" s="341" t="n"/>
      <c r="E17" s="341" t="n"/>
      <c r="F17" s="341" t="n"/>
      <c r="G17" s="341" t="n"/>
      <c r="H17" s="341" t="n"/>
      <c r="I17" s="954" t="n"/>
    </row>
    <row r="18" ht="54" customHeight="1" s="1225">
      <c r="A18" s="1809" t="n"/>
      <c r="B18" s="1258" t="n"/>
      <c r="C18" s="1258" t="n"/>
      <c r="D18" s="1258" t="n"/>
      <c r="E18" s="1258" t="n"/>
      <c r="F18" s="1258" t="n"/>
      <c r="G18" s="1258" t="n"/>
      <c r="H18" s="1258" t="n"/>
      <c r="I18" s="1810" t="n"/>
    </row>
    <row r="19" ht="19.5" customFormat="1" customHeight="1" s="1590">
      <c r="A19" s="949" t="inlineStr">
        <is>
          <t>B - EVENEMENTS POSTERIEURS A LA DATE DE CLOTURE NE DONNANT LIEU A DES AJUSTEMENTS DES ETATS FINANCIERS</t>
        </is>
      </c>
      <c r="B19" s="344" t="n"/>
      <c r="C19" s="344" t="n"/>
      <c r="D19" s="344" t="n"/>
      <c r="E19" s="344" t="n"/>
      <c r="F19" s="344" t="n"/>
      <c r="G19" s="344" t="n"/>
      <c r="H19" s="344" t="n"/>
      <c r="I19" s="950" t="n"/>
    </row>
    <row r="20">
      <c r="A20" s="951" t="n"/>
      <c r="B20" s="345" t="n"/>
      <c r="C20" s="345" t="n"/>
      <c r="D20" s="345" t="n"/>
      <c r="E20" s="345" t="n"/>
      <c r="F20" s="345" t="n"/>
      <c r="G20" s="345" t="n"/>
      <c r="H20" s="345" t="n"/>
      <c r="I20" s="952" t="n"/>
    </row>
    <row r="21">
      <c r="A21" s="953" t="inlineStr">
        <is>
          <t xml:space="preserve">Commentaire : </t>
        </is>
      </c>
      <c r="B21" s="341" t="n"/>
      <c r="C21" s="341" t="n"/>
      <c r="D21" s="341" t="n"/>
      <c r="E21" s="341" t="n"/>
      <c r="F21" s="341" t="n"/>
      <c r="G21" s="341" t="n"/>
      <c r="H21" s="341" t="n"/>
      <c r="I21" s="954" t="n"/>
    </row>
    <row r="22" ht="54" customHeight="1" s="1225">
      <c r="A22" s="1809" t="n"/>
      <c r="B22" s="1258" t="n"/>
      <c r="C22" s="1258" t="n"/>
      <c r="D22" s="1258" t="n"/>
      <c r="E22" s="1258" t="n"/>
      <c r="F22" s="1258" t="n"/>
      <c r="G22" s="1258" t="n"/>
      <c r="H22" s="1258" t="n"/>
      <c r="I22" s="1810" t="n"/>
    </row>
    <row r="23">
      <c r="A23" s="955" t="inlineStr">
        <is>
          <t>Procéder à une estimation de l'impact financier de chaque événement ou l'indication que cette estimation ne peut être fournie.</t>
        </is>
      </c>
      <c r="B23" s="341" t="n"/>
      <c r="C23" s="341" t="n"/>
      <c r="D23" s="341" t="n"/>
      <c r="E23" s="341" t="n"/>
      <c r="F23" s="341" t="n"/>
      <c r="G23" s="341" t="n"/>
      <c r="H23" s="341" t="n"/>
      <c r="I23" s="954" t="n"/>
    </row>
    <row r="24" ht="54" customHeight="1" s="1225">
      <c r="A24" s="1809" t="n"/>
      <c r="B24" s="1258" t="n"/>
      <c r="C24" s="1258" t="n"/>
      <c r="D24" s="1258" t="n"/>
      <c r="E24" s="1258" t="n"/>
      <c r="F24" s="1258" t="n"/>
      <c r="G24" s="1258" t="n"/>
      <c r="H24" s="1258" t="n"/>
      <c r="I24" s="1810" t="n"/>
    </row>
    <row r="25" ht="19.5" customFormat="1" customHeight="1" s="1590">
      <c r="A25" s="949" t="inlineStr">
        <is>
          <t>C - EVENEMENTS REMETTANT  EN CAUSE L'HYPOTHESE DE BASE DE CONTINUITE D'EXPLOITATION</t>
        </is>
      </c>
      <c r="B25" s="344" t="n"/>
      <c r="C25" s="344" t="n"/>
      <c r="D25" s="344" t="n"/>
      <c r="E25" s="344" t="n"/>
      <c r="F25" s="344" t="n"/>
      <c r="G25" s="344" t="n"/>
      <c r="H25" s="344" t="n"/>
      <c r="I25" s="950" t="n"/>
    </row>
    <row r="26">
      <c r="A26" s="951" t="n"/>
      <c r="B26" s="345" t="n"/>
      <c r="C26" s="345" t="n"/>
      <c r="D26" s="345" t="n"/>
      <c r="E26" s="345" t="n"/>
      <c r="F26" s="345" t="n"/>
      <c r="G26" s="345" t="n"/>
      <c r="H26" s="345" t="n"/>
      <c r="I26" s="952" t="n"/>
    </row>
    <row r="27">
      <c r="A27" s="953" t="inlineStr">
        <is>
          <t xml:space="preserve">Commentaire : </t>
        </is>
      </c>
      <c r="B27" s="341" t="n"/>
      <c r="C27" s="341" t="n"/>
      <c r="D27" s="341" t="n"/>
      <c r="E27" s="341" t="n"/>
      <c r="F27" s="341" t="n"/>
      <c r="G27" s="341" t="n"/>
      <c r="H27" s="341" t="n"/>
      <c r="I27" s="954" t="n"/>
    </row>
    <row r="28" ht="54" customHeight="1" s="1225">
      <c r="A28" s="1809" t="n"/>
      <c r="B28" s="1258" t="n"/>
      <c r="C28" s="1258" t="n"/>
      <c r="D28" s="1258" t="n"/>
      <c r="E28" s="1258" t="n"/>
      <c r="F28" s="1258" t="n"/>
      <c r="G28" s="1258" t="n"/>
      <c r="H28" s="1258" t="n"/>
      <c r="I28" s="1810" t="n"/>
    </row>
    <row r="29">
      <c r="A29" s="1811" t="inlineStr">
        <is>
          <t xml:space="preserve">	Indiquer la nature de l'événement (ou des événements) ayant entrainé la remise en cause de la continuité d'exploitation._x000D_
_x000D_
</t>
        </is>
      </c>
      <c r="I29" s="1408" t="n"/>
    </row>
    <row r="30">
      <c r="A30" s="1811" t="inlineStr">
        <is>
          <t>Donner des précisions sur les valeurs liquidatives retenues</t>
        </is>
      </c>
      <c r="I30" s="1408" t="n"/>
    </row>
    <row r="31" ht="54" customHeight="1" s="1225" thickBot="1">
      <c r="A31" s="1806" t="n"/>
      <c r="B31" s="1807" t="n"/>
      <c r="C31" s="1807" t="n"/>
      <c r="D31" s="1807" t="n"/>
      <c r="E31" s="1807" t="n"/>
      <c r="F31" s="1807" t="n"/>
      <c r="G31" s="1807" t="n"/>
      <c r="H31" s="1807" t="n"/>
      <c r="I31" s="1808" t="n"/>
    </row>
  </sheetData>
  <mergeCells count="17">
    <mergeCell ref="A15:I15"/>
    <mergeCell ref="A7:I7"/>
    <mergeCell ref="A29:I29"/>
    <mergeCell ref="D10:I10"/>
    <mergeCell ref="H2:I2"/>
    <mergeCell ref="C6:D6"/>
    <mergeCell ref="A28:I28"/>
    <mergeCell ref="C5:D5"/>
    <mergeCell ref="C3:H3"/>
    <mergeCell ref="A1:I1"/>
    <mergeCell ref="B4:G4"/>
    <mergeCell ref="A18:I18"/>
    <mergeCell ref="A31:I31"/>
    <mergeCell ref="A22:I22"/>
    <mergeCell ref="A24:I24"/>
    <mergeCell ref="A30:I30"/>
    <mergeCell ref="A16:I16"/>
  </mergeCells>
  <printOptions horizontalCentered="1"/>
  <pageMargins left="0.3149606299212598" right="0.3149606299212598" top="0.3543307086614174" bottom="0.3543307086614174" header="0.3149606299212598" footer="0.3149606299212598"/>
  <pageSetup orientation="portrait" paperSize="9" scale="89"/>
</worksheet>
</file>

<file path=xl/worksheets/sheet64.xml><?xml version="1.0" encoding="utf-8"?>
<worksheet xmlns="http://schemas.openxmlformats.org/spreadsheetml/2006/main">
  <sheetPr codeName="Feuil65">
    <tabColor theme="4" tint="0.5999938962981048"/>
    <outlinePr summaryBelow="1" summaryRight="1"/>
    <pageSetUpPr fitToPage="1"/>
  </sheetPr>
  <dimension ref="A1:I47"/>
  <sheetViews>
    <sheetView showGridLines="0" topLeftCell="A31" workbookViewId="0">
      <selection activeCell="B14" sqref="B14"/>
    </sheetView>
  </sheetViews>
  <sheetFormatPr baseColWidth="10" defaultRowHeight="15"/>
  <cols>
    <col width="17.140625" customWidth="1" style="1225" min="2" max="2"/>
    <col width="8.28515625" customWidth="1" style="1225" min="3" max="3"/>
    <col width="9.140625" customWidth="1" style="1225" min="4" max="4"/>
    <col width="16.7109375" customWidth="1" style="1225" min="5" max="5"/>
    <col width="6" customWidth="1" style="1225" min="7" max="7"/>
  </cols>
  <sheetData>
    <row r="1" ht="12.75" customHeight="1" s="1225">
      <c r="A1" s="1429" t="inlineStr">
        <is>
          <t>- 0 -</t>
        </is>
      </c>
    </row>
    <row r="2" ht="24.75" customHeight="1" s="1225">
      <c r="A2" s="1429" t="n"/>
      <c r="B2" s="1429" t="n"/>
      <c r="C2" s="1429" t="n"/>
      <c r="D2" s="1429" t="n"/>
      <c r="E2" s="1429" t="n"/>
      <c r="F2" s="1429" t="n"/>
      <c r="G2" s="29" t="n"/>
      <c r="H2" s="1812" t="inlineStr">
        <is>
          <t>NOTE 38
SYSTEME NORMAL</t>
        </is>
      </c>
      <c r="I2" s="1274" t="n"/>
    </row>
    <row r="3" ht="15" customFormat="1" customHeight="1" s="1382">
      <c r="A3" s="1451" t="inlineStr">
        <is>
          <t>Dénomination sociale de l'entité :</t>
        </is>
      </c>
      <c r="B3" s="1451" t="n"/>
      <c r="C3" s="1276">
        <f>'NOTE 31'!C3</f>
        <v/>
      </c>
      <c r="D3" s="1277" t="n"/>
      <c r="E3" s="1277" t="n"/>
      <c r="F3" s="1277" t="n"/>
      <c r="G3" s="1277" t="n"/>
      <c r="H3" s="1277" t="n"/>
    </row>
    <row r="4" ht="15" customFormat="1" customHeight="1" s="1382">
      <c r="A4" s="1451" t="inlineStr">
        <is>
          <t>Adresse :</t>
        </is>
      </c>
      <c r="B4" s="1276">
        <f>'NOTE 31'!B4</f>
        <v/>
      </c>
      <c r="C4" s="1277" t="n"/>
      <c r="D4" s="1277" t="n"/>
      <c r="E4" s="1277" t="n"/>
      <c r="H4" s="1589" t="inlineStr">
        <is>
          <t>Sigle usuel :</t>
        </is>
      </c>
      <c r="I4" s="1280">
        <f>'NOTE 31'!K4</f>
        <v/>
      </c>
    </row>
    <row r="5" ht="15" customFormat="1" customHeight="1" s="1382">
      <c r="A5" s="1451" t="inlineStr">
        <is>
          <t>N° IFU :</t>
        </is>
      </c>
      <c r="B5" s="1451" t="n"/>
      <c r="C5" s="1280">
        <f>'NOTE 31'!C5</f>
        <v/>
      </c>
      <c r="D5" s="1279" t="n"/>
      <c r="E5" s="1457" t="inlineStr">
        <is>
          <t>Exercice clos le :</t>
        </is>
      </c>
      <c r="F5" s="1563">
        <f>'NOTE 31'!H5</f>
        <v/>
      </c>
      <c r="H5" s="1589" t="inlineStr">
        <is>
          <t>Durée (en mois) :</t>
        </is>
      </c>
      <c r="I5" s="1970">
        <f>'NOTE 31'!K5</f>
        <v/>
      </c>
    </row>
    <row r="6" ht="15" customFormat="1" customHeight="1" s="1382">
      <c r="A6" s="259" t="inlineStr">
        <is>
          <t xml:space="preserve">N° de télédéclarant (NES): </t>
        </is>
      </c>
      <c r="B6" s="1451" t="n"/>
      <c r="C6" s="1520">
        <f>'NOTE 31'!C6</f>
        <v/>
      </c>
      <c r="D6" s="1521" t="n"/>
      <c r="E6" s="253" t="n"/>
      <c r="F6" s="1970" t="n"/>
      <c r="G6" s="254" t="n"/>
      <c r="H6" s="1970" t="n"/>
      <c r="I6" s="258" t="n"/>
    </row>
    <row r="7" ht="43.5" customHeight="1" s="1225">
      <c r="A7" s="1284" t="inlineStr">
        <is>
          <t>NOTE 38 : CHANGEMENTS DE METHODES COMPTABLES, D'ESTIMATIONS
ET CORRECTIONS D'ERREURS</t>
        </is>
      </c>
    </row>
    <row r="8" ht="15" customHeight="1" s="1225" thickBot="1"/>
    <row r="9" customFormat="1" s="1590">
      <c r="A9" s="1816" t="inlineStr">
        <is>
          <t>A – CHANGEMENTS DE METHODES COMPTABLES</t>
        </is>
      </c>
      <c r="B9" s="1817" t="n"/>
      <c r="C9" s="1817" t="n"/>
      <c r="D9" s="1817" t="n"/>
      <c r="E9" s="1817" t="n"/>
      <c r="F9" s="1817" t="n"/>
      <c r="G9" s="1817" t="n"/>
      <c r="H9" s="1817" t="n"/>
      <c r="I9" s="1818" t="n"/>
    </row>
    <row r="10">
      <c r="A10" s="755" t="n"/>
      <c r="B10" s="1458" t="n"/>
      <c r="C10" s="1458" t="n"/>
      <c r="D10" s="1458" t="n"/>
      <c r="E10" s="1458" t="n"/>
      <c r="F10" s="1458" t="n"/>
      <c r="G10" s="1458" t="n"/>
      <c r="H10" s="1458" t="n"/>
      <c r="I10" s="956" t="n"/>
    </row>
    <row r="11">
      <c r="A11" s="1820" t="inlineStr">
        <is>
          <t xml:space="preserve">1.       Changement de réglementation comptable </t>
        </is>
      </c>
      <c r="I11" s="1408" t="n"/>
    </row>
    <row r="12">
      <c r="A12" s="953" t="inlineStr">
        <is>
          <t xml:space="preserve">Commentaire : </t>
        </is>
      </c>
      <c r="B12" s="341" t="n"/>
      <c r="C12" s="341" t="n"/>
      <c r="D12" s="341" t="n"/>
      <c r="E12" s="341" t="n"/>
      <c r="F12" s="341" t="n"/>
      <c r="G12" s="341" t="n"/>
      <c r="H12" s="341" t="n"/>
      <c r="I12" s="954" t="n"/>
    </row>
    <row r="13">
      <c r="A13" s="955" t="inlineStr">
        <is>
          <t>•   l’entité doit indiquer l’impact du changement  de réglementation comptable (par exemple lors du passage</t>
        </is>
      </c>
      <c r="B13" s="341" t="n"/>
      <c r="C13" s="341" t="n"/>
      <c r="D13" s="341" t="n"/>
      <c r="E13" s="341" t="n"/>
      <c r="F13" s="341" t="n"/>
      <c r="G13" s="341" t="n"/>
      <c r="H13" s="341" t="n"/>
      <c r="I13" s="954" t="n"/>
    </row>
    <row r="14">
      <c r="A14" s="955" t="inlineStr">
        <is>
          <t xml:space="preserve">    au SYSCOHADA révisé) déterminé à l’ouverture en précisant les postes concernés ; </t>
        </is>
      </c>
      <c r="B14" s="341" t="n"/>
      <c r="C14" s="341" t="n"/>
      <c r="D14" s="341" t="n"/>
      <c r="E14" s="341" t="n"/>
      <c r="F14" s="341" t="n"/>
      <c r="G14" s="341" t="n"/>
      <c r="H14" s="341" t="n"/>
      <c r="I14" s="954" t="n"/>
    </row>
    <row r="15">
      <c r="A15" s="955" t="n"/>
      <c r="B15" s="341" t="n"/>
      <c r="C15" s="341" t="n"/>
      <c r="D15" s="341" t="n"/>
      <c r="E15" s="341" t="n"/>
      <c r="F15" s="341" t="n"/>
      <c r="G15" s="341" t="n"/>
      <c r="H15" s="341" t="n"/>
      <c r="I15" s="954" t="n"/>
    </row>
    <row r="16">
      <c r="A16" s="955" t="inlineStr">
        <is>
          <t>•  l’entité doit présenter les  principaux postes des exercices antérieurs présentés, retraités selon la</t>
        </is>
      </c>
      <c r="B16" s="341" t="n"/>
      <c r="C16" s="341" t="n"/>
      <c r="D16" s="341" t="n"/>
      <c r="E16" s="341" t="n"/>
      <c r="F16" s="341" t="n"/>
      <c r="G16" s="341" t="n"/>
      <c r="H16" s="341" t="n"/>
      <c r="I16" s="954" t="n"/>
    </row>
    <row r="17">
      <c r="A17" s="955" t="inlineStr">
        <is>
          <t xml:space="preserve">   nouvelle méthode en cas de changement de réglementation comptable appliqué de manière rétrospective,</t>
        </is>
      </c>
      <c r="B17" s="341" t="n"/>
      <c r="C17" s="341" t="n"/>
      <c r="D17" s="341" t="n"/>
      <c r="E17" s="341" t="n"/>
      <c r="F17" s="341" t="n"/>
      <c r="G17" s="341" t="n"/>
      <c r="H17" s="341" t="n"/>
      <c r="I17" s="954" t="n"/>
    </row>
    <row r="18">
      <c r="A18" s="955" t="n"/>
      <c r="B18" s="341" t="n"/>
      <c r="C18" s="341" t="n"/>
      <c r="D18" s="341" t="n"/>
      <c r="E18" s="341" t="n"/>
      <c r="F18" s="341" t="n"/>
      <c r="G18" s="341" t="n"/>
      <c r="H18" s="341" t="n"/>
      <c r="I18" s="954" t="n"/>
    </row>
    <row r="19">
      <c r="A19" s="1811" t="inlineStr">
        <is>
          <t xml:space="preserve">•  l’entité doit indiquer l’impact du changement sur les principaux postes concernés de l’exercice  en cas </t>
        </is>
      </c>
      <c r="I19" s="1408" t="n"/>
    </row>
    <row r="20">
      <c r="A20" s="955" t="inlineStr">
        <is>
          <t xml:space="preserve">   de changement de réglementation comptable appliqué de manière prospective.</t>
        </is>
      </c>
      <c r="B20" s="341" t="n"/>
      <c r="C20" s="341" t="n"/>
      <c r="D20" s="341" t="n"/>
      <c r="E20" s="341" t="n"/>
      <c r="F20" s="341" t="n"/>
      <c r="G20" s="341" t="n"/>
      <c r="H20" s="341" t="n"/>
      <c r="I20" s="954" t="n"/>
    </row>
    <row r="21">
      <c r="A21" s="955" t="n"/>
      <c r="B21" s="341" t="n"/>
      <c r="C21" s="341" t="n"/>
      <c r="D21" s="341" t="n"/>
      <c r="E21" s="341" t="n"/>
      <c r="F21" s="341" t="n"/>
      <c r="G21" s="341" t="n"/>
      <c r="H21" s="341" t="n"/>
      <c r="I21" s="954" t="n"/>
    </row>
    <row r="22">
      <c r="A22" s="957" t="inlineStr">
        <is>
          <t xml:space="preserve">2.       Changement de méthode à l’initiative de l’entité </t>
        </is>
      </c>
      <c r="B22" s="341" t="n"/>
      <c r="C22" s="341" t="n"/>
      <c r="D22" s="341" t="n"/>
      <c r="E22" s="341" t="n"/>
      <c r="F22" s="341" t="n"/>
      <c r="G22" s="341" t="n"/>
      <c r="H22" s="341" t="n"/>
      <c r="I22" s="954" t="n"/>
    </row>
    <row r="23">
      <c r="A23" s="953" t="inlineStr">
        <is>
          <t xml:space="preserve">Commentaire : </t>
        </is>
      </c>
      <c r="B23" s="341" t="n"/>
      <c r="C23" s="341" t="n"/>
      <c r="D23" s="341" t="n"/>
      <c r="E23" s="341" t="n"/>
      <c r="F23" s="341" t="n"/>
      <c r="G23" s="341" t="n"/>
      <c r="H23" s="341" t="n"/>
      <c r="I23" s="954" t="n"/>
    </row>
    <row r="24">
      <c r="A24" s="955" t="n"/>
      <c r="B24" s="341" t="n"/>
      <c r="C24" s="341" t="n"/>
      <c r="D24" s="341" t="n"/>
      <c r="E24" s="341" t="n"/>
      <c r="F24" s="341" t="n"/>
      <c r="G24" s="341" t="n"/>
      <c r="H24" s="341" t="n"/>
      <c r="I24" s="954" t="n"/>
    </row>
    <row r="25">
      <c r="A25" s="955" t="inlineStr">
        <is>
          <t>•   l’entité doit indiquer et justifier le changement de méthode comptable ;</t>
        </is>
      </c>
      <c r="B25" s="341" t="n"/>
      <c r="C25" s="341" t="n"/>
      <c r="D25" s="341" t="n"/>
      <c r="E25" s="341" t="n"/>
      <c r="F25" s="341" t="n"/>
      <c r="G25" s="341" t="n"/>
      <c r="H25" s="341" t="n"/>
      <c r="I25" s="954" t="n"/>
    </row>
    <row r="26">
      <c r="A26" s="955" t="n"/>
      <c r="B26" s="341" t="n"/>
      <c r="C26" s="341" t="n"/>
      <c r="D26" s="341" t="n"/>
      <c r="E26" s="341" t="n"/>
      <c r="F26" s="341" t="n"/>
      <c r="G26" s="341" t="n"/>
      <c r="H26" s="341" t="n"/>
      <c r="I26" s="954" t="n"/>
    </row>
    <row r="27">
      <c r="A27" s="955" t="inlineStr">
        <is>
          <t>•   l’entité doit indiquer l’impact du changement de méthode comptable déterminé à l’ouverture en précisant</t>
        </is>
      </c>
      <c r="B27" s="341" t="n"/>
      <c r="C27" s="341" t="n"/>
      <c r="D27" s="341" t="n"/>
      <c r="E27" s="341" t="n"/>
      <c r="F27" s="341" t="n"/>
      <c r="G27" s="341" t="n"/>
      <c r="H27" s="341" t="n"/>
      <c r="I27" s="954" t="n"/>
    </row>
    <row r="28">
      <c r="A28" s="955" t="inlineStr">
        <is>
          <t xml:space="preserve">    les postes concernés ;</t>
        </is>
      </c>
      <c r="B28" s="341" t="n"/>
      <c r="C28" s="341" t="n"/>
      <c r="D28" s="341" t="n"/>
      <c r="E28" s="341" t="n"/>
      <c r="F28" s="341" t="n"/>
      <c r="G28" s="341" t="n"/>
      <c r="H28" s="341" t="n"/>
      <c r="I28" s="954" t="n"/>
    </row>
    <row r="29">
      <c r="A29" s="955" t="n"/>
      <c r="B29" s="341" t="n"/>
      <c r="C29" s="341" t="n"/>
      <c r="D29" s="341" t="n"/>
      <c r="E29" s="341" t="n"/>
      <c r="F29" s="341" t="n"/>
      <c r="G29" s="341" t="n"/>
      <c r="H29" s="341" t="n"/>
      <c r="I29" s="954" t="n"/>
    </row>
    <row r="30">
      <c r="A30" s="955" t="inlineStr">
        <is>
          <t>•   l’entité doit présenter les  principaux postes des exercices antérieurs présentés, retraités selon la</t>
        </is>
      </c>
      <c r="B30" s="341" t="n"/>
      <c r="C30" s="341" t="n"/>
      <c r="D30" s="341" t="n"/>
      <c r="E30" s="341" t="n"/>
      <c r="F30" s="341" t="n"/>
      <c r="G30" s="341" t="n"/>
      <c r="H30" s="341" t="n"/>
      <c r="I30" s="954" t="n"/>
    </row>
    <row r="31">
      <c r="A31" s="955" t="inlineStr">
        <is>
          <t xml:space="preserve">    nouvelle méthode en cas de changement de méthode comptable appliqué de manière rétrospective,</t>
        </is>
      </c>
      <c r="B31" s="341" t="n"/>
      <c r="C31" s="341" t="n"/>
      <c r="D31" s="341" t="n"/>
      <c r="E31" s="341" t="n"/>
      <c r="F31" s="341" t="n"/>
      <c r="G31" s="341" t="n"/>
      <c r="H31" s="341" t="n"/>
      <c r="I31" s="954" t="n"/>
    </row>
    <row r="32">
      <c r="A32" s="955" t="n"/>
      <c r="B32" s="341" t="n"/>
      <c r="C32" s="341" t="n"/>
      <c r="D32" s="341" t="n"/>
      <c r="E32" s="341" t="n"/>
      <c r="F32" s="341" t="n"/>
      <c r="G32" s="341" t="n"/>
      <c r="H32" s="341" t="n"/>
      <c r="I32" s="954" t="n"/>
    </row>
    <row r="33">
      <c r="A33" s="1811" t="inlineStr">
        <is>
          <t xml:space="preserve">•   l’entité doit indiquer les raisons d'une application prospective et  l’impact du changement sur les </t>
        </is>
      </c>
      <c r="I33" s="1408" t="n"/>
    </row>
    <row r="34">
      <c r="A34" s="955" t="inlineStr">
        <is>
          <t xml:space="preserve">    principaux postes concernés de l’exercice  en cas de changement deméthode comptable appliqué de manière </t>
        </is>
      </c>
      <c r="B34" s="341" t="n"/>
      <c r="C34" s="341" t="n"/>
      <c r="D34" s="341" t="n"/>
      <c r="E34" s="341" t="n"/>
      <c r="F34" s="341" t="n"/>
      <c r="G34" s="341" t="n"/>
      <c r="H34" s="341" t="n"/>
      <c r="I34" s="954" t="n"/>
    </row>
    <row r="35">
      <c r="A35" s="955" t="inlineStr">
        <is>
          <t xml:space="preserve">    prospective,</t>
        </is>
      </c>
      <c r="B35" s="341" t="n"/>
      <c r="C35" s="341" t="n"/>
      <c r="D35" s="341" t="n"/>
      <c r="E35" s="341" t="n"/>
      <c r="F35" s="341" t="n"/>
      <c r="G35" s="341" t="n"/>
      <c r="H35" s="341" t="n"/>
      <c r="I35" s="954" t="n"/>
    </row>
    <row r="36">
      <c r="A36" s="755" t="n"/>
      <c r="B36" s="1458" t="n"/>
      <c r="C36" s="1458" t="n"/>
      <c r="D36" s="1458" t="n"/>
      <c r="E36" s="1458" t="n"/>
      <c r="F36" s="1458" t="n"/>
      <c r="G36" s="1458" t="n"/>
      <c r="H36" s="1458" t="n"/>
      <c r="I36" s="956" t="n"/>
    </row>
    <row r="37" customFormat="1" s="1590">
      <c r="A37" s="1819" t="inlineStr">
        <is>
          <t xml:space="preserve">B – CHANGEMENTS D’ESTIMATIONS </t>
        </is>
      </c>
      <c r="B37" s="1253" t="n"/>
      <c r="C37" s="1253" t="n"/>
      <c r="D37" s="1253" t="n"/>
      <c r="E37" s="1253" t="n"/>
      <c r="F37" s="1253" t="n"/>
      <c r="G37" s="1253" t="n"/>
      <c r="H37" s="1253" t="n"/>
      <c r="I37" s="1414" t="n"/>
    </row>
    <row r="38">
      <c r="A38" s="755" t="n"/>
      <c r="B38" s="1458" t="n"/>
      <c r="C38" s="1458" t="n"/>
      <c r="D38" s="1458" t="n"/>
      <c r="E38" s="1458" t="n"/>
      <c r="F38" s="1458" t="n"/>
      <c r="G38" s="1458" t="n"/>
      <c r="H38" s="1458" t="n"/>
      <c r="I38" s="956" t="n"/>
    </row>
    <row r="39">
      <c r="A39" s="955" t="inlineStr">
        <is>
          <t xml:space="preserve">Commentaire : l’entité doit indiquer et justifier le changement d’estimation ; </t>
        </is>
      </c>
      <c r="B39" s="1458" t="n"/>
      <c r="C39" s="1458" t="n"/>
      <c r="D39" s="1458" t="n"/>
      <c r="E39" s="1458" t="n"/>
      <c r="F39" s="1458" t="n"/>
      <c r="G39" s="1458" t="n"/>
      <c r="H39" s="1458" t="n"/>
      <c r="I39" s="956" t="n"/>
    </row>
    <row r="40">
      <c r="A40" s="755" t="n"/>
      <c r="B40" s="1458" t="n"/>
      <c r="C40" s="1458" t="n"/>
      <c r="D40" s="1458" t="n"/>
      <c r="E40" s="1458" t="n"/>
      <c r="F40" s="1458" t="n"/>
      <c r="G40" s="1458" t="n"/>
      <c r="H40" s="1458" t="n"/>
      <c r="I40" s="956" t="n"/>
    </row>
    <row r="41" customFormat="1" s="1590">
      <c r="A41" s="1819" t="inlineStr">
        <is>
          <t>C – CORRECTIONS D’ERREURS</t>
        </is>
      </c>
      <c r="B41" s="1253" t="n"/>
      <c r="C41" s="1253" t="n"/>
      <c r="D41" s="1253" t="n"/>
      <c r="E41" s="1253" t="n"/>
      <c r="F41" s="1253" t="n"/>
      <c r="G41" s="1253" t="n"/>
      <c r="H41" s="1253" t="n"/>
      <c r="I41" s="1414" t="n"/>
    </row>
    <row r="42">
      <c r="A42" s="953" t="inlineStr">
        <is>
          <t xml:space="preserve">Commentaire : </t>
        </is>
      </c>
      <c r="B42" s="341" t="n"/>
      <c r="C42" s="341" t="n"/>
      <c r="D42" s="341" t="n"/>
      <c r="E42" s="341" t="n"/>
      <c r="F42" s="341" t="n"/>
      <c r="G42" s="341" t="n"/>
      <c r="H42" s="341" t="n"/>
      <c r="I42" s="954" t="n"/>
    </row>
    <row r="43">
      <c r="A43" s="1811" t="inlineStr">
        <is>
          <t xml:space="preserve">•  l’entité doit indiquer  la nature des erreurs corrigées (erreurs commises et découvertes sur l’exercice en cours </t>
        </is>
      </c>
      <c r="I43" s="1408" t="n"/>
    </row>
    <row r="44">
      <c r="A44" s="955" t="inlineStr">
        <is>
          <t xml:space="preserve">   et erreurs d’un exercice antérieur)  ;</t>
        </is>
      </c>
      <c r="B44" s="341" t="n"/>
      <c r="C44" s="341" t="n"/>
      <c r="D44" s="341" t="n"/>
      <c r="E44" s="341" t="n"/>
      <c r="F44" s="341" t="n"/>
      <c r="G44" s="341" t="n"/>
      <c r="H44" s="341" t="n"/>
      <c r="I44" s="954" t="n"/>
    </row>
    <row r="45">
      <c r="A45" s="1811" t="inlineStr">
        <is>
          <t xml:space="preserve">•  l’entité doit présenter les  principaux postes des exercices antérieurs présentés, corrigés des erreurs </t>
        </is>
      </c>
      <c r="I45" s="1408" t="n"/>
    </row>
    <row r="46">
      <c r="A46" s="955" t="inlineStr">
        <is>
          <t xml:space="preserve">   d’un exercice antérieur.</t>
        </is>
      </c>
      <c r="B46" s="341" t="n"/>
      <c r="C46" s="341" t="n"/>
      <c r="D46" s="341" t="n"/>
      <c r="E46" s="341" t="n"/>
      <c r="F46" s="341" t="n"/>
      <c r="G46" s="341" t="n"/>
      <c r="H46" s="341" t="n"/>
      <c r="I46" s="954" t="n"/>
    </row>
    <row r="47" ht="15" customHeight="1" s="1225" thickBot="1">
      <c r="A47" s="958" t="n"/>
      <c r="B47" s="959" t="n"/>
      <c r="C47" s="959" t="n"/>
      <c r="D47" s="959" t="n"/>
      <c r="E47" s="959" t="n"/>
      <c r="F47" s="959" t="n"/>
      <c r="G47" s="959" t="n"/>
      <c r="H47" s="959" t="n"/>
      <c r="I47" s="960" t="n"/>
    </row>
  </sheetData>
  <mergeCells count="15">
    <mergeCell ref="A7:I7"/>
    <mergeCell ref="A43:I43"/>
    <mergeCell ref="A41:I41"/>
    <mergeCell ref="H2:I2"/>
    <mergeCell ref="C6:D6"/>
    <mergeCell ref="B4:E4"/>
    <mergeCell ref="A11:I11"/>
    <mergeCell ref="A19:I19"/>
    <mergeCell ref="A33:I33"/>
    <mergeCell ref="A37:I37"/>
    <mergeCell ref="C5:D5"/>
    <mergeCell ref="A1:I1"/>
    <mergeCell ref="A45:I45"/>
    <mergeCell ref="A9:I9"/>
    <mergeCell ref="C3:H3"/>
  </mergeCells>
  <printOptions horizontalCentered="1"/>
  <pageMargins left="0.3149606299212598" right="0.3149606299212598" top="0.3543307086614174" bottom="0.3543307086614174" header="0.3149606299212598" footer="0.3149606299212598"/>
  <pageSetup orientation="portrait" paperSize="9" scale="94"/>
</worksheet>
</file>

<file path=xl/worksheets/sheet65.xml><?xml version="1.0" encoding="utf-8"?>
<worksheet xmlns="http://schemas.openxmlformats.org/spreadsheetml/2006/main">
  <sheetPr codeName="Feuil84">
    <tabColor theme="4" tint="0.5999938962981048"/>
    <outlinePr summaryBelow="1" summaryRight="1"/>
    <pageSetUpPr fitToPage="1"/>
  </sheetPr>
  <dimension ref="B2:M53"/>
  <sheetViews>
    <sheetView showGridLines="0" topLeftCell="A31" workbookViewId="0">
      <selection activeCell="B14" sqref="B14"/>
    </sheetView>
  </sheetViews>
  <sheetFormatPr baseColWidth="10" defaultRowHeight="15"/>
  <cols>
    <col width="1.28515625" customWidth="1" style="1225" min="1" max="1"/>
    <col width="0.85546875" customWidth="1" style="1225" min="2" max="2"/>
    <col width="1.28515625" customWidth="1" style="1225" min="3" max="3"/>
    <col width="8.7109375" customWidth="1" style="1225" min="4" max="4"/>
    <col width="8.7109375" customWidth="1" style="1225" min="10" max="10"/>
    <col width="1.28515625" customWidth="1" style="1225" min="12" max="12"/>
    <col width="0.85546875" customWidth="1" style="1225" min="13" max="13"/>
  </cols>
  <sheetData>
    <row r="1" ht="7.5" customHeight="1" s="1225" thickBot="1"/>
    <row r="2" ht="3" customHeight="1" s="1225">
      <c r="B2" s="11" t="n"/>
      <c r="C2" s="1300" t="n"/>
      <c r="D2" s="1300" t="n"/>
      <c r="E2" s="1300" t="n"/>
      <c r="F2" s="1300" t="n"/>
      <c r="G2" s="1300" t="n"/>
      <c r="H2" s="1300" t="n"/>
      <c r="I2" s="1300" t="n"/>
      <c r="J2" s="1300" t="n"/>
      <c r="K2" s="1300" t="n"/>
      <c r="L2" s="1300" t="n"/>
      <c r="M2" s="1301" t="n"/>
    </row>
    <row r="3">
      <c r="B3" s="1899" t="n"/>
      <c r="M3" s="1408" t="n"/>
    </row>
    <row r="4" ht="15.6" customHeight="1" s="1225">
      <c r="B4" s="1899" t="n"/>
      <c r="D4" s="155" t="n"/>
      <c r="E4" s="155" t="n"/>
      <c r="F4" s="155" t="n"/>
      <c r="G4" s="155" t="n"/>
      <c r="H4" s="155" t="n"/>
      <c r="I4" s="155" t="n"/>
      <c r="J4" s="155" t="n"/>
      <c r="K4" s="155" t="n"/>
      <c r="M4" s="1408" t="n"/>
    </row>
    <row r="5">
      <c r="B5" s="1899" t="n"/>
      <c r="M5" s="1408" t="n"/>
    </row>
    <row r="6" ht="15.6" customHeight="1" s="1225">
      <c r="B6" s="1899" t="n"/>
      <c r="D6" s="155" t="n"/>
      <c r="E6" s="155" t="n"/>
      <c r="F6" s="155" t="n"/>
      <c r="G6" s="155" t="n"/>
      <c r="H6" s="155" t="n"/>
      <c r="I6" s="155" t="n"/>
      <c r="J6" s="155" t="n"/>
      <c r="K6" s="155" t="n"/>
      <c r="M6" s="1408" t="n"/>
    </row>
    <row r="7">
      <c r="B7" s="1899" t="n"/>
      <c r="M7" s="1408" t="n"/>
    </row>
    <row r="8" ht="15.6" customHeight="1" s="1225">
      <c r="B8" s="1899" t="n"/>
      <c r="D8" s="155" t="n"/>
      <c r="E8" s="155" t="n"/>
      <c r="F8" s="155" t="n"/>
      <c r="G8" s="155" t="n"/>
      <c r="H8" s="155" t="n"/>
      <c r="I8" s="155" t="n"/>
      <c r="J8" s="155" t="n"/>
      <c r="K8" s="155" t="n"/>
      <c r="M8" s="1408" t="n"/>
    </row>
    <row r="9">
      <c r="B9" s="1899" t="n"/>
      <c r="M9" s="1408" t="n"/>
    </row>
    <row r="10">
      <c r="B10" s="1899" t="n"/>
      <c r="M10" s="1408" t="n"/>
    </row>
    <row r="11">
      <c r="B11" s="1899" t="n"/>
      <c r="M11" s="1408" t="n"/>
    </row>
    <row r="12">
      <c r="B12" s="1899" t="n"/>
      <c r="M12" s="1408" t="n"/>
    </row>
    <row r="13">
      <c r="B13" s="1899" t="n"/>
      <c r="M13" s="1408" t="n"/>
    </row>
    <row r="14">
      <c r="B14" s="1899" t="n"/>
      <c r="M14" s="1408" t="n"/>
    </row>
    <row r="15">
      <c r="B15" s="1899" t="n"/>
      <c r="M15" s="1408" t="n"/>
    </row>
    <row r="16">
      <c r="B16" s="1899" t="n"/>
      <c r="M16" s="1408" t="n"/>
    </row>
    <row r="17">
      <c r="B17" s="1899" t="n"/>
      <c r="M17" s="1408" t="n"/>
    </row>
    <row r="18">
      <c r="B18" s="1899" t="n"/>
      <c r="M18" s="1408" t="n"/>
    </row>
    <row r="19">
      <c r="B19" s="1899" t="n"/>
      <c r="M19" s="1408" t="n"/>
    </row>
    <row r="20">
      <c r="B20" s="1899" t="n"/>
      <c r="M20" s="1408" t="n"/>
    </row>
    <row r="21">
      <c r="B21" s="1899" t="n"/>
      <c r="M21" s="1408" t="n"/>
    </row>
    <row r="22">
      <c r="B22" s="1899" t="n"/>
      <c r="M22" s="1408" t="n"/>
    </row>
    <row r="23">
      <c r="B23" s="1899" t="n"/>
      <c r="M23" s="1408" t="n"/>
    </row>
    <row r="24">
      <c r="B24" s="1899" t="n"/>
      <c r="M24" s="1408" t="n"/>
    </row>
    <row r="25">
      <c r="B25" s="1899" t="n"/>
      <c r="M25" s="1408" t="n"/>
    </row>
    <row r="26">
      <c r="B26" s="1899" t="n"/>
      <c r="E26" s="1821" t="inlineStr">
        <is>
          <t>NOTE 39 : COMMENTAIRES</t>
        </is>
      </c>
      <c r="M26" s="1408" t="n"/>
    </row>
    <row r="27">
      <c r="B27" s="1899" t="n"/>
      <c r="M27" s="1408" t="n"/>
    </row>
    <row r="28">
      <c r="B28" s="1899" t="n"/>
      <c r="M28" s="1408" t="n"/>
    </row>
    <row r="29">
      <c r="B29" s="1899" t="n"/>
      <c r="M29" s="1408" t="n"/>
    </row>
    <row r="30">
      <c r="B30" s="1899" t="n"/>
      <c r="M30" s="1408" t="n"/>
    </row>
    <row r="31" ht="18" customHeight="1" s="1225">
      <c r="B31" s="1899" t="n"/>
      <c r="E31" s="156" t="n"/>
      <c r="F31" s="156" t="n"/>
      <c r="G31" s="156" t="n"/>
      <c r="H31" s="156" t="n"/>
      <c r="I31" s="156" t="n"/>
      <c r="J31" s="156" t="n"/>
      <c r="M31" s="1408" t="n"/>
    </row>
    <row r="32">
      <c r="B32" s="1899" t="n"/>
      <c r="M32" s="1408" t="n"/>
    </row>
    <row r="33">
      <c r="B33" s="1899" t="n"/>
      <c r="M33" s="1408" t="n"/>
    </row>
    <row r="34">
      <c r="B34" s="1899" t="n"/>
      <c r="M34" s="1408" t="n"/>
    </row>
    <row r="35">
      <c r="B35" s="1899" t="n"/>
      <c r="M35" s="1408" t="n"/>
    </row>
    <row r="36">
      <c r="B36" s="1899" t="n"/>
      <c r="M36" s="1408" t="n"/>
    </row>
    <row r="37">
      <c r="B37" s="1899" t="n"/>
      <c r="M37" s="1408" t="n"/>
    </row>
    <row r="38">
      <c r="B38" s="1899" t="n"/>
      <c r="M38" s="1408" t="n"/>
    </row>
    <row r="39">
      <c r="B39" s="1899" t="n"/>
      <c r="M39" s="1408" t="n"/>
    </row>
    <row r="40">
      <c r="B40" s="1899" t="n"/>
      <c r="M40" s="1408" t="n"/>
    </row>
    <row r="41">
      <c r="B41" s="1899" t="n"/>
      <c r="M41" s="1408" t="n"/>
    </row>
    <row r="42">
      <c r="B42" s="1899" t="n"/>
      <c r="M42" s="1408" t="n"/>
    </row>
    <row r="43">
      <c r="B43" s="1899" t="n"/>
      <c r="M43" s="1408" t="n"/>
    </row>
    <row r="44">
      <c r="B44" s="1899" t="n"/>
      <c r="M44" s="1408" t="n"/>
    </row>
    <row r="45">
      <c r="B45" s="1899" t="n"/>
      <c r="M45" s="1408" t="n"/>
    </row>
    <row r="46">
      <c r="B46" s="1899" t="n"/>
      <c r="M46" s="1408" t="n"/>
    </row>
    <row r="47">
      <c r="B47" s="1899" t="n"/>
      <c r="M47" s="1408" t="n"/>
    </row>
    <row r="48">
      <c r="B48" s="1899" t="n"/>
      <c r="M48" s="1408" t="n"/>
    </row>
    <row r="49">
      <c r="B49" s="1899" t="n"/>
      <c r="M49" s="1408" t="n"/>
    </row>
    <row r="50">
      <c r="B50" s="1899" t="n"/>
      <c r="M50" s="1408" t="n"/>
    </row>
    <row r="51">
      <c r="B51" s="1899" t="n"/>
      <c r="M51" s="1408" t="n"/>
    </row>
    <row r="52">
      <c r="B52" s="1899" t="n"/>
      <c r="M52" s="1408" t="n"/>
    </row>
    <row r="53" ht="3.75" customHeight="1" s="1225" thickBot="1">
      <c r="B53" s="1302" t="n"/>
      <c r="C53" s="1303" t="n"/>
      <c r="D53" s="1303" t="n"/>
      <c r="E53" s="1303" t="n"/>
      <c r="F53" s="1303" t="n"/>
      <c r="G53" s="1303" t="n"/>
      <c r="H53" s="1303" t="n"/>
      <c r="I53" s="1303" t="n"/>
      <c r="J53" s="1303" t="n"/>
      <c r="K53" s="1303" t="n"/>
      <c r="L53" s="1303" t="n"/>
      <c r="M53" s="1304" t="n"/>
    </row>
  </sheetData>
  <mergeCells count="1">
    <mergeCell ref="E26:J29"/>
  </mergeCells>
  <printOptions horizontalCentered="1" verticalCentered="1"/>
  <pageMargins left="0.3149606299212598" right="0.3149606299212598" top="0.3543307086614174" bottom="0.3543307086614174" header="0.3149606299212598" footer="0.3149606299212598"/>
  <pageSetup orientation="portrait" paperSize="9"/>
</worksheet>
</file>

<file path=xl/worksheets/sheet66.xml><?xml version="1.0" encoding="utf-8"?>
<worksheet xmlns="http://schemas.openxmlformats.org/spreadsheetml/2006/main">
  <sheetPr codeName="Feuil85">
    <tabColor theme="4" tint="0.5999938962981048"/>
    <outlinePr summaryBelow="1" summaryRight="1"/>
    <pageSetUpPr/>
  </sheetPr>
  <dimension ref="A1:H144"/>
  <sheetViews>
    <sheetView showGridLines="0" topLeftCell="A118" zoomScaleNormal="100" workbookViewId="0">
      <selection activeCell="B14" sqref="B14"/>
    </sheetView>
  </sheetViews>
  <sheetFormatPr baseColWidth="10" defaultColWidth="11.42578125" defaultRowHeight="11.25"/>
  <cols>
    <col width="12.42578125" customWidth="1" style="1448" min="1" max="1"/>
    <col width="14.85546875" customWidth="1" style="1448" min="2" max="2"/>
    <col width="11.42578125" customWidth="1" style="1448" min="3" max="3"/>
    <col width="15" customWidth="1" style="1448" min="4" max="4"/>
    <col width="12.7109375" customWidth="1" style="1448" min="5" max="5"/>
    <col width="10.28515625" customWidth="1" style="1448" min="6" max="6"/>
    <col width="13.5703125" customWidth="1" style="1448" min="7" max="7"/>
    <col width="6.28515625" customWidth="1" style="1448" min="8" max="8"/>
    <col width="11.42578125" customWidth="1" style="1448" min="9" max="9"/>
    <col width="11.42578125" customWidth="1" style="1448" min="10" max="16384"/>
  </cols>
  <sheetData>
    <row r="1" ht="26.1" customHeight="1" s="1225">
      <c r="A1" s="1836" t="inlineStr">
        <is>
          <t>NOTE 39</t>
        </is>
      </c>
      <c r="B1" s="1507" t="n"/>
      <c r="C1" s="695" t="n"/>
      <c r="D1" s="695" t="inlineStr">
        <is>
          <t>TABLE DES COMMENTAIRES</t>
        </is>
      </c>
      <c r="E1" s="695" t="n"/>
      <c r="F1" s="696" t="n"/>
      <c r="G1" s="1827" t="inlineStr">
        <is>
          <t>COMMENTAIRES
PAGE 1/9</t>
        </is>
      </c>
      <c r="H1" s="1583" t="n"/>
    </row>
    <row r="2" ht="15" customHeight="1" s="1225">
      <c r="A2" s="159" t="inlineStr">
        <is>
          <t>Dénomination sociale de l'entité :</t>
        </is>
      </c>
      <c r="B2" s="160" t="n"/>
      <c r="C2" s="1831">
        <f>'NOTE 38'!C3:H3</f>
        <v/>
      </c>
      <c r="D2" s="1832" t="n"/>
      <c r="E2" s="1832" t="n"/>
      <c r="F2" s="1832" t="n"/>
      <c r="G2" s="1832" t="n"/>
      <c r="H2" s="1833" t="n"/>
    </row>
    <row r="3" ht="15" customHeight="1" s="1225">
      <c r="A3" s="33" t="inlineStr">
        <is>
          <t>Adresse :</t>
        </is>
      </c>
      <c r="B3" s="1798">
        <f>'NOTE 38'!B4:E4</f>
        <v/>
      </c>
      <c r="C3" s="1277" t="n"/>
      <c r="D3" s="1277" t="n"/>
      <c r="E3" s="1277" t="n"/>
      <c r="F3" s="114" t="inlineStr">
        <is>
          <t>Sigle usuel :</t>
        </is>
      </c>
      <c r="G3" s="1823">
        <f>'NOTE 38'!I4</f>
        <v/>
      </c>
      <c r="H3" s="1824" t="n"/>
    </row>
    <row r="4" ht="15" customHeight="1" s="1225">
      <c r="A4" s="1451" t="inlineStr">
        <is>
          <t>N° IFU :</t>
        </is>
      </c>
      <c r="B4" s="1333" t="n"/>
      <c r="C4" s="1798">
        <f>'NOTE 38'!C5:D5</f>
        <v/>
      </c>
      <c r="D4" s="1277" t="n"/>
      <c r="E4" s="1349" t="inlineStr">
        <is>
          <t>Exercice clos le :</t>
        </is>
      </c>
      <c r="F4" s="1088" t="n"/>
      <c r="G4" s="114" t="inlineStr">
        <is>
          <t>Durée (en mois) :</t>
        </is>
      </c>
      <c r="H4" s="1823">
        <f>'NOTE 38'!I5</f>
        <v/>
      </c>
    </row>
    <row r="5" ht="17.25" customFormat="1" customHeight="1" s="1333" thickBot="1">
      <c r="A5" s="259" t="inlineStr">
        <is>
          <t xml:space="preserve">N° de télédéclarant (NES): </t>
        </is>
      </c>
      <c r="C5" s="1845" t="n"/>
      <c r="D5" s="1283" t="n"/>
      <c r="H5" s="162" t="n"/>
    </row>
    <row r="6" ht="15.95" customFormat="1" customHeight="1" s="1333">
      <c r="A6" s="961" t="inlineStr">
        <is>
          <t>NOTE 1</t>
        </is>
      </c>
      <c r="B6" s="1846" t="inlineStr">
        <is>
          <t>DETTES GARANTIES PAR DES SURETES REELLES</t>
        </is>
      </c>
      <c r="C6" s="1509" t="n"/>
      <c r="D6" s="1509" t="n"/>
      <c r="E6" s="1509" t="n"/>
      <c r="F6" s="1509" t="n"/>
      <c r="G6" s="1509" t="n"/>
      <c r="H6" s="1562" t="n"/>
    </row>
    <row r="7" ht="125.1" customHeight="1" s="1225">
      <c r="A7" s="1834" t="n"/>
      <c r="B7" s="1395" t="n"/>
      <c r="C7" s="1395" t="n"/>
      <c r="D7" s="1395" t="n"/>
      <c r="E7" s="1395" t="n"/>
      <c r="F7" s="1395" t="n"/>
      <c r="G7" s="1395" t="n"/>
      <c r="H7" s="1396" t="n"/>
    </row>
    <row r="8" ht="15.95" customFormat="1" customHeight="1" s="1333">
      <c r="A8" s="962" t="inlineStr">
        <is>
          <t>NOTE 3A</t>
        </is>
      </c>
      <c r="B8" s="1825" t="inlineStr">
        <is>
          <t>IMMOBILISATIONS (BRUTES)</t>
        </is>
      </c>
      <c r="C8" s="1420" t="n"/>
      <c r="D8" s="1420" t="n"/>
      <c r="E8" s="1420" t="n"/>
      <c r="F8" s="1420" t="n"/>
      <c r="G8" s="1420" t="n"/>
      <c r="H8" s="1411" t="n"/>
    </row>
    <row r="9" ht="125.1" customHeight="1" s="1225">
      <c r="A9" s="1834" t="n"/>
      <c r="B9" s="1395" t="n"/>
      <c r="C9" s="1395" t="n"/>
      <c r="D9" s="1395" t="n"/>
      <c r="E9" s="1395" t="n"/>
      <c r="F9" s="1395" t="n"/>
      <c r="G9" s="1395" t="n"/>
      <c r="H9" s="1396" t="n"/>
    </row>
    <row r="10" ht="15.95" customFormat="1" customHeight="1" s="1333">
      <c r="A10" s="962" t="inlineStr">
        <is>
          <t>NOTE 3B</t>
        </is>
      </c>
      <c r="B10" s="1825" t="inlineStr">
        <is>
          <t>BIENS PRIS EN LOCATION-ACQUISITION</t>
        </is>
      </c>
      <c r="C10" s="1420" t="n"/>
      <c r="D10" s="1420" t="n"/>
      <c r="E10" s="1420" t="n"/>
      <c r="F10" s="1420" t="n"/>
      <c r="G10" s="1420" t="n"/>
      <c r="H10" s="1411" t="n"/>
    </row>
    <row r="11" ht="125.1" customHeight="1" s="1225">
      <c r="A11" s="1834" t="n"/>
      <c r="B11" s="1395" t="n"/>
      <c r="C11" s="1395" t="n"/>
      <c r="D11" s="1395" t="n"/>
      <c r="E11" s="1395" t="n"/>
      <c r="F11" s="1395" t="n"/>
      <c r="G11" s="1395" t="n"/>
      <c r="H11" s="1396" t="n"/>
    </row>
    <row r="12" ht="15.95" customFormat="1" customHeight="1" s="1333">
      <c r="A12" s="962" t="inlineStr">
        <is>
          <t>NOTE 3C</t>
        </is>
      </c>
      <c r="B12" s="1825" t="inlineStr">
        <is>
          <t>IMMOBILISATIONS (AMORTISSEMENTS)</t>
        </is>
      </c>
      <c r="C12" s="1420" t="n"/>
      <c r="D12" s="1420" t="n"/>
      <c r="E12" s="1420" t="n"/>
      <c r="F12" s="1420" t="n"/>
      <c r="G12" s="1420" t="n"/>
      <c r="H12" s="1411" t="n"/>
    </row>
    <row r="13" ht="125.1" customHeight="1" s="1225">
      <c r="A13" s="1834" t="n"/>
      <c r="B13" s="1395" t="n"/>
      <c r="C13" s="1395" t="n"/>
      <c r="D13" s="1395" t="n"/>
      <c r="E13" s="1395" t="n"/>
      <c r="F13" s="1395" t="n"/>
      <c r="G13" s="1395" t="n"/>
      <c r="H13" s="1396" t="n"/>
    </row>
    <row r="14" ht="15.95" customHeight="1" s="1225">
      <c r="A14" s="962" t="inlineStr">
        <is>
          <t>NOTE 3D</t>
        </is>
      </c>
      <c r="B14" s="1848" t="inlineStr">
        <is>
          <t>IMMOBILISATIONS (PLUS-VALUES ET MOINS- VALUES DE CESSION)</t>
        </is>
      </c>
      <c r="C14" s="1582" t="n"/>
      <c r="D14" s="1582" t="n"/>
      <c r="E14" s="1582" t="n"/>
      <c r="F14" s="1582" t="n"/>
      <c r="G14" s="1582" t="n"/>
      <c r="H14" s="1606" t="n"/>
    </row>
    <row r="15" ht="125.1" customHeight="1" s="1225" thickBot="1">
      <c r="A15" s="1850" t="n"/>
      <c r="B15" s="1389" t="n"/>
      <c r="C15" s="1389" t="n"/>
      <c r="D15" s="1389" t="n"/>
      <c r="E15" s="1389" t="n"/>
      <c r="F15" s="1389" t="n"/>
      <c r="G15" s="1389" t="n"/>
      <c r="H15" s="1416" t="n"/>
    </row>
    <row r="16" ht="26.1" customHeight="1" s="1225" thickBot="1">
      <c r="A16" s="1674" t="inlineStr">
        <is>
          <t>TABLE DES COMMENTAIRES</t>
        </is>
      </c>
      <c r="B16" s="1675" t="n"/>
      <c r="C16" s="1675" t="n"/>
      <c r="D16" s="1675" t="n"/>
      <c r="E16" s="1675" t="n"/>
      <c r="F16" s="1676" t="n"/>
      <c r="G16" s="1847" t="inlineStr">
        <is>
          <t>COMMENTAIRES
PAGE 2/9</t>
        </is>
      </c>
      <c r="H16" s="1550" t="n"/>
    </row>
    <row r="17" ht="15" customHeight="1" s="1225">
      <c r="A17" s="33" t="inlineStr">
        <is>
          <t>Dénomination sociale de l'entité :</t>
        </is>
      </c>
      <c r="B17" s="1333" t="n"/>
      <c r="C17" s="1838">
        <f>C2</f>
        <v/>
      </c>
      <c r="D17" s="1288" t="n"/>
      <c r="E17" s="1288" t="n"/>
      <c r="F17" s="1288" t="n"/>
      <c r="G17" s="1288" t="n"/>
      <c r="H17" s="1839" t="n"/>
    </row>
    <row r="18" ht="15" customHeight="1" s="1225">
      <c r="A18" s="33" t="inlineStr">
        <is>
          <t>Adresse :</t>
        </is>
      </c>
      <c r="B18" s="1844">
        <f>B3</f>
        <v/>
      </c>
      <c r="C18" s="1288" t="n"/>
      <c r="D18" s="1288" t="n"/>
      <c r="E18" s="1288" t="n"/>
      <c r="F18" s="114" t="inlineStr">
        <is>
          <t>Sigle usuel :</t>
        </is>
      </c>
      <c r="G18" s="1852">
        <f>G3</f>
        <v/>
      </c>
      <c r="H18" s="1839" t="n"/>
    </row>
    <row r="19" ht="15" customHeight="1" s="1225">
      <c r="A19" s="1451" t="inlineStr">
        <is>
          <t>N° IFU :</t>
        </is>
      </c>
      <c r="B19" s="1333" t="n"/>
      <c r="C19" s="1844">
        <f>C4</f>
        <v/>
      </c>
      <c r="D19" s="1288" t="n"/>
      <c r="E19" s="1349" t="inlineStr">
        <is>
          <t>Exercice clos le :</t>
        </is>
      </c>
      <c r="F19" s="1095">
        <f>F4</f>
        <v/>
      </c>
      <c r="G19" s="114" t="inlineStr">
        <is>
          <t>Durée (en mois) :</t>
        </is>
      </c>
      <c r="H19" s="1852">
        <f>H4</f>
        <v/>
      </c>
    </row>
    <row r="20" ht="17.25" customFormat="1" customHeight="1" s="1333">
      <c r="A20" s="259" t="inlineStr">
        <is>
          <t xml:space="preserve">N° de télédéclarant (NES): </t>
        </is>
      </c>
      <c r="B20" s="401" t="n"/>
      <c r="C20" s="1837">
        <f>C5</f>
        <v/>
      </c>
      <c r="D20" s="1516" t="n"/>
      <c r="E20" s="401" t="n"/>
      <c r="F20" s="401" t="n"/>
      <c r="G20" s="401" t="n"/>
      <c r="H20" s="402" t="n"/>
    </row>
    <row r="21" ht="15.95" customHeight="1" s="1225">
      <c r="A21" s="158" t="inlineStr">
        <is>
          <t>NOTE 4</t>
        </is>
      </c>
      <c r="B21" s="1843" t="inlineStr">
        <is>
          <t>IMMOBILISATIONS FINANCIERES</t>
        </is>
      </c>
      <c r="C21" s="1582" t="n"/>
      <c r="D21" s="1582" t="n"/>
      <c r="E21" s="1582" t="n"/>
      <c r="F21" s="1582" t="n"/>
      <c r="G21" s="1582" t="n"/>
      <c r="H21" s="1583" t="n"/>
    </row>
    <row r="22" ht="125.1" customHeight="1" s="1225">
      <c r="A22" s="1835" t="n"/>
      <c r="B22" s="1395" t="n"/>
      <c r="C22" s="1395" t="n"/>
      <c r="D22" s="1395" t="n"/>
      <c r="E22" s="1395" t="n"/>
      <c r="F22" s="1395" t="n"/>
      <c r="G22" s="1395" t="n"/>
      <c r="H22" s="1396" t="n"/>
    </row>
    <row r="23" ht="15.95" customHeight="1" s="1225">
      <c r="A23" s="158" t="inlineStr">
        <is>
          <t>NOTE 5</t>
        </is>
      </c>
      <c r="B23" s="1825" t="inlineStr">
        <is>
          <t>ACTIF CIRCULANT ET DETTES CIRCULANTES  HAO</t>
        </is>
      </c>
      <c r="C23" s="1420" t="n"/>
      <c r="D23" s="1420" t="n"/>
      <c r="E23" s="1420" t="n"/>
      <c r="F23" s="1420" t="n"/>
      <c r="G23" s="1420" t="n"/>
      <c r="H23" s="1411" t="n"/>
    </row>
    <row r="24" ht="12.95" customHeight="1" s="1225">
      <c r="A24" s="1851" t="inlineStr">
        <is>
          <t>ACTIF CIRCULANT HAO</t>
        </is>
      </c>
      <c r="B24" s="1582" t="n"/>
      <c r="C24" s="1582" t="n"/>
      <c r="D24" s="1582" t="n"/>
      <c r="E24" s="1582" t="n"/>
      <c r="F24" s="1582" t="n"/>
      <c r="G24" s="1582" t="n"/>
      <c r="H24" s="1583" t="n"/>
    </row>
    <row r="25" ht="125.1" customHeight="1" s="1225">
      <c r="A25" s="1840" t="n"/>
      <c r="B25" s="1229" t="n"/>
      <c r="C25" s="1229" t="n"/>
      <c r="D25" s="1229" t="n"/>
      <c r="E25" s="1229" t="n"/>
      <c r="F25" s="1229" t="n"/>
      <c r="G25" s="1229" t="n"/>
      <c r="H25" s="1841" t="n"/>
    </row>
    <row r="26" ht="12.95" customHeight="1" s="1225">
      <c r="A26" s="1842" t="inlineStr">
        <is>
          <t>DETTES CIRCULANTES HAO</t>
        </is>
      </c>
      <c r="H26" s="1550" t="n"/>
    </row>
    <row r="27" ht="125.1" customHeight="1" s="1225">
      <c r="A27" s="1826" t="n"/>
      <c r="B27" s="1608" t="n"/>
      <c r="C27" s="1608" t="n"/>
      <c r="D27" s="1608" t="n"/>
      <c r="E27" s="1608" t="n"/>
      <c r="F27" s="1608" t="n"/>
      <c r="G27" s="1608" t="n"/>
      <c r="H27" s="1655" t="n"/>
    </row>
    <row r="28" ht="15.95" customHeight="1" s="1225">
      <c r="A28" s="158" t="inlineStr">
        <is>
          <t>NOTE 6</t>
        </is>
      </c>
      <c r="B28" s="1822" t="inlineStr">
        <is>
          <t>STOCKS ET EN COURS (1)</t>
        </is>
      </c>
      <c r="C28" s="1420" t="n"/>
      <c r="D28" s="1420" t="n"/>
      <c r="E28" s="1420" t="n"/>
      <c r="F28" s="1420" t="n"/>
      <c r="G28" s="1420" t="n"/>
      <c r="H28" s="1411" t="n"/>
    </row>
    <row r="29" ht="125.1" customHeight="1" s="1225">
      <c r="A29" s="1826" t="n"/>
      <c r="B29" s="1608" t="n"/>
      <c r="C29" s="1608" t="n"/>
      <c r="D29" s="1608" t="n"/>
      <c r="E29" s="1608" t="n"/>
      <c r="F29" s="1608" t="n"/>
      <c r="G29" s="1608" t="n"/>
      <c r="H29" s="1655" t="n"/>
    </row>
    <row r="30" ht="15.95" customHeight="1" s="1225">
      <c r="A30" s="158" t="inlineStr">
        <is>
          <t>NOTE 7</t>
        </is>
      </c>
      <c r="B30" s="1822" t="inlineStr">
        <is>
          <t>CLIENTS</t>
        </is>
      </c>
      <c r="C30" s="1420" t="n"/>
      <c r="D30" s="1420" t="n"/>
      <c r="E30" s="1420" t="n"/>
      <c r="F30" s="1420" t="n"/>
      <c r="G30" s="1420" t="n"/>
      <c r="H30" s="1411" t="n"/>
    </row>
    <row r="31" ht="125.1" customHeight="1" s="1225">
      <c r="A31" s="1826" t="n"/>
      <c r="B31" s="1608" t="n"/>
      <c r="C31" s="1608" t="n"/>
      <c r="D31" s="1608" t="n"/>
      <c r="E31" s="1608" t="n"/>
      <c r="F31" s="1608" t="n"/>
      <c r="G31" s="1608" t="n"/>
      <c r="H31" s="1655" t="n"/>
    </row>
    <row r="32" ht="26.1" customHeight="1" s="1225">
      <c r="A32" s="1828" t="inlineStr">
        <is>
          <t>TABLE DES COMMENTAIRES</t>
        </is>
      </c>
      <c r="B32" s="1420" t="n"/>
      <c r="C32" s="1420" t="n"/>
      <c r="D32" s="1420" t="n"/>
      <c r="E32" s="1420" t="n"/>
      <c r="F32" s="1411" t="n"/>
      <c r="G32" s="1827" t="inlineStr">
        <is>
          <t>COMMENTAIRES
PAGE 3/9</t>
        </is>
      </c>
      <c r="H32" s="1583" t="n"/>
    </row>
    <row r="33" ht="15" customHeight="1" s="1225">
      <c r="A33" s="159" t="inlineStr">
        <is>
          <t>Dénomination sociale de l'entité :</t>
        </is>
      </c>
      <c r="B33" s="160" t="n"/>
      <c r="C33" s="1831">
        <f>C17</f>
        <v/>
      </c>
      <c r="D33" s="1832" t="n"/>
      <c r="E33" s="1832" t="n"/>
      <c r="F33" s="1832" t="n"/>
      <c r="G33" s="1832" t="n"/>
      <c r="H33" s="1833" t="n"/>
    </row>
    <row r="34" ht="15" customHeight="1" s="1225">
      <c r="A34" s="33" t="inlineStr">
        <is>
          <t>Adresse :</t>
        </is>
      </c>
      <c r="B34" s="1798">
        <f>B18</f>
        <v/>
      </c>
      <c r="C34" s="1277" t="n"/>
      <c r="D34" s="1277" t="n"/>
      <c r="E34" s="1277" t="n"/>
      <c r="F34" s="114" t="inlineStr">
        <is>
          <t>Sigle usuel :</t>
        </is>
      </c>
      <c r="G34" s="1823">
        <f>G18</f>
        <v/>
      </c>
      <c r="H34" s="1824" t="n"/>
    </row>
    <row r="35" ht="15" customHeight="1" s="1225">
      <c r="A35" s="1451" t="inlineStr">
        <is>
          <t>N° IFU :</t>
        </is>
      </c>
      <c r="B35" s="1333" t="n"/>
      <c r="C35" s="1798">
        <f>C19</f>
        <v/>
      </c>
      <c r="D35" s="1277" t="n"/>
      <c r="E35" s="1349" t="inlineStr">
        <is>
          <t>Exercice clos le :</t>
        </is>
      </c>
      <c r="F35" s="183" t="n"/>
      <c r="G35" s="114" t="inlineStr">
        <is>
          <t>Durée (en mois) :</t>
        </is>
      </c>
      <c r="H35" s="1823">
        <f>H19</f>
        <v/>
      </c>
    </row>
    <row r="36" ht="17.25" customHeight="1" s="1225">
      <c r="A36" s="259" t="inlineStr">
        <is>
          <t xml:space="preserve">N° de télédéclarant (NES): </t>
        </is>
      </c>
      <c r="B36" s="401" t="n"/>
      <c r="C36" s="1829">
        <f>C20</f>
        <v/>
      </c>
      <c r="D36" s="1830" t="n"/>
      <c r="E36" s="1333" t="n"/>
      <c r="F36" s="1333" t="n"/>
      <c r="G36" s="1333" t="n"/>
      <c r="H36" s="162" t="n"/>
    </row>
    <row r="37" ht="15.95" customHeight="1" s="1225">
      <c r="A37" s="158" t="inlineStr">
        <is>
          <t>NOTE 8</t>
        </is>
      </c>
      <c r="B37" s="1822" t="inlineStr">
        <is>
          <t>AUTRES CREANCES</t>
        </is>
      </c>
      <c r="C37" s="1420" t="n"/>
      <c r="D37" s="1420" t="n"/>
      <c r="E37" s="1420" t="n"/>
      <c r="F37" s="1420" t="n"/>
      <c r="G37" s="1420" t="n"/>
      <c r="H37" s="1411" t="n"/>
    </row>
    <row r="38" ht="136.5" customHeight="1" s="1225">
      <c r="A38" s="1826" t="n"/>
      <c r="B38" s="1608" t="n"/>
      <c r="C38" s="1608" t="n"/>
      <c r="D38" s="1608" t="n"/>
      <c r="E38" s="1608" t="n"/>
      <c r="F38" s="1608" t="n"/>
      <c r="G38" s="1608" t="n"/>
      <c r="H38" s="1655" t="n"/>
    </row>
    <row r="39" ht="15.95" customHeight="1" s="1225">
      <c r="A39" s="158" t="inlineStr">
        <is>
          <t>NOTE 9</t>
        </is>
      </c>
      <c r="B39" s="1822" t="inlineStr">
        <is>
          <t>TITRES DE PLACEMENT</t>
        </is>
      </c>
      <c r="C39" s="1420" t="n"/>
      <c r="D39" s="1420" t="n"/>
      <c r="E39" s="1420" t="n"/>
      <c r="F39" s="1420" t="n"/>
      <c r="G39" s="1420" t="n"/>
      <c r="H39" s="1411" t="n"/>
    </row>
    <row r="40" ht="136.5" customHeight="1" s="1225">
      <c r="A40" s="1826" t="n"/>
      <c r="B40" s="1608" t="n"/>
      <c r="C40" s="1608" t="n"/>
      <c r="D40" s="1608" t="n"/>
      <c r="E40" s="1608" t="n"/>
      <c r="F40" s="1608" t="n"/>
      <c r="G40" s="1608" t="n"/>
      <c r="H40" s="1655" t="n"/>
    </row>
    <row r="41" ht="15.95" customHeight="1" s="1225">
      <c r="A41" s="158" t="inlineStr">
        <is>
          <t>NOTE 10</t>
        </is>
      </c>
      <c r="B41" s="1822" t="inlineStr">
        <is>
          <t>VALEURS A ENCAISSER</t>
        </is>
      </c>
      <c r="C41" s="1420" t="n"/>
      <c r="D41" s="1420" t="n"/>
      <c r="E41" s="1420" t="n"/>
      <c r="F41" s="1420" t="n"/>
      <c r="G41" s="1420" t="n"/>
      <c r="H41" s="1411" t="n"/>
    </row>
    <row r="42" ht="136.5" customHeight="1" s="1225">
      <c r="A42" s="1826" t="n"/>
      <c r="B42" s="1608" t="n"/>
      <c r="C42" s="1608" t="n"/>
      <c r="D42" s="1608" t="n"/>
      <c r="E42" s="1608" t="n"/>
      <c r="F42" s="1608" t="n"/>
      <c r="G42" s="1608" t="n"/>
      <c r="H42" s="1655" t="n"/>
    </row>
    <row r="43" ht="15.95" customHeight="1" s="1225">
      <c r="A43" s="158" t="inlineStr">
        <is>
          <t>NOTE 11</t>
        </is>
      </c>
      <c r="B43" s="1822" t="inlineStr">
        <is>
          <t>DISPONIBILITES</t>
        </is>
      </c>
      <c r="C43" s="1420" t="n"/>
      <c r="D43" s="1420" t="n"/>
      <c r="E43" s="1420" t="n"/>
      <c r="F43" s="1420" t="n"/>
      <c r="G43" s="1420" t="n"/>
      <c r="H43" s="1411" t="n"/>
    </row>
    <row r="44" ht="136.5" customHeight="1" s="1225">
      <c r="A44" s="1826" t="n"/>
      <c r="B44" s="1608" t="n"/>
      <c r="C44" s="1608" t="n"/>
      <c r="D44" s="1608" t="n"/>
      <c r="E44" s="1608" t="n"/>
      <c r="F44" s="1608" t="n"/>
      <c r="G44" s="1608" t="n"/>
      <c r="H44" s="1655" t="n"/>
    </row>
    <row r="45" ht="26.1" customHeight="1" s="1225">
      <c r="A45" s="1828" t="inlineStr">
        <is>
          <t>TABLE DES COMMENTAIRES</t>
        </is>
      </c>
      <c r="B45" s="1420" t="n"/>
      <c r="C45" s="1420" t="n"/>
      <c r="D45" s="1420" t="n"/>
      <c r="E45" s="1420" t="n"/>
      <c r="F45" s="1411" t="n"/>
      <c r="G45" s="1827" t="inlineStr">
        <is>
          <t>COMMENTAIRES
PAGE 4/9</t>
        </is>
      </c>
      <c r="H45" s="1583" t="n"/>
    </row>
    <row r="46" ht="15" customHeight="1" s="1225">
      <c r="A46" s="159" t="inlineStr">
        <is>
          <t>Dénomination sociale de l'entité :</t>
        </is>
      </c>
      <c r="B46" s="160" t="n"/>
      <c r="C46" s="1831">
        <f>C33</f>
        <v/>
      </c>
      <c r="D46" s="1832" t="n"/>
      <c r="E46" s="1832" t="n"/>
      <c r="F46" s="1832" t="n"/>
      <c r="G46" s="1832" t="n"/>
      <c r="H46" s="1833" t="n"/>
    </row>
    <row r="47" ht="15" customHeight="1" s="1225">
      <c r="A47" s="33" t="inlineStr">
        <is>
          <t>Adresse :</t>
        </is>
      </c>
      <c r="B47" s="1798">
        <f>B34</f>
        <v/>
      </c>
      <c r="C47" s="1277" t="n"/>
      <c r="D47" s="1277" t="n"/>
      <c r="E47" s="1277" t="n"/>
      <c r="F47" s="114" t="inlineStr">
        <is>
          <t>Sigle usuel :</t>
        </is>
      </c>
      <c r="G47" s="1823">
        <f>G34</f>
        <v/>
      </c>
      <c r="H47" s="1824" t="n"/>
    </row>
    <row r="48" ht="15" customHeight="1" s="1225">
      <c r="A48" s="33" t="inlineStr">
        <is>
          <t>N° de compte contribuable (NCC) :</t>
        </is>
      </c>
      <c r="B48" s="1333" t="n"/>
      <c r="C48" s="1798">
        <f>C35</f>
        <v/>
      </c>
      <c r="D48" s="1277" t="n"/>
      <c r="E48" s="1349" t="inlineStr">
        <is>
          <t>Exercice clos le :</t>
        </is>
      </c>
      <c r="F48" s="1088" t="n"/>
      <c r="G48" s="114" t="inlineStr">
        <is>
          <t>Durée (en mois) :</t>
        </is>
      </c>
      <c r="H48" s="1823">
        <f>H35</f>
        <v/>
      </c>
    </row>
    <row r="49" ht="17.25" customHeight="1" s="1225">
      <c r="A49" s="33" t="inlineStr">
        <is>
          <t>N° de télédéclarant (NTD) :</t>
        </is>
      </c>
      <c r="B49" s="1333" t="n"/>
      <c r="C49" s="1829">
        <f>C36</f>
        <v/>
      </c>
      <c r="D49" s="1830" t="n"/>
      <c r="E49" s="1333" t="n"/>
      <c r="F49" s="1333" t="n"/>
      <c r="G49" s="1333" t="n"/>
      <c r="H49" s="162" t="n"/>
    </row>
    <row r="50" ht="15.95" customHeight="1" s="1225">
      <c r="A50" s="158" t="inlineStr">
        <is>
          <t>NOTE 12</t>
        </is>
      </c>
      <c r="B50" s="1822" t="inlineStr">
        <is>
          <t>ECARTS DE CONVERSION ET TRANSFERTS DE CHARGES</t>
        </is>
      </c>
      <c r="C50" s="1420" t="n"/>
      <c r="D50" s="1420" t="n"/>
      <c r="E50" s="1420" t="n"/>
      <c r="F50" s="1420" t="n"/>
      <c r="G50" s="1420" t="n"/>
      <c r="H50" s="1411" t="n"/>
    </row>
    <row r="51" ht="12.95" customHeight="1" s="1225">
      <c r="A51" s="408" t="inlineStr">
        <is>
          <t>ECARTS DE CONVERSION</t>
        </is>
      </c>
      <c r="B51" s="369" t="n"/>
      <c r="C51" s="1333" t="n"/>
      <c r="D51" s="1333" t="n"/>
      <c r="E51" s="1333" t="n"/>
      <c r="F51" s="1333" t="n"/>
      <c r="G51" s="1333" t="n"/>
      <c r="H51" s="162" t="n"/>
    </row>
    <row r="52" ht="115.5" customHeight="1" s="1225">
      <c r="A52" s="1840" t="n"/>
      <c r="B52" s="1229" t="n"/>
      <c r="C52" s="1229" t="n"/>
      <c r="D52" s="1229" t="n"/>
      <c r="E52" s="1229" t="n"/>
      <c r="F52" s="1229" t="n"/>
      <c r="G52" s="1229" t="n"/>
      <c r="H52" s="1841" t="n"/>
    </row>
    <row r="53" ht="12.75" customHeight="1" s="1225">
      <c r="A53" s="408" t="inlineStr">
        <is>
          <t>TRANSFERTS DE CHARGES</t>
        </is>
      </c>
      <c r="B53" s="157" t="n"/>
      <c r="C53" s="157" t="n"/>
      <c r="D53" s="157" t="n"/>
      <c r="E53" s="157" t="n"/>
      <c r="F53" s="157" t="n"/>
      <c r="G53" s="157" t="n"/>
      <c r="H53" s="409" t="n"/>
    </row>
    <row r="54" ht="115.5" customHeight="1" s="1225">
      <c r="A54" s="1826" t="n"/>
      <c r="B54" s="1608" t="n"/>
      <c r="C54" s="1608" t="n"/>
      <c r="D54" s="1608" t="n"/>
      <c r="E54" s="1608" t="n"/>
      <c r="F54" s="1608" t="n"/>
      <c r="G54" s="1608" t="n"/>
      <c r="H54" s="1655" t="n"/>
    </row>
    <row r="55" ht="15.95" customHeight="1" s="1225">
      <c r="A55" s="158" t="inlineStr">
        <is>
          <t>NOTE 13</t>
        </is>
      </c>
      <c r="B55" s="1822" t="inlineStr">
        <is>
          <t>CAPITAL</t>
        </is>
      </c>
      <c r="C55" s="1420" t="n"/>
      <c r="D55" s="1420" t="n"/>
      <c r="E55" s="1420" t="n"/>
      <c r="F55" s="1420" t="n"/>
      <c r="G55" s="1420" t="n"/>
      <c r="H55" s="1411" t="n"/>
    </row>
    <row r="56" ht="125.1" customHeight="1" s="1225">
      <c r="A56" s="1826" t="n"/>
      <c r="B56" s="1608" t="n"/>
      <c r="C56" s="1608" t="n"/>
      <c r="D56" s="1608" t="n"/>
      <c r="E56" s="1608" t="n"/>
      <c r="F56" s="1608" t="n"/>
      <c r="G56" s="1608" t="n"/>
      <c r="H56" s="1655" t="n"/>
    </row>
    <row r="57" ht="15.95" customHeight="1" s="1225">
      <c r="A57" s="158" t="inlineStr">
        <is>
          <t>NOTE 14</t>
        </is>
      </c>
      <c r="B57" s="1822" t="inlineStr">
        <is>
          <t>PRIMES ET RESERVES</t>
        </is>
      </c>
      <c r="C57" s="1420" t="n"/>
      <c r="D57" s="1420" t="n"/>
      <c r="E57" s="1420" t="n"/>
      <c r="F57" s="1420" t="n"/>
      <c r="G57" s="1420" t="n"/>
      <c r="H57" s="1411" t="n"/>
    </row>
    <row r="58" ht="125.1" customHeight="1" s="1225">
      <c r="A58" s="1826" t="n"/>
      <c r="B58" s="1608" t="n"/>
      <c r="C58" s="1608" t="n"/>
      <c r="D58" s="1608" t="n"/>
      <c r="E58" s="1608" t="n"/>
      <c r="F58" s="1608" t="n"/>
      <c r="G58" s="1608" t="n"/>
      <c r="H58" s="1655" t="n"/>
    </row>
    <row r="59" ht="15.95" customHeight="1" s="1225">
      <c r="A59" s="158" t="inlineStr">
        <is>
          <t>NOTE 15A</t>
        </is>
      </c>
      <c r="B59" s="1822" t="inlineStr">
        <is>
          <t>TOTAL SUBVENTIONS D'INVESTISSEMENT ET PROVISIONS REGLEMENTEES</t>
        </is>
      </c>
      <c r="C59" s="1420" t="n"/>
      <c r="D59" s="1420" t="n"/>
      <c r="E59" s="1420" t="n"/>
      <c r="F59" s="1420" t="n"/>
      <c r="G59" s="1420" t="n"/>
      <c r="H59" s="1411" t="n"/>
    </row>
    <row r="60" ht="125.1" customHeight="1" s="1225">
      <c r="A60" s="1826" t="n"/>
      <c r="B60" s="1608" t="n"/>
      <c r="C60" s="1608" t="n"/>
      <c r="D60" s="1608" t="n"/>
      <c r="E60" s="1608" t="n"/>
      <c r="F60" s="1608" t="n"/>
      <c r="G60" s="1608" t="n"/>
      <c r="H60" s="1655" t="n"/>
    </row>
    <row r="61" ht="26.1" customHeight="1" s="1225">
      <c r="A61" s="1828" t="inlineStr">
        <is>
          <t>TABLE DES COMMENTAIRES</t>
        </is>
      </c>
      <c r="B61" s="1420" t="n"/>
      <c r="C61" s="1420" t="n"/>
      <c r="D61" s="1420" t="n"/>
      <c r="E61" s="1420" t="n"/>
      <c r="F61" s="1411" t="n"/>
      <c r="G61" s="1827" t="inlineStr">
        <is>
          <t>COMMENTAIRES
PAGE 5/9</t>
        </is>
      </c>
      <c r="H61" s="1583" t="n"/>
    </row>
    <row r="62" ht="15" customHeight="1" s="1225">
      <c r="A62" s="159" t="inlineStr">
        <is>
          <t>Dénomination sociale de l'entité :</t>
        </is>
      </c>
      <c r="B62" s="160" t="n"/>
      <c r="C62" s="1831">
        <f>C46</f>
        <v/>
      </c>
      <c r="D62" s="1832" t="n"/>
      <c r="E62" s="1832" t="n"/>
      <c r="F62" s="1832" t="n"/>
      <c r="G62" s="1832" t="n"/>
      <c r="H62" s="1833" t="n"/>
    </row>
    <row r="63" ht="15" customHeight="1" s="1225">
      <c r="A63" s="33" t="inlineStr">
        <is>
          <t>Adresse :</t>
        </is>
      </c>
      <c r="B63" s="1798">
        <f>B47</f>
        <v/>
      </c>
      <c r="C63" s="1277" t="n"/>
      <c r="D63" s="1277" t="n"/>
      <c r="E63" s="1277" t="n"/>
      <c r="F63" s="114" t="inlineStr">
        <is>
          <t>Sigle usuel :</t>
        </is>
      </c>
      <c r="G63" s="1823">
        <f>G47</f>
        <v/>
      </c>
      <c r="H63" s="1824" t="n"/>
    </row>
    <row r="64" ht="15" customHeight="1" s="1225">
      <c r="A64" s="1451" t="inlineStr">
        <is>
          <t>N° IFU :</t>
        </is>
      </c>
      <c r="B64" s="1333" t="n"/>
      <c r="C64" s="1798">
        <f>C48</f>
        <v/>
      </c>
      <c r="D64" s="1277" t="n"/>
      <c r="E64" s="1349" t="inlineStr">
        <is>
          <t>Exercice clos le :</t>
        </is>
      </c>
      <c r="F64" s="1088" t="n"/>
      <c r="G64" s="114" t="inlineStr">
        <is>
          <t>Durée (en mois) :</t>
        </is>
      </c>
      <c r="H64" s="1823">
        <f>H48</f>
        <v/>
      </c>
    </row>
    <row r="65" ht="17.25" customFormat="1" customHeight="1" s="407">
      <c r="A65" s="259" t="inlineStr">
        <is>
          <t xml:space="preserve">N° de télédéclarant (NES): </t>
        </is>
      </c>
      <c r="B65" s="401" t="n"/>
      <c r="C65" s="1829">
        <f>C49</f>
        <v/>
      </c>
      <c r="D65" s="1830" t="n"/>
      <c r="E65" s="404" t="n"/>
      <c r="F65" s="405" t="n"/>
      <c r="G65" s="404" t="n"/>
      <c r="H65" s="406" t="n"/>
    </row>
    <row r="66" ht="15" customHeight="1" s="1225">
      <c r="A66" s="158" t="inlineStr">
        <is>
          <t>NOTE 15B</t>
        </is>
      </c>
      <c r="B66" s="1822" t="inlineStr">
        <is>
          <t>AUTRES FONDS PROPRES</t>
        </is>
      </c>
      <c r="C66" s="1420" t="n"/>
      <c r="D66" s="1420" t="n"/>
      <c r="E66" s="1420" t="n"/>
      <c r="F66" s="1420" t="n"/>
      <c r="G66" s="1420" t="n"/>
      <c r="H66" s="1411" t="n"/>
    </row>
    <row r="67" ht="120" customHeight="1" s="1225">
      <c r="A67" s="1826" t="n"/>
      <c r="B67" s="1608" t="n"/>
      <c r="C67" s="1608" t="n"/>
      <c r="D67" s="1608" t="n"/>
      <c r="E67" s="1608" t="n"/>
      <c r="F67" s="1608" t="n"/>
      <c r="G67" s="1608" t="n"/>
      <c r="H67" s="1655" t="n"/>
    </row>
    <row r="68" ht="15.95" customHeight="1" s="1225">
      <c r="A68" s="158" t="inlineStr">
        <is>
          <t>NOTE 16A</t>
        </is>
      </c>
      <c r="B68" s="1822" t="inlineStr">
        <is>
          <t>DETTES FINANCIERES ET RESSOURCES ASSIMILEES</t>
        </is>
      </c>
      <c r="C68" s="1420" t="n"/>
      <c r="D68" s="1420" t="n"/>
      <c r="E68" s="1420" t="n"/>
      <c r="F68" s="1420" t="n"/>
      <c r="G68" s="1420" t="n"/>
      <c r="H68" s="1411" t="n"/>
    </row>
    <row r="69" ht="119.25" customHeight="1" s="1225">
      <c r="A69" s="1826" t="n"/>
      <c r="B69" s="1608" t="n"/>
      <c r="C69" s="1608" t="n"/>
      <c r="D69" s="1608" t="n"/>
      <c r="E69" s="1608" t="n"/>
      <c r="F69" s="1608" t="n"/>
      <c r="G69" s="1608" t="n"/>
      <c r="H69" s="1655" t="n"/>
    </row>
    <row r="70" ht="15.95" customHeight="1" s="1225">
      <c r="A70" s="158" t="inlineStr">
        <is>
          <t>NOTE 16B</t>
        </is>
      </c>
      <c r="B70" s="1822" t="inlineStr">
        <is>
          <t>ENGAGEMENTS DE RETRAITE ET AVANTAGES ASSIMILES : PARTIE 1 (METHODE ACTUARIELLE)</t>
        </is>
      </c>
      <c r="C70" s="1420" t="n"/>
      <c r="D70" s="1420" t="n"/>
      <c r="E70" s="1420" t="n"/>
      <c r="F70" s="1420" t="n"/>
      <c r="G70" s="1420" t="n"/>
      <c r="H70" s="1411" t="n"/>
    </row>
    <row r="71" ht="12.95" customHeight="1" s="1225">
      <c r="A71" s="408" t="inlineStr">
        <is>
          <t>HYPOTHESES ACTUARIELLES</t>
        </is>
      </c>
      <c r="B71" s="1333" t="n"/>
      <c r="C71" s="1333" t="n"/>
      <c r="D71" s="1333" t="n"/>
      <c r="E71" s="1333" t="n"/>
      <c r="F71" s="1333" t="n"/>
      <c r="G71" s="1333" t="n"/>
      <c r="H71" s="162" t="n"/>
    </row>
    <row r="72" ht="119.25" customHeight="1" s="1225">
      <c r="A72" s="1840" t="n"/>
      <c r="B72" s="1229" t="n"/>
      <c r="C72" s="1229" t="n"/>
      <c r="D72" s="1229" t="n"/>
      <c r="E72" s="1229" t="n"/>
      <c r="F72" s="1229" t="n"/>
      <c r="G72" s="1229" t="n"/>
      <c r="H72" s="1841" t="n"/>
    </row>
    <row r="73" ht="12.95" customHeight="1" s="1225">
      <c r="A73" s="408" t="inlineStr">
        <is>
          <t>VARIATION DE LA VALEUR DE L'ENGAGEM ENT DE RETRAITE AU COURS DE L'EXERCICE</t>
        </is>
      </c>
      <c r="B73" s="1333" t="n"/>
      <c r="C73" s="1333" t="n"/>
      <c r="D73" s="1333" t="n"/>
      <c r="E73" s="1333" t="n"/>
      <c r="F73" s="1333" t="n"/>
      <c r="G73" s="1333" t="n"/>
      <c r="H73" s="162" t="n"/>
    </row>
    <row r="74" ht="119.25" customHeight="1" s="1225">
      <c r="A74" s="1840" t="n"/>
      <c r="B74" s="1229" t="n"/>
      <c r="C74" s="1229" t="n"/>
      <c r="D74" s="1229" t="n"/>
      <c r="E74" s="1229" t="n"/>
      <c r="F74" s="1229" t="n"/>
      <c r="G74" s="1229" t="n"/>
      <c r="H74" s="1841" t="n"/>
    </row>
    <row r="75" ht="12.95" customHeight="1" s="1225">
      <c r="A75" s="408" t="inlineStr">
        <is>
          <t>ANALYSE DE SENSIBILITE DES HY POTHESES ACTUA R IELLES</t>
        </is>
      </c>
      <c r="B75" s="1333" t="n"/>
      <c r="C75" s="1333" t="n"/>
      <c r="D75" s="1333" t="n"/>
      <c r="E75" s="1333" t="n"/>
      <c r="F75" s="1333" t="n"/>
      <c r="G75" s="1333" t="n"/>
      <c r="H75" s="162" t="n"/>
    </row>
    <row r="76" ht="119.25" customHeight="1" s="1225">
      <c r="A76" s="1826" t="n"/>
      <c r="B76" s="1608" t="n"/>
      <c r="C76" s="1608" t="n"/>
      <c r="D76" s="1608" t="n"/>
      <c r="E76" s="1608" t="n"/>
      <c r="F76" s="1608" t="n"/>
      <c r="G76" s="1608" t="n"/>
      <c r="H76" s="1655" t="n"/>
    </row>
    <row r="77" ht="26.1" customHeight="1" s="1225">
      <c r="A77" s="1828" t="inlineStr">
        <is>
          <t>TABLE DES COMMENTAIRES</t>
        </is>
      </c>
      <c r="B77" s="1420" t="n"/>
      <c r="C77" s="1420" t="n"/>
      <c r="D77" s="1420" t="n"/>
      <c r="E77" s="1420" t="n"/>
      <c r="F77" s="1411" t="n"/>
      <c r="G77" s="1849" t="inlineStr">
        <is>
          <t>COMMENTAIRES
PAGE 6/9</t>
        </is>
      </c>
      <c r="H77" s="1411" t="n"/>
    </row>
    <row r="78" ht="15" customHeight="1" s="1225">
      <c r="A78" s="159" t="inlineStr">
        <is>
          <t>Dénomination sociale de l'entité :</t>
        </is>
      </c>
      <c r="B78" s="160" t="n"/>
      <c r="C78" s="1831">
        <f>C62</f>
        <v/>
      </c>
      <c r="D78" s="1832" t="n"/>
      <c r="E78" s="1832" t="n"/>
      <c r="F78" s="1832" t="n"/>
      <c r="G78" s="1832" t="n"/>
      <c r="H78" s="1833" t="n"/>
    </row>
    <row r="79" ht="15" customHeight="1" s="1225">
      <c r="A79" s="33" t="inlineStr">
        <is>
          <t>Adresse :</t>
        </is>
      </c>
      <c r="B79" s="1798">
        <f>B63</f>
        <v/>
      </c>
      <c r="C79" s="1277" t="n"/>
      <c r="D79" s="1277" t="n"/>
      <c r="E79" s="1277" t="n"/>
      <c r="F79" s="114" t="inlineStr">
        <is>
          <t>Sigle usuel :</t>
        </is>
      </c>
      <c r="G79" s="1823">
        <f>G63</f>
        <v/>
      </c>
      <c r="H79" s="1824" t="n"/>
    </row>
    <row r="80" ht="15" customHeight="1" s="1225">
      <c r="A80" s="1451" t="inlineStr">
        <is>
          <t>N° IFU :</t>
        </is>
      </c>
      <c r="B80" s="1333" t="n"/>
      <c r="C80" s="1798">
        <f>C64</f>
        <v/>
      </c>
      <c r="D80" s="1277" t="n"/>
      <c r="E80" s="1349" t="inlineStr">
        <is>
          <t>Exercice clos le :</t>
        </is>
      </c>
      <c r="F80" s="1088">
        <f>F64</f>
        <v/>
      </c>
      <c r="G80" s="114" t="inlineStr">
        <is>
          <t>Durée (en mois) :</t>
        </is>
      </c>
      <c r="H80" s="1823">
        <f>H64</f>
        <v/>
      </c>
    </row>
    <row r="81" ht="17.25" customFormat="1" customHeight="1" s="1333">
      <c r="A81" s="259" t="inlineStr">
        <is>
          <t xml:space="preserve">N° de télédéclarant (NES): </t>
        </is>
      </c>
      <c r="B81" s="401" t="n"/>
      <c r="C81" s="1845">
        <f>C65</f>
        <v/>
      </c>
      <c r="D81" s="1283" t="n"/>
      <c r="E81" s="404" t="n"/>
      <c r="F81" s="404" t="n"/>
      <c r="G81" s="404" t="n"/>
      <c r="H81" s="404" t="n"/>
    </row>
    <row r="82" ht="15.95" customHeight="1" s="1225">
      <c r="A82" s="158" t="inlineStr">
        <is>
          <t>NOTE 16B bis</t>
        </is>
      </c>
      <c r="B82" s="1822" t="inlineStr">
        <is>
          <t>ENGAGEMENTS DE RETRAITE ET AVANTAGES ASSIMILES : PARTIE 2 (METHODE ACTUARIELLE)</t>
        </is>
      </c>
      <c r="C82" s="1420" t="n"/>
      <c r="D82" s="1420" t="n"/>
      <c r="E82" s="1420" t="n"/>
      <c r="F82" s="1420" t="n"/>
      <c r="G82" s="1420" t="n"/>
      <c r="H82" s="1411" t="n"/>
    </row>
    <row r="83" ht="12.95" customHeight="1" s="1225">
      <c r="A83" s="410" t="inlineStr">
        <is>
          <t>ACTIF/PASSIF NET COMPTABILISE AU TITRE DES REGIMES FINANCES</t>
        </is>
      </c>
      <c r="B83" s="160" t="n"/>
      <c r="C83" s="160" t="n"/>
      <c r="D83" s="160" t="n"/>
      <c r="E83" s="160" t="n"/>
      <c r="F83" s="160" t="n"/>
      <c r="G83" s="160" t="n"/>
      <c r="H83" s="178" t="n"/>
    </row>
    <row r="84" ht="119.25" customHeight="1" s="1225">
      <c r="A84" s="1826" t="n"/>
      <c r="B84" s="1608" t="n"/>
      <c r="C84" s="1608" t="n"/>
      <c r="D84" s="1608" t="n"/>
      <c r="E84" s="1608" t="n"/>
      <c r="F84" s="1608" t="n"/>
      <c r="G84" s="1608" t="n"/>
      <c r="H84" s="1655" t="n"/>
    </row>
    <row r="85" ht="12.95" customHeight="1" s="1225">
      <c r="A85" s="408" t="inlineStr">
        <is>
          <t>VALEUR ACTUELLE DES ACTI FS DU REGIME</t>
        </is>
      </c>
      <c r="B85" s="1333" t="n"/>
      <c r="C85" s="1333" t="n"/>
      <c r="D85" s="1333" t="n"/>
      <c r="E85" s="1333" t="n"/>
      <c r="F85" s="1333" t="n"/>
      <c r="G85" s="1333" t="n"/>
      <c r="H85" s="162" t="n"/>
    </row>
    <row r="86" ht="125.1" customHeight="1" s="1225">
      <c r="A86" s="1826" t="n"/>
      <c r="B86" s="1608" t="n"/>
      <c r="C86" s="1608" t="n"/>
      <c r="D86" s="1608" t="n"/>
      <c r="E86" s="1608" t="n"/>
      <c r="F86" s="1608" t="n"/>
      <c r="G86" s="1608" t="n"/>
      <c r="H86" s="1655" t="n"/>
    </row>
    <row r="87" ht="15.95" customHeight="1" s="1225">
      <c r="A87" s="158" t="inlineStr">
        <is>
          <t>NOTE 16C</t>
        </is>
      </c>
      <c r="B87" s="1822" t="inlineStr">
        <is>
          <t>ACTIFS ET PASSIFS EVENTUELS</t>
        </is>
      </c>
      <c r="C87" s="1420" t="n"/>
      <c r="D87" s="1420" t="n"/>
      <c r="E87" s="1420" t="n"/>
      <c r="F87" s="1420" t="n"/>
      <c r="G87" s="1420" t="n"/>
      <c r="H87" s="1411" t="n"/>
    </row>
    <row r="88" ht="125.1" customHeight="1" s="1225">
      <c r="A88" s="1826" t="n"/>
      <c r="B88" s="1608" t="n"/>
      <c r="C88" s="1608" t="n"/>
      <c r="D88" s="1608" t="n"/>
      <c r="E88" s="1608" t="n"/>
      <c r="F88" s="1608" t="n"/>
      <c r="G88" s="1608" t="n"/>
      <c r="H88" s="1655" t="n"/>
    </row>
    <row r="89" ht="15.95" customHeight="1" s="1225">
      <c r="A89" s="158" t="inlineStr">
        <is>
          <t>NOTE 17</t>
        </is>
      </c>
      <c r="B89" s="1822" t="inlineStr">
        <is>
          <t>FOURNISSEURS D'EXPLOITATION</t>
        </is>
      </c>
      <c r="C89" s="1420" t="n"/>
      <c r="D89" s="1420" t="n"/>
      <c r="E89" s="1420" t="n"/>
      <c r="F89" s="1420" t="n"/>
      <c r="G89" s="1420" t="n"/>
      <c r="H89" s="1411" t="n"/>
    </row>
    <row r="90" ht="125.1" customHeight="1" s="1225">
      <c r="A90" s="1826" t="n"/>
      <c r="B90" s="1608" t="n"/>
      <c r="C90" s="1608" t="n"/>
      <c r="D90" s="1608" t="n"/>
      <c r="E90" s="1608" t="n"/>
      <c r="F90" s="1608" t="n"/>
      <c r="G90" s="1608" t="n"/>
      <c r="H90" s="1655" t="n"/>
    </row>
    <row r="91" ht="15.95" customHeight="1" s="1225">
      <c r="A91" s="158" t="inlineStr">
        <is>
          <t>NOTE 18</t>
        </is>
      </c>
      <c r="B91" s="1822" t="inlineStr">
        <is>
          <t>DETTES  FISCALES ET SOCIALES</t>
        </is>
      </c>
      <c r="C91" s="1420" t="n"/>
      <c r="D91" s="1420" t="n"/>
      <c r="E91" s="1420" t="n"/>
      <c r="F91" s="1420" t="n"/>
      <c r="G91" s="1420" t="n"/>
      <c r="H91" s="1411" t="n"/>
    </row>
    <row r="92" ht="125.1" customHeight="1" s="1225">
      <c r="A92" s="1835" t="n"/>
      <c r="B92" s="1395" t="n"/>
      <c r="C92" s="1395" t="n"/>
      <c r="D92" s="1395" t="n"/>
      <c r="E92" s="1395" t="n"/>
      <c r="F92" s="1395" t="n"/>
      <c r="G92" s="1395" t="n"/>
      <c r="H92" s="1396" t="n"/>
    </row>
    <row r="93" ht="26.1" customHeight="1" s="1225">
      <c r="A93" s="1828" t="inlineStr">
        <is>
          <t>TABLE DES COMMENTAIRES</t>
        </is>
      </c>
      <c r="B93" s="1420" t="n"/>
      <c r="C93" s="1420" t="n"/>
      <c r="D93" s="1420" t="n"/>
      <c r="E93" s="1420" t="n"/>
      <c r="F93" s="1411" t="n"/>
      <c r="G93" s="1827" t="inlineStr">
        <is>
          <t>COMMENTAIRES
PAGE 7/9</t>
        </is>
      </c>
      <c r="H93" s="1583" t="n"/>
    </row>
    <row r="94" ht="15" customHeight="1" s="1225">
      <c r="A94" s="159" t="inlineStr">
        <is>
          <t>Dénomination sociale de l'entité :</t>
        </is>
      </c>
      <c r="B94" s="160" t="n"/>
      <c r="C94" s="1831">
        <f>C78</f>
        <v/>
      </c>
      <c r="D94" s="1832" t="n"/>
      <c r="E94" s="1832" t="n"/>
      <c r="F94" s="1832" t="n"/>
      <c r="G94" s="1832" t="n"/>
      <c r="H94" s="1833" t="n"/>
    </row>
    <row r="95" ht="15" customHeight="1" s="1225">
      <c r="A95" s="33" t="inlineStr">
        <is>
          <t>Adresse :</t>
        </is>
      </c>
      <c r="B95" s="1798">
        <f>B79</f>
        <v/>
      </c>
      <c r="C95" s="1277" t="n"/>
      <c r="D95" s="1277" t="n"/>
      <c r="E95" s="1277" t="n"/>
      <c r="F95" s="114" t="inlineStr">
        <is>
          <t>Sigle usuel :</t>
        </is>
      </c>
      <c r="G95" s="1823">
        <f>G79</f>
        <v/>
      </c>
      <c r="H95" s="1824" t="n"/>
    </row>
    <row r="96" ht="14.25" customHeight="1" s="1225">
      <c r="A96" s="1451" t="inlineStr">
        <is>
          <t>N° IFU :</t>
        </is>
      </c>
      <c r="B96" s="1333" t="n"/>
      <c r="C96" s="1798">
        <f>C80</f>
        <v/>
      </c>
      <c r="D96" s="1277" t="n"/>
      <c r="E96" s="1349" t="inlineStr">
        <is>
          <t>Exercice clos le :</t>
        </is>
      </c>
      <c r="F96" s="1088">
        <f>F80</f>
        <v/>
      </c>
      <c r="G96" s="114" t="inlineStr">
        <is>
          <t>Durée (en mois) :</t>
        </is>
      </c>
      <c r="H96" s="1823">
        <f>H80</f>
        <v/>
      </c>
    </row>
    <row r="97" ht="17.25" customFormat="1" customHeight="1" s="1333">
      <c r="A97" s="259" t="inlineStr">
        <is>
          <t xml:space="preserve">N° de télédéclarant (NES): </t>
        </is>
      </c>
      <c r="B97" s="401" t="n"/>
      <c r="C97" s="1829">
        <f>C81</f>
        <v/>
      </c>
      <c r="D97" s="1830" t="n"/>
      <c r="E97" s="404" t="n"/>
      <c r="F97" s="404" t="n"/>
      <c r="G97" s="404" t="n"/>
      <c r="H97" s="404" t="n"/>
    </row>
    <row r="98" ht="15.95" customHeight="1" s="1225">
      <c r="A98" s="158" t="inlineStr">
        <is>
          <t>NOTE 19</t>
        </is>
      </c>
      <c r="B98" s="1822" t="inlineStr">
        <is>
          <t>AUTRES DETTES ET PROVISIONS POUR RISQUES A COURT TERME</t>
        </is>
      </c>
      <c r="C98" s="1420" t="n"/>
      <c r="D98" s="1420" t="n"/>
      <c r="E98" s="1420" t="n"/>
      <c r="F98" s="1420" t="n"/>
      <c r="G98" s="1420" t="n"/>
      <c r="H98" s="1411" t="n"/>
    </row>
    <row r="99" ht="125.1" customHeight="1" s="1225">
      <c r="A99" s="1826" t="n"/>
      <c r="B99" s="1608" t="n"/>
      <c r="C99" s="1608" t="n"/>
      <c r="D99" s="1608" t="n"/>
      <c r="E99" s="1608" t="n"/>
      <c r="F99" s="1608" t="n"/>
      <c r="G99" s="1608" t="n"/>
      <c r="H99" s="1655" t="n"/>
    </row>
    <row r="100" ht="15.95" customHeight="1" s="1225">
      <c r="A100" s="158" t="inlineStr">
        <is>
          <t>NOTE 20</t>
        </is>
      </c>
      <c r="B100" s="1822" t="inlineStr">
        <is>
          <t>BANQUES, CREDIT D'ESCOMPTE ET DE TRESORERIE</t>
        </is>
      </c>
      <c r="C100" s="1420" t="n"/>
      <c r="D100" s="1420" t="n"/>
      <c r="E100" s="1420" t="n"/>
      <c r="F100" s="1420" t="n"/>
      <c r="G100" s="1420" t="n"/>
      <c r="H100" s="1411" t="n"/>
    </row>
    <row r="101" ht="125.1" customHeight="1" s="1225">
      <c r="A101" s="1826" t="n"/>
      <c r="B101" s="1608" t="n"/>
      <c r="C101" s="1608" t="n"/>
      <c r="D101" s="1608" t="n"/>
      <c r="E101" s="1608" t="n"/>
      <c r="F101" s="1608" t="n"/>
      <c r="G101" s="1608" t="n"/>
      <c r="H101" s="1655" t="n"/>
    </row>
    <row r="102" ht="15.95" customHeight="1" s="1225">
      <c r="A102" s="158" t="inlineStr">
        <is>
          <t>NOTE 21</t>
        </is>
      </c>
      <c r="B102" s="1822" t="inlineStr">
        <is>
          <t>CHIFFRE D'AFFAIRES  ET AUTRES PRODUITS</t>
        </is>
      </c>
      <c r="C102" s="1420" t="n"/>
      <c r="D102" s="1420" t="n"/>
      <c r="E102" s="1420" t="n"/>
      <c r="F102" s="1420" t="n"/>
      <c r="G102" s="1420" t="n"/>
      <c r="H102" s="1411" t="n"/>
    </row>
    <row r="103" ht="125.1" customHeight="1" s="1225">
      <c r="A103" s="1826" t="n"/>
      <c r="B103" s="1608" t="n"/>
      <c r="C103" s="1608" t="n"/>
      <c r="D103" s="1608" t="n"/>
      <c r="E103" s="1608" t="n"/>
      <c r="F103" s="1608" t="n"/>
      <c r="G103" s="1608" t="n"/>
      <c r="H103" s="1655" t="n"/>
    </row>
    <row r="104" ht="15.95" customHeight="1" s="1225">
      <c r="A104" s="158" t="inlineStr">
        <is>
          <t>NOTE 22</t>
        </is>
      </c>
      <c r="B104" s="1822" t="inlineStr">
        <is>
          <t>ACHATS</t>
        </is>
      </c>
      <c r="C104" s="1420" t="n"/>
      <c r="D104" s="1420" t="n"/>
      <c r="E104" s="1420" t="n"/>
      <c r="F104" s="1420" t="n"/>
      <c r="G104" s="1420" t="n"/>
      <c r="H104" s="1411" t="n"/>
    </row>
    <row r="105" ht="125.1" customHeight="1" s="1225">
      <c r="A105" s="1826" t="n"/>
      <c r="B105" s="1608" t="n"/>
      <c r="C105" s="1608" t="n"/>
      <c r="D105" s="1608" t="n"/>
      <c r="E105" s="1608" t="n"/>
      <c r="F105" s="1608" t="n"/>
      <c r="G105" s="1608" t="n"/>
      <c r="H105" s="1655" t="n"/>
    </row>
    <row r="106" ht="15.95" customHeight="1" s="1225">
      <c r="A106" s="158" t="inlineStr">
        <is>
          <t>NOTE 23</t>
        </is>
      </c>
      <c r="B106" s="1822" t="inlineStr">
        <is>
          <t>TRANSPORTS</t>
        </is>
      </c>
      <c r="C106" s="1420" t="n"/>
      <c r="D106" s="1420" t="n"/>
      <c r="E106" s="1420" t="n"/>
      <c r="F106" s="1420" t="n"/>
      <c r="G106" s="1420" t="n"/>
      <c r="H106" s="1411" t="n"/>
    </row>
    <row r="107" ht="125.1" customHeight="1" s="1225">
      <c r="A107" s="1826" t="n"/>
      <c r="B107" s="1608" t="n"/>
      <c r="C107" s="1608" t="n"/>
      <c r="D107" s="1608" t="n"/>
      <c r="E107" s="1608" t="n"/>
      <c r="F107" s="1608" t="n"/>
      <c r="G107" s="1608" t="n"/>
      <c r="H107" s="1655" t="n"/>
    </row>
    <row r="108" ht="26.1" customHeight="1" s="1225">
      <c r="A108" s="1828" t="inlineStr">
        <is>
          <t>TABLE DES COMMENTAIRES</t>
        </is>
      </c>
      <c r="B108" s="1420" t="n"/>
      <c r="C108" s="1420" t="n"/>
      <c r="D108" s="1420" t="n"/>
      <c r="E108" s="1420" t="n"/>
      <c r="F108" s="1411" t="n"/>
      <c r="G108" s="1827" t="inlineStr">
        <is>
          <t>COMMENTAIRES
PAGE 8/9</t>
        </is>
      </c>
      <c r="H108" s="1583" t="n"/>
    </row>
    <row r="109" ht="15" customHeight="1" s="1225">
      <c r="A109" s="159" t="inlineStr">
        <is>
          <t>Dénomination sociale de l'entité :</t>
        </is>
      </c>
      <c r="B109" s="160" t="n"/>
      <c r="C109" s="1831">
        <f>C94</f>
        <v/>
      </c>
      <c r="D109" s="1832" t="n"/>
      <c r="E109" s="1832" t="n"/>
      <c r="F109" s="1832" t="n"/>
      <c r="G109" s="1832" t="n"/>
      <c r="H109" s="1833" t="n"/>
    </row>
    <row r="110" ht="15" customHeight="1" s="1225">
      <c r="A110" s="33" t="inlineStr">
        <is>
          <t>Adresse :</t>
        </is>
      </c>
      <c r="B110" s="1798">
        <f>B95</f>
        <v/>
      </c>
      <c r="C110" s="1277" t="n"/>
      <c r="D110" s="1277" t="n"/>
      <c r="E110" s="1277" t="n"/>
      <c r="F110" s="114" t="inlineStr">
        <is>
          <t>Sigle usuel :</t>
        </is>
      </c>
      <c r="G110" s="1823">
        <f>G95</f>
        <v/>
      </c>
      <c r="H110" s="1824" t="n"/>
    </row>
    <row r="111" ht="15" customHeight="1" s="1225">
      <c r="A111" s="1451" t="inlineStr">
        <is>
          <t>N° IFU :</t>
        </is>
      </c>
      <c r="B111" s="1333" t="n"/>
      <c r="C111" s="1798">
        <f>C96</f>
        <v/>
      </c>
      <c r="D111" s="1277" t="n"/>
      <c r="E111" s="1349" t="inlineStr">
        <is>
          <t>Exercice clos le :</t>
        </is>
      </c>
      <c r="F111" s="1088">
        <f>F96</f>
        <v/>
      </c>
      <c r="G111" s="114" t="inlineStr">
        <is>
          <t>Durée (en mois) :</t>
        </is>
      </c>
      <c r="H111" s="1823">
        <f>H96</f>
        <v/>
      </c>
    </row>
    <row r="112" ht="17.25" customHeight="1" s="1225">
      <c r="A112" s="259" t="inlineStr">
        <is>
          <t xml:space="preserve">N° de télédéclarant (NES): </t>
        </is>
      </c>
      <c r="B112" s="401" t="n"/>
      <c r="C112" s="1829">
        <f>C97</f>
        <v/>
      </c>
      <c r="D112" s="1830" t="n"/>
      <c r="E112" s="1349" t="n"/>
      <c r="F112" s="354" t="n"/>
      <c r="G112" s="114" t="n"/>
      <c r="H112" s="400" t="n"/>
    </row>
    <row r="113" ht="15" customHeight="1" s="1225">
      <c r="A113" s="158" t="inlineStr">
        <is>
          <t>NOTE 24</t>
        </is>
      </c>
      <c r="B113" s="1822" t="inlineStr">
        <is>
          <t>SERVICES EXTERIEURS</t>
        </is>
      </c>
      <c r="C113" s="1420" t="n"/>
      <c r="D113" s="1420" t="n"/>
      <c r="E113" s="1420" t="n"/>
      <c r="F113" s="1420" t="n"/>
      <c r="G113" s="1420" t="n"/>
      <c r="H113" s="1411" t="n"/>
    </row>
    <row r="114" ht="125.1" customHeight="1" s="1225">
      <c r="A114" s="1826" t="n"/>
      <c r="B114" s="1608" t="n"/>
      <c r="C114" s="1608" t="n"/>
      <c r="D114" s="1608" t="n"/>
      <c r="E114" s="1608" t="n"/>
      <c r="F114" s="1608" t="n"/>
      <c r="G114" s="1608" t="n"/>
      <c r="H114" s="1655" t="n"/>
    </row>
    <row r="115" ht="15.95" customHeight="1" s="1225">
      <c r="A115" s="158" t="inlineStr">
        <is>
          <t>NOTE 25</t>
        </is>
      </c>
      <c r="B115" s="1822" t="inlineStr">
        <is>
          <t>IMPOTS ET TAXES</t>
        </is>
      </c>
      <c r="C115" s="1420" t="n"/>
      <c r="D115" s="1420" t="n"/>
      <c r="E115" s="1420" t="n"/>
      <c r="F115" s="1420" t="n"/>
      <c r="G115" s="1420" t="n"/>
      <c r="H115" s="1411" t="n"/>
    </row>
    <row r="116" ht="125.1" customHeight="1" s="1225">
      <c r="A116" s="1826" t="n"/>
      <c r="B116" s="1608" t="n"/>
      <c r="C116" s="1608" t="n"/>
      <c r="D116" s="1608" t="n"/>
      <c r="E116" s="1608" t="n"/>
      <c r="F116" s="1608" t="n"/>
      <c r="G116" s="1608" t="n"/>
      <c r="H116" s="1655" t="n"/>
    </row>
    <row r="117" ht="15.95" customHeight="1" s="1225">
      <c r="A117" s="158" t="inlineStr">
        <is>
          <t>NOTE 26</t>
        </is>
      </c>
      <c r="B117" s="1822" t="inlineStr">
        <is>
          <t>AUTRES CHARGES</t>
        </is>
      </c>
      <c r="C117" s="1420" t="n"/>
      <c r="D117" s="1420" t="n"/>
      <c r="E117" s="1420" t="n"/>
      <c r="F117" s="1420" t="n"/>
      <c r="G117" s="1420" t="n"/>
      <c r="H117" s="1411" t="n"/>
    </row>
    <row r="118" ht="125.1" customHeight="1" s="1225">
      <c r="A118" s="1826" t="n"/>
      <c r="B118" s="1608" t="n"/>
      <c r="C118" s="1608" t="n"/>
      <c r="D118" s="1608" t="n"/>
      <c r="E118" s="1608" t="n"/>
      <c r="F118" s="1608" t="n"/>
      <c r="G118" s="1608" t="n"/>
      <c r="H118" s="1655" t="n"/>
    </row>
    <row r="119" ht="15.95" customHeight="1" s="1225">
      <c r="A119" s="158" t="inlineStr">
        <is>
          <t>NOTE 27A</t>
        </is>
      </c>
      <c r="B119" s="1822" t="inlineStr">
        <is>
          <t>CHARGES DE PERSONNEL</t>
        </is>
      </c>
      <c r="C119" s="1420" t="n"/>
      <c r="D119" s="1420" t="n"/>
      <c r="E119" s="1420" t="n"/>
      <c r="F119" s="1420" t="n"/>
      <c r="G119" s="1420" t="n"/>
      <c r="H119" s="1411" t="n"/>
    </row>
    <row r="120" ht="125.1" customHeight="1" s="1225">
      <c r="A120" s="1826" t="n"/>
      <c r="B120" s="1608" t="n"/>
      <c r="C120" s="1608" t="n"/>
      <c r="D120" s="1608" t="n"/>
      <c r="E120" s="1608" t="n"/>
      <c r="F120" s="1608" t="n"/>
      <c r="G120" s="1608" t="n"/>
      <c r="H120" s="1655" t="n"/>
    </row>
    <row r="121" ht="15.95" customHeight="1" s="1225">
      <c r="A121" s="158" t="inlineStr">
        <is>
          <t>NOTE 27B</t>
        </is>
      </c>
      <c r="B121" s="1822" t="inlineStr">
        <is>
          <t>EFFECTIFS, MASSE SALARIALE ET PERSONNEL EXTERIEUR</t>
        </is>
      </c>
      <c r="C121" s="1420" t="n"/>
      <c r="D121" s="1420" t="n"/>
      <c r="E121" s="1420" t="n"/>
      <c r="F121" s="1420" t="n"/>
      <c r="G121" s="1420" t="n"/>
      <c r="H121" s="1411" t="n"/>
    </row>
    <row r="122" ht="123.75" customHeight="1" s="1225">
      <c r="A122" s="1826" t="n"/>
      <c r="B122" s="1608" t="n"/>
      <c r="C122" s="1608" t="n"/>
      <c r="D122" s="1608" t="n"/>
      <c r="E122" s="1608" t="n"/>
      <c r="F122" s="1608" t="n"/>
      <c r="G122" s="1608" t="n"/>
      <c r="H122" s="1655" t="n"/>
    </row>
    <row r="123" ht="26.1" customHeight="1" s="1225">
      <c r="A123" s="1828" t="inlineStr">
        <is>
          <t>TABLE DES COMMENTAIRES</t>
        </is>
      </c>
      <c r="B123" s="1420" t="n"/>
      <c r="C123" s="1420" t="n"/>
      <c r="D123" s="1420" t="n"/>
      <c r="E123" s="1420" t="n"/>
      <c r="F123" s="1411" t="n"/>
      <c r="G123" s="1827" t="inlineStr">
        <is>
          <t>COMMENTAIRES
PAGE 9/9</t>
        </is>
      </c>
      <c r="H123" s="1583" t="n"/>
    </row>
    <row r="124" ht="15" customHeight="1" s="1225">
      <c r="A124" s="159" t="inlineStr">
        <is>
          <t>Dénomination sociale de l'entité :</t>
        </is>
      </c>
      <c r="B124" s="160" t="n"/>
      <c r="C124" s="1831">
        <f>C109</f>
        <v/>
      </c>
      <c r="D124" s="1832" t="n"/>
      <c r="E124" s="1832" t="n"/>
      <c r="F124" s="1832" t="n"/>
      <c r="G124" s="1832" t="n"/>
      <c r="H124" s="1833" t="n"/>
    </row>
    <row r="125" ht="15" customHeight="1" s="1225">
      <c r="A125" s="33" t="inlineStr">
        <is>
          <t>Adresse :</t>
        </is>
      </c>
      <c r="B125" s="1798">
        <f>B110</f>
        <v/>
      </c>
      <c r="C125" s="1277" t="n"/>
      <c r="D125" s="1277" t="n"/>
      <c r="E125" s="1277" t="n"/>
      <c r="F125" s="114" t="inlineStr">
        <is>
          <t>Sigle usuel :</t>
        </is>
      </c>
      <c r="G125" s="1823">
        <f>G110</f>
        <v/>
      </c>
      <c r="H125" s="1824" t="n"/>
    </row>
    <row r="126" ht="15" customHeight="1" s="1225">
      <c r="A126" s="1451" t="inlineStr">
        <is>
          <t>N° IFU :</t>
        </is>
      </c>
      <c r="B126" s="1333" t="n"/>
      <c r="C126" s="1798">
        <f>C111</f>
        <v/>
      </c>
      <c r="D126" s="1277" t="n"/>
      <c r="E126" s="1349" t="inlineStr">
        <is>
          <t>Exercice clos le :</t>
        </is>
      </c>
      <c r="F126" s="1088">
        <f>F111</f>
        <v/>
      </c>
      <c r="G126" s="114" t="inlineStr">
        <is>
          <t>Durée (en mois) :</t>
        </is>
      </c>
      <c r="H126" s="1823">
        <f>H111</f>
        <v/>
      </c>
    </row>
    <row r="127" ht="17.25" customHeight="1" s="1225">
      <c r="A127" s="259" t="inlineStr">
        <is>
          <t xml:space="preserve">N° de télédéclarant (NES): </t>
        </is>
      </c>
      <c r="B127" s="401" t="n"/>
      <c r="C127" s="1829">
        <f>C112</f>
        <v/>
      </c>
      <c r="D127" s="1830" t="n"/>
      <c r="E127" s="1349" t="n"/>
      <c r="F127" s="354" t="n"/>
      <c r="G127" s="114" t="n"/>
      <c r="H127" s="400" t="n"/>
    </row>
    <row r="128" ht="15" customHeight="1" s="1225">
      <c r="A128" s="158" t="inlineStr">
        <is>
          <t>NOTE 28A</t>
        </is>
      </c>
      <c r="B128" s="1822" t="inlineStr">
        <is>
          <t>PROVISIONS  ET DEPRECIATIONS INSCRITES AU BILAN</t>
        </is>
      </c>
      <c r="C128" s="1420" t="n"/>
      <c r="D128" s="1420" t="n"/>
      <c r="E128" s="1420" t="n"/>
      <c r="F128" s="1420" t="n"/>
      <c r="G128" s="1420" t="n"/>
      <c r="H128" s="1411" t="n"/>
    </row>
    <row r="129" ht="129.95" customHeight="1" s="1225">
      <c r="A129" s="1826" t="n"/>
      <c r="B129" s="1608" t="n"/>
      <c r="C129" s="1608" t="n"/>
      <c r="D129" s="1608" t="n"/>
      <c r="E129" s="1608" t="n"/>
      <c r="F129" s="1608" t="n"/>
      <c r="G129" s="1608" t="n"/>
      <c r="H129" s="1655" t="n"/>
    </row>
    <row r="130" ht="15.95" customHeight="1" s="1225">
      <c r="A130" s="158" t="inlineStr">
        <is>
          <t>NOTE 28B</t>
        </is>
      </c>
      <c r="B130" s="1822" t="inlineStr">
        <is>
          <t>DEPRECIATIONS DES IMMOBILISATIONS</t>
        </is>
      </c>
      <c r="C130" s="1420" t="n"/>
      <c r="D130" s="1420" t="n"/>
      <c r="E130" s="1420" t="n"/>
      <c r="F130" s="1420" t="n"/>
      <c r="G130" s="1420" t="n"/>
      <c r="H130" s="1411" t="n"/>
    </row>
    <row r="131" ht="129.95" customHeight="1" s="1225">
      <c r="A131" s="1826" t="n"/>
      <c r="B131" s="1608" t="n"/>
      <c r="C131" s="1608" t="n"/>
      <c r="D131" s="1608" t="n"/>
      <c r="E131" s="1608" t="n"/>
      <c r="F131" s="1608" t="n"/>
      <c r="G131" s="1608" t="n"/>
      <c r="H131" s="1655" t="n"/>
    </row>
    <row r="132" ht="15.95" customHeight="1" s="1225">
      <c r="A132" s="158" t="inlineStr">
        <is>
          <t>NOTE 28C</t>
        </is>
      </c>
      <c r="B132" s="1822" t="inlineStr">
        <is>
          <t>AUTRES DEPRECIATIONS</t>
        </is>
      </c>
      <c r="C132" s="1420" t="n"/>
      <c r="D132" s="1420" t="n"/>
      <c r="E132" s="1420" t="n"/>
      <c r="F132" s="1420" t="n"/>
      <c r="G132" s="1420" t="n"/>
      <c r="H132" s="1411" t="n"/>
    </row>
    <row r="133" ht="129.95" customHeight="1" s="1225">
      <c r="A133" s="1826" t="n"/>
      <c r="B133" s="1608" t="n"/>
      <c r="C133" s="1608" t="n"/>
      <c r="D133" s="1608" t="n"/>
      <c r="E133" s="1608" t="n"/>
      <c r="F133" s="1608" t="n"/>
      <c r="G133" s="1608" t="n"/>
      <c r="H133" s="1655" t="n"/>
    </row>
    <row r="134" ht="12.95" customHeight="1" s="1225">
      <c r="A134" s="158" t="inlineStr">
        <is>
          <t>NOTE 29</t>
        </is>
      </c>
      <c r="B134" s="1822" t="inlineStr">
        <is>
          <t>CHARGES ET REVENUS FINANCIERS</t>
        </is>
      </c>
      <c r="C134" s="1420" t="n"/>
      <c r="D134" s="1420" t="n"/>
      <c r="E134" s="1420" t="n"/>
      <c r="F134" s="1420" t="n"/>
      <c r="G134" s="1420" t="n"/>
      <c r="H134" s="1411" t="n"/>
    </row>
    <row r="135" ht="129.95" customHeight="1" s="1225">
      <c r="A135" s="1826" t="n"/>
      <c r="B135" s="1608" t="n"/>
      <c r="C135" s="1608" t="n"/>
      <c r="D135" s="1608" t="n"/>
      <c r="E135" s="1608" t="n"/>
      <c r="F135" s="1608" t="n"/>
      <c r="G135" s="1608" t="n"/>
      <c r="H135" s="1655" t="n"/>
    </row>
    <row r="136" ht="12.95" customHeight="1" s="1225">
      <c r="A136" s="158" t="inlineStr">
        <is>
          <t>NOTE 30</t>
        </is>
      </c>
      <c r="B136" s="1822" t="inlineStr">
        <is>
          <t>AUTRES  CHARGES ET PRODUITS HAO</t>
        </is>
      </c>
      <c r="C136" s="1420" t="n"/>
      <c r="D136" s="1420" t="n"/>
      <c r="E136" s="1420" t="n"/>
      <c r="F136" s="1420" t="n"/>
      <c r="G136" s="1420" t="n"/>
      <c r="H136" s="1411" t="n"/>
    </row>
    <row r="137" ht="129.95" customHeight="1" s="1225">
      <c r="A137" s="1826" t="n"/>
      <c r="B137" s="1608" t="n"/>
      <c r="C137" s="1608" t="n"/>
      <c r="D137" s="1608" t="n"/>
      <c r="E137" s="1608" t="n"/>
      <c r="F137" s="1608" t="n"/>
      <c r="G137" s="1608" t="n"/>
      <c r="H137" s="1655" t="n"/>
    </row>
    <row r="138" ht="12.95" customHeight="1" s="1225">
      <c r="C138" s="1333" t="n"/>
      <c r="D138" s="1333" t="n"/>
      <c r="E138" s="1333" t="n"/>
      <c r="F138" s="1333" t="n"/>
      <c r="G138" s="1333" t="n"/>
      <c r="H138" s="1333" t="n"/>
    </row>
    <row r="139" ht="12.95" customHeight="1" s="1225">
      <c r="C139" s="1333" t="n"/>
      <c r="D139" s="1333" t="n"/>
      <c r="E139" s="1333" t="n"/>
      <c r="F139" s="1333" t="n"/>
      <c r="G139" s="1333" t="n"/>
      <c r="H139" s="1333" t="n"/>
    </row>
    <row r="140" ht="12.95" customHeight="1" s="1225">
      <c r="C140" s="1333" t="n"/>
      <c r="D140" s="1333" t="n"/>
      <c r="E140" s="1333" t="n"/>
      <c r="F140" s="1333" t="n"/>
      <c r="G140" s="1333" t="n"/>
      <c r="H140" s="1333" t="n"/>
    </row>
    <row r="141" ht="12.95" customHeight="1" s="1225">
      <c r="C141" s="1333" t="n"/>
      <c r="D141" s="1333" t="n"/>
      <c r="E141" s="1333" t="n"/>
      <c r="F141" s="1333" t="n"/>
      <c r="G141" s="1333" t="n"/>
      <c r="H141" s="1333" t="n"/>
    </row>
    <row r="142" ht="12.95" customHeight="1" s="1225">
      <c r="C142" s="1333" t="n"/>
      <c r="D142" s="1333" t="n"/>
      <c r="E142" s="1333" t="n"/>
      <c r="F142" s="1333" t="n"/>
      <c r="G142" s="1333" t="n"/>
      <c r="H142" s="1333" t="n"/>
    </row>
    <row r="143" ht="12.95" customHeight="1" s="1225">
      <c r="C143" s="1333" t="n"/>
      <c r="D143" s="1333" t="n"/>
      <c r="E143" s="1333" t="n"/>
      <c r="F143" s="1333" t="n"/>
      <c r="G143" s="1333" t="n"/>
      <c r="H143" s="1333" t="n"/>
    </row>
    <row r="144" ht="12.95" customHeight="1" s="1225">
      <c r="C144" s="1333" t="n"/>
      <c r="D144" s="1333" t="n"/>
      <c r="E144" s="1333" t="n"/>
      <c r="F144" s="1333" t="n"/>
      <c r="G144" s="1333" t="n"/>
      <c r="H144" s="1333" t="n"/>
    </row>
    <row r="145" ht="12.95" customHeight="1" s="1225"/>
    <row r="146" ht="12.95" customHeight="1" s="1225"/>
    <row r="147" ht="12.95" customHeight="1" s="1225"/>
    <row r="148" ht="12.95" customHeight="1" s="1225"/>
    <row r="149" ht="12.95" customHeight="1" s="1225"/>
    <row r="150" ht="12.95" customHeight="1" s="1225"/>
    <row r="151" ht="12.95" customHeight="1" s="1225"/>
    <row r="152" ht="12.95" customHeight="1" s="1225"/>
    <row r="153" ht="12.95" customHeight="1" s="1225"/>
    <row r="154" ht="12.95" customHeight="1" s="1225"/>
    <row r="155" ht="12.95" customHeight="1" s="1225"/>
    <row r="156" ht="12.95" customHeight="1" s="1225"/>
    <row r="157" ht="12.95" customHeight="1" s="1225"/>
    <row r="158" ht="12.95" customHeight="1" s="1225"/>
    <row r="159" ht="12.95" customHeight="1" s="1225"/>
    <row r="160" ht="12.95" customHeight="1" s="1225"/>
    <row r="161" ht="12.95" customHeight="1" s="1225"/>
    <row r="162" ht="12.95" customHeight="1" s="1225"/>
    <row r="163" ht="12.95" customHeight="1" s="1225"/>
    <row r="164" ht="12.95" customHeight="1" s="1225"/>
    <row r="165" ht="12.95" customHeight="1" s="1225"/>
    <row r="166" ht="12.95" customHeight="1" s="1225"/>
    <row r="167" ht="12.95" customHeight="1" s="1225"/>
    <row r="168" ht="12.95" customHeight="1" s="1225"/>
    <row r="169" ht="12.95" customHeight="1" s="1225"/>
    <row r="170" ht="12.95" customHeight="1" s="1225"/>
    <row r="171" ht="12.95" customHeight="1" s="1225"/>
    <row r="172" ht="12.95" customHeight="1" s="1225"/>
    <row r="173" ht="12.95" customHeight="1" s="1225"/>
    <row r="174" ht="12.95" customHeight="1" s="1225"/>
    <row r="175" ht="12.95" customHeight="1" s="1225"/>
    <row r="176" ht="12.95" customHeight="1" s="1225"/>
    <row r="177" ht="12.95" customHeight="1" s="1225"/>
    <row r="178" ht="12.95" customHeight="1" s="1225"/>
    <row r="179" ht="12.95" customHeight="1" s="1225"/>
    <row r="180" ht="12.95" customHeight="1" s="1225"/>
    <row r="181" ht="12.95" customHeight="1" s="1225"/>
    <row r="182" ht="12.95" customHeight="1" s="1225"/>
    <row r="183" ht="12.95" customHeight="1" s="1225"/>
    <row r="184" ht="12.95" customHeight="1" s="1225"/>
    <row r="185" ht="12.95" customHeight="1" s="1225"/>
    <row r="186" ht="12.95" customHeight="1" s="1225"/>
    <row r="187" ht="12.95" customHeight="1" s="1225"/>
    <row r="188" ht="12.95" customHeight="1" s="1225"/>
    <row r="189" ht="12.95" customHeight="1" s="1225"/>
    <row r="190" ht="12.95" customHeight="1" s="1225"/>
    <row r="191" ht="12.95" customHeight="1" s="1225"/>
    <row r="192" ht="12.95" customHeight="1" s="1225"/>
    <row r="193" ht="12.95" customHeight="1" s="1225"/>
    <row r="194" ht="12.95" customHeight="1" s="1225"/>
    <row r="195" ht="12.95" customHeight="1" s="1225"/>
    <row r="196" ht="12.95" customHeight="1" s="1225"/>
    <row r="197" ht="12.95" customHeight="1" s="1225"/>
    <row r="198" ht="12.95" customHeight="1" s="1225"/>
    <row r="199" ht="12.95" customHeight="1" s="1225"/>
    <row r="200" ht="12.95" customHeight="1" s="1225"/>
    <row r="201" ht="12.95" customHeight="1" s="1225"/>
    <row r="202" ht="12.95" customHeight="1" s="1225"/>
    <row r="203" ht="12.95" customHeight="1" s="1225"/>
    <row r="204" ht="12.95" customHeight="1" s="1225"/>
  </sheetData>
  <mergeCells count="148">
    <mergeCell ref="B55:H55"/>
    <mergeCell ref="B104:H104"/>
    <mergeCell ref="C64:D64"/>
    <mergeCell ref="B110:E110"/>
    <mergeCell ref="C46:H46"/>
    <mergeCell ref="A69:H69"/>
    <mergeCell ref="B41:H41"/>
    <mergeCell ref="A25:H25"/>
    <mergeCell ref="B106:H106"/>
    <mergeCell ref="A32:F32"/>
    <mergeCell ref="B47:E47"/>
    <mergeCell ref="A118:H118"/>
    <mergeCell ref="A133:H133"/>
    <mergeCell ref="G18:H18"/>
    <mergeCell ref="B66:H66"/>
    <mergeCell ref="G34:H34"/>
    <mergeCell ref="A86:H86"/>
    <mergeCell ref="G108:H108"/>
    <mergeCell ref="C78:H78"/>
    <mergeCell ref="C36:D36"/>
    <mergeCell ref="B130:H130"/>
    <mergeCell ref="G123:H123"/>
    <mergeCell ref="G110:H110"/>
    <mergeCell ref="A29:H29"/>
    <mergeCell ref="B132:H132"/>
    <mergeCell ref="A38:H38"/>
    <mergeCell ref="C19:D19"/>
    <mergeCell ref="A13:H13"/>
    <mergeCell ref="C111:D111"/>
    <mergeCell ref="A44:H44"/>
    <mergeCell ref="A31:H31"/>
    <mergeCell ref="B37:H37"/>
    <mergeCell ref="A58:H58"/>
    <mergeCell ref="A40:H40"/>
    <mergeCell ref="A67:H67"/>
    <mergeCell ref="A16:F16"/>
    <mergeCell ref="G77:H77"/>
    <mergeCell ref="A15:H15"/>
    <mergeCell ref="A108:F108"/>
    <mergeCell ref="A24:H24"/>
    <mergeCell ref="A107:H107"/>
    <mergeCell ref="C5:D5"/>
    <mergeCell ref="A60:H60"/>
    <mergeCell ref="B6:H6"/>
    <mergeCell ref="G61:H61"/>
    <mergeCell ref="C97:D97"/>
    <mergeCell ref="B89:H89"/>
    <mergeCell ref="C4:D4"/>
    <mergeCell ref="B63:E63"/>
    <mergeCell ref="C2:H2"/>
    <mergeCell ref="G125:H125"/>
    <mergeCell ref="A7:H7"/>
    <mergeCell ref="A99:H99"/>
    <mergeCell ref="B3:E3"/>
    <mergeCell ref="A84:H84"/>
    <mergeCell ref="A27:H27"/>
    <mergeCell ref="B134:H134"/>
    <mergeCell ref="B121:H121"/>
    <mergeCell ref="A101:H101"/>
    <mergeCell ref="B18:E18"/>
    <mergeCell ref="B43:H43"/>
    <mergeCell ref="A42:H42"/>
    <mergeCell ref="B98:H98"/>
    <mergeCell ref="A22:H22"/>
    <mergeCell ref="A135:H135"/>
    <mergeCell ref="B8:H8"/>
    <mergeCell ref="C62:H62"/>
    <mergeCell ref="A122:H122"/>
    <mergeCell ref="B57:H57"/>
    <mergeCell ref="G16:H16"/>
    <mergeCell ref="B82:H82"/>
    <mergeCell ref="A72:H72"/>
    <mergeCell ref="A61:F61"/>
    <mergeCell ref="B10:H10"/>
    <mergeCell ref="B28:H28"/>
    <mergeCell ref="A114:H114"/>
    <mergeCell ref="B68:H68"/>
    <mergeCell ref="C124:H124"/>
    <mergeCell ref="B30:H30"/>
    <mergeCell ref="A1:B1"/>
    <mergeCell ref="B95:E95"/>
    <mergeCell ref="A88:H88"/>
    <mergeCell ref="C20:D20"/>
    <mergeCell ref="B79:E79"/>
    <mergeCell ref="C112:D112"/>
    <mergeCell ref="C65:D65"/>
    <mergeCell ref="A54:H54"/>
    <mergeCell ref="A137:H137"/>
    <mergeCell ref="A90:H90"/>
    <mergeCell ref="C127:D127"/>
    <mergeCell ref="C17:H17"/>
    <mergeCell ref="C80:D80"/>
    <mergeCell ref="B59:H59"/>
    <mergeCell ref="A74:H74"/>
    <mergeCell ref="A56:H56"/>
    <mergeCell ref="A26:H26"/>
    <mergeCell ref="A93:F93"/>
    <mergeCell ref="B21:H21"/>
    <mergeCell ref="A129:H129"/>
    <mergeCell ref="B39:H39"/>
    <mergeCell ref="G95:H95"/>
    <mergeCell ref="B70:H70"/>
    <mergeCell ref="A76:H76"/>
    <mergeCell ref="A116:H116"/>
    <mergeCell ref="C48:D48"/>
    <mergeCell ref="B136:H136"/>
    <mergeCell ref="G79:H79"/>
    <mergeCell ref="B23:H23"/>
    <mergeCell ref="A131:H131"/>
    <mergeCell ref="G32:H32"/>
    <mergeCell ref="A45:F45"/>
    <mergeCell ref="G63:H63"/>
    <mergeCell ref="G1:H1"/>
    <mergeCell ref="B87:H87"/>
    <mergeCell ref="B34:E34"/>
    <mergeCell ref="B128:H128"/>
    <mergeCell ref="C49:D49"/>
    <mergeCell ref="C94:H94"/>
    <mergeCell ref="C109:H109"/>
    <mergeCell ref="A9:H9"/>
    <mergeCell ref="A92:H92"/>
    <mergeCell ref="A11:H11"/>
    <mergeCell ref="A103:H103"/>
    <mergeCell ref="C126:D126"/>
    <mergeCell ref="C35:D35"/>
    <mergeCell ref="B50:H50"/>
    <mergeCell ref="B113:H113"/>
    <mergeCell ref="B91:H91"/>
    <mergeCell ref="B100:H100"/>
    <mergeCell ref="G93:H93"/>
    <mergeCell ref="B125:E125"/>
    <mergeCell ref="A120:H120"/>
    <mergeCell ref="G3:H3"/>
    <mergeCell ref="B115:H115"/>
    <mergeCell ref="A105:H105"/>
    <mergeCell ref="B102:H102"/>
    <mergeCell ref="B12:H12"/>
    <mergeCell ref="B117:H117"/>
    <mergeCell ref="G45:H45"/>
    <mergeCell ref="A77:F77"/>
    <mergeCell ref="C33:H33"/>
    <mergeCell ref="B14:H14"/>
    <mergeCell ref="B119:H119"/>
    <mergeCell ref="A123:F123"/>
    <mergeCell ref="G47:H47"/>
    <mergeCell ref="C81:D81"/>
    <mergeCell ref="A52:H52"/>
    <mergeCell ref="C96:D96"/>
  </mergeCells>
  <printOptions horizontalCentered="1"/>
  <pageMargins left="0.3149606299212598" right="0.3149606299212598" top="0.3543307086614174" bottom="0.3543307086614174" header="0.3149606299212598" footer="0.3149606299212598"/>
  <pageSetup orientation="portrait" paperSize="9" scale="95"/>
  <rowBreaks count="8" manualBreakCount="8">
    <brk id="15" min="0" max="16383" man="1"/>
    <brk id="31" min="0" max="16383" man="1"/>
    <brk id="44" min="0" max="16383" man="1"/>
    <brk id="60" min="0" max="16383" man="1"/>
    <brk id="76" min="0" max="16383" man="1"/>
    <brk id="92" min="0" max="16383" man="1"/>
    <brk id="107" min="0" max="16383" man="1"/>
    <brk id="122" min="0" max="16383" man="1"/>
  </rowBreaks>
</worksheet>
</file>

<file path=xl/worksheets/sheet67.xml><?xml version="1.0" encoding="utf-8"?>
<worksheet xmlns="http://schemas.openxmlformats.org/spreadsheetml/2006/main">
  <sheetPr codeName="Feuil67">
    <tabColor theme="4" tint="0.5999938962981048"/>
    <outlinePr summaryBelow="1" summaryRight="1"/>
    <pageSetUpPr fitToPage="1"/>
  </sheetPr>
  <dimension ref="B2:M49"/>
  <sheetViews>
    <sheetView showGridLines="0" topLeftCell="A28" zoomScale="80" zoomScaleNormal="80" workbookViewId="0">
      <selection activeCell="B14" sqref="B14"/>
    </sheetView>
  </sheetViews>
  <sheetFormatPr baseColWidth="10" defaultRowHeight="15"/>
  <cols>
    <col width="0.85546875" customWidth="1" style="1225" min="1" max="2"/>
    <col width="10" customWidth="1" style="1225" min="3" max="12"/>
    <col width="0.85546875" customWidth="1" style="1225" min="13" max="13"/>
  </cols>
  <sheetData>
    <row r="1" ht="9" customHeight="1" s="1225" thickBot="1"/>
    <row r="2" ht="4.5" customHeight="1" s="1225">
      <c r="B2" s="11" t="n"/>
      <c r="C2" s="1300" t="n"/>
      <c r="D2" s="1300" t="n"/>
      <c r="E2" s="1300" t="n"/>
      <c r="F2" s="1300" t="n"/>
      <c r="G2" s="1300" t="n"/>
      <c r="H2" s="1300" t="n"/>
      <c r="I2" s="1300" t="n"/>
      <c r="J2" s="1300" t="n"/>
      <c r="K2" s="1300" t="n"/>
      <c r="L2" s="1300" t="n"/>
      <c r="M2" s="1301" t="n"/>
    </row>
    <row r="3">
      <c r="B3" s="1899" t="n"/>
      <c r="C3" s="237" t="n"/>
      <c r="D3" s="1787" t="n"/>
      <c r="E3" s="1787" t="n"/>
      <c r="F3" s="1787" t="n"/>
      <c r="G3" s="1787" t="n"/>
      <c r="H3" s="1787" t="n"/>
      <c r="I3" s="1787" t="n"/>
      <c r="J3" s="1787" t="n"/>
      <c r="K3" s="1787" t="n"/>
      <c r="L3" s="239" t="n"/>
      <c r="M3" s="1408" t="n"/>
    </row>
    <row r="4" ht="15.6" customHeight="1" s="1225">
      <c r="B4" s="1899" t="n"/>
      <c r="C4" s="240" t="n"/>
      <c r="D4" s="155" t="n"/>
      <c r="E4" s="155" t="n"/>
      <c r="F4" s="155" t="n"/>
      <c r="G4" s="155" t="n"/>
      <c r="H4" s="155" t="n"/>
      <c r="I4" s="155" t="n"/>
      <c r="J4" s="155" t="n"/>
      <c r="K4" s="155" t="n"/>
      <c r="L4" s="1579" t="n"/>
      <c r="M4" s="1408" t="n"/>
    </row>
    <row r="5">
      <c r="B5" s="1899" t="n"/>
      <c r="C5" s="240" t="n"/>
      <c r="L5" s="1579" t="n"/>
      <c r="M5" s="1408" t="n"/>
    </row>
    <row r="6" ht="15.75" customHeight="1" s="1225">
      <c r="B6" s="1899" t="n"/>
      <c r="C6" s="240" t="n"/>
      <c r="D6" s="306" t="n"/>
      <c r="E6" s="306" t="n"/>
      <c r="F6" s="306" t="n"/>
      <c r="G6" s="306" t="n"/>
      <c r="H6" s="306" t="n"/>
      <c r="I6" s="306" t="n"/>
      <c r="J6" s="306" t="n"/>
      <c r="K6" s="306" t="n"/>
      <c r="L6" s="1579" t="n"/>
      <c r="M6" s="1408" t="n"/>
    </row>
    <row r="7">
      <c r="B7" s="1899" t="n"/>
      <c r="C7" s="240" t="n"/>
      <c r="L7" s="1579" t="n"/>
      <c r="M7" s="1408" t="n"/>
    </row>
    <row r="8" ht="15.6" customHeight="1" s="1225">
      <c r="B8" s="1899" t="n"/>
      <c r="C8" s="240" t="n"/>
      <c r="D8" s="155" t="n"/>
      <c r="E8" s="155" t="n"/>
      <c r="F8" s="155" t="n"/>
      <c r="G8" s="155" t="n"/>
      <c r="H8" s="155" t="n"/>
      <c r="I8" s="155" t="n"/>
      <c r="J8" s="155" t="n"/>
      <c r="K8" s="155" t="n"/>
      <c r="L8" s="1579" t="n"/>
      <c r="M8" s="1408" t="n"/>
    </row>
    <row r="9">
      <c r="B9" s="1899" t="n"/>
      <c r="C9" s="240" t="n"/>
      <c r="L9" s="1579" t="n"/>
      <c r="M9" s="1408" t="n"/>
    </row>
    <row r="10">
      <c r="B10" s="1899" t="n"/>
      <c r="C10" s="240" t="n"/>
      <c r="L10" s="1579" t="n"/>
      <c r="M10" s="1408" t="n"/>
    </row>
    <row r="11">
      <c r="B11" s="1899" t="n"/>
      <c r="C11" s="240" t="n"/>
      <c r="L11" s="1579" t="n"/>
      <c r="M11" s="1408" t="n"/>
    </row>
    <row r="12">
      <c r="B12" s="1899" t="n"/>
      <c r="C12" s="240" t="n"/>
      <c r="L12" s="1579" t="n"/>
      <c r="M12" s="1408" t="n"/>
    </row>
    <row r="13">
      <c r="B13" s="1899" t="n"/>
      <c r="C13" s="240" t="n"/>
      <c r="L13" s="1579" t="n"/>
      <c r="M13" s="1408" t="n"/>
    </row>
    <row r="14">
      <c r="B14" s="1899" t="n"/>
      <c r="C14" s="240" t="n"/>
      <c r="L14" s="1579" t="n"/>
      <c r="M14" s="1408" t="n"/>
    </row>
    <row r="15">
      <c r="B15" s="1899" t="n"/>
      <c r="C15" s="240" t="n"/>
      <c r="L15" s="1579" t="n"/>
      <c r="M15" s="1408" t="n"/>
    </row>
    <row r="16">
      <c r="B16" s="1899" t="n"/>
      <c r="C16" s="240" t="n"/>
      <c r="L16" s="1579" t="n"/>
      <c r="M16" s="1408" t="n"/>
    </row>
    <row r="17">
      <c r="B17" s="1899" t="n"/>
      <c r="C17" s="240" t="n"/>
      <c r="L17" s="1579" t="n"/>
      <c r="M17" s="1408" t="n"/>
    </row>
    <row r="18">
      <c r="B18" s="1899" t="n"/>
      <c r="C18" s="240" t="n"/>
      <c r="L18" s="1579" t="n"/>
      <c r="M18" s="1408" t="n"/>
    </row>
    <row r="19">
      <c r="B19" s="1899" t="n"/>
      <c r="C19" s="240" t="n"/>
      <c r="L19" s="1579" t="n"/>
      <c r="M19" s="1408" t="n"/>
    </row>
    <row r="20">
      <c r="B20" s="1899" t="n"/>
      <c r="C20" s="240" t="n"/>
      <c r="L20" s="1579" t="n"/>
      <c r="M20" s="1408" t="n"/>
    </row>
    <row r="21">
      <c r="B21" s="1899" t="n"/>
      <c r="C21" s="240" t="n"/>
      <c r="L21" s="1579" t="n"/>
      <c r="M21" s="1408" t="n"/>
    </row>
    <row r="22">
      <c r="B22" s="1899" t="n"/>
      <c r="C22" s="240" t="n"/>
      <c r="L22" s="1579" t="n"/>
      <c r="M22" s="1408" t="n"/>
    </row>
    <row r="23" ht="66.75" customHeight="1" s="1225">
      <c r="B23" s="1899" t="n"/>
      <c r="C23" s="240" t="n"/>
      <c r="E23" s="1853" t="inlineStr">
        <is>
          <t>ETATS SUPPLEMENTAIRES
DIRECTION GENERALE DES IMPOTS</t>
        </is>
      </c>
      <c r="L23" s="1579" t="n"/>
      <c r="M23" s="1408" t="n"/>
    </row>
    <row r="24">
      <c r="B24" s="1899" t="n"/>
      <c r="C24" s="240" t="n"/>
      <c r="L24" s="1579" t="n"/>
      <c r="M24" s="1408" t="n"/>
    </row>
    <row r="25">
      <c r="B25" s="1899" t="n"/>
      <c r="C25" s="240" t="n"/>
      <c r="L25" s="1579" t="n"/>
      <c r="M25" s="1408" t="n"/>
    </row>
    <row r="26" ht="15" customHeight="1" s="1225">
      <c r="B26" s="1899" t="n"/>
      <c r="C26" s="240" t="n"/>
      <c r="E26" s="367" t="n"/>
      <c r="F26" s="368" t="n"/>
      <c r="G26" s="368" t="n"/>
      <c r="H26" s="368" t="n"/>
      <c r="I26" s="368" t="n"/>
      <c r="J26" s="368" t="n"/>
      <c r="L26" s="1579" t="n"/>
      <c r="M26" s="1408" t="n"/>
    </row>
    <row r="27" ht="15" customHeight="1" s="1225">
      <c r="B27" s="1899" t="n"/>
      <c r="C27" s="240" t="n"/>
      <c r="E27" s="368" t="n"/>
      <c r="F27" s="368" t="n"/>
      <c r="G27" s="368" t="n"/>
      <c r="H27" s="368" t="n"/>
      <c r="I27" s="368" t="n"/>
      <c r="J27" s="368" t="n"/>
      <c r="L27" s="1579" t="n"/>
      <c r="M27" s="1408" t="n"/>
    </row>
    <row r="28" ht="15" customHeight="1" s="1225">
      <c r="B28" s="1899" t="n"/>
      <c r="C28" s="240" t="n"/>
      <c r="E28" s="368" t="n"/>
      <c r="F28" s="368" t="n"/>
      <c r="G28" s="368" t="n"/>
      <c r="H28" s="368" t="n"/>
      <c r="I28" s="368" t="n"/>
      <c r="J28" s="368" t="n"/>
      <c r="L28" s="1579" t="n"/>
      <c r="M28" s="1408" t="n"/>
    </row>
    <row r="29" ht="15" customHeight="1" s="1225">
      <c r="B29" s="1899" t="n"/>
      <c r="C29" s="240" t="n"/>
      <c r="E29" s="368" t="n"/>
      <c r="F29" s="368" t="n"/>
      <c r="G29" s="368" t="n"/>
      <c r="H29" s="368" t="n"/>
      <c r="I29" s="368" t="n"/>
      <c r="J29" s="368" t="n"/>
      <c r="L29" s="1579" t="n"/>
      <c r="M29" s="1408" t="n"/>
    </row>
    <row r="30">
      <c r="B30" s="1899" t="n"/>
      <c r="C30" s="240" t="n"/>
      <c r="L30" s="1579" t="n"/>
      <c r="M30" s="1408" t="n"/>
    </row>
    <row r="31" ht="18" customHeight="1" s="1225">
      <c r="B31" s="1899" t="n"/>
      <c r="C31" s="240" t="n"/>
      <c r="E31" s="156" t="n"/>
      <c r="F31" s="156" t="n"/>
      <c r="G31" s="156" t="n"/>
      <c r="H31" s="156" t="n"/>
      <c r="I31" s="156" t="n"/>
      <c r="J31" s="156" t="n"/>
      <c r="L31" s="1579" t="n"/>
      <c r="M31" s="1408" t="n"/>
    </row>
    <row r="32">
      <c r="B32" s="1899" t="n"/>
      <c r="C32" s="240" t="n"/>
      <c r="L32" s="1579" t="n"/>
      <c r="M32" s="1408" t="n"/>
    </row>
    <row r="33">
      <c r="B33" s="1899" t="n"/>
      <c r="C33" s="240" t="n"/>
      <c r="L33" s="1579" t="n"/>
      <c r="M33" s="1408" t="n"/>
    </row>
    <row r="34">
      <c r="B34" s="1899" t="n"/>
      <c r="C34" s="240" t="n"/>
      <c r="L34" s="1579" t="n"/>
      <c r="M34" s="1408" t="n"/>
    </row>
    <row r="35">
      <c r="B35" s="1899" t="n"/>
      <c r="C35" s="240" t="n"/>
      <c r="L35" s="1579" t="n"/>
      <c r="M35" s="1408" t="n"/>
    </row>
    <row r="36">
      <c r="B36" s="1899" t="n"/>
      <c r="C36" s="240" t="n"/>
      <c r="L36" s="1579" t="n"/>
      <c r="M36" s="1408" t="n"/>
    </row>
    <row r="37">
      <c r="B37" s="1899" t="n"/>
      <c r="C37" s="240" t="n"/>
      <c r="L37" s="1579" t="n"/>
      <c r="M37" s="1408" t="n"/>
    </row>
    <row r="38">
      <c r="B38" s="1899" t="n"/>
      <c r="C38" s="240" t="n"/>
      <c r="L38" s="1579" t="n"/>
      <c r="M38" s="1408" t="n"/>
    </row>
    <row r="39">
      <c r="B39" s="1899" t="n"/>
      <c r="C39" s="240" t="n"/>
      <c r="L39" s="1579" t="n"/>
      <c r="M39" s="1408" t="n"/>
    </row>
    <row r="40">
      <c r="B40" s="1899" t="n"/>
      <c r="C40" s="240" t="n"/>
      <c r="L40" s="1579" t="n"/>
      <c r="M40" s="1408" t="n"/>
    </row>
    <row r="41">
      <c r="B41" s="1899" t="n"/>
      <c r="C41" s="240" t="n"/>
      <c r="L41" s="1579" t="n"/>
      <c r="M41" s="1408" t="n"/>
    </row>
    <row r="42">
      <c r="B42" s="1899" t="n"/>
      <c r="C42" s="240" t="n"/>
      <c r="L42" s="1579" t="n"/>
      <c r="M42" s="1408" t="n"/>
    </row>
    <row r="43">
      <c r="B43" s="1899" t="n"/>
      <c r="C43" s="240" t="n"/>
      <c r="L43" s="1579" t="n"/>
      <c r="M43" s="1408" t="n"/>
    </row>
    <row r="44">
      <c r="B44" s="1899" t="n"/>
      <c r="C44" s="240" t="n"/>
      <c r="L44" s="1579" t="n"/>
      <c r="M44" s="1408" t="n"/>
    </row>
    <row r="45">
      <c r="B45" s="1899" t="n"/>
      <c r="C45" s="240" t="n"/>
      <c r="L45" s="1579" t="n"/>
      <c r="M45" s="1408" t="n"/>
    </row>
    <row r="46">
      <c r="B46" s="1899" t="n"/>
      <c r="C46" s="240" t="n"/>
      <c r="L46" s="1579" t="n"/>
      <c r="M46" s="1408" t="n"/>
    </row>
    <row r="47">
      <c r="B47" s="1899" t="n"/>
      <c r="C47" s="240" t="n"/>
      <c r="L47" s="1579" t="n"/>
      <c r="M47" s="1408" t="n"/>
    </row>
    <row r="48">
      <c r="B48" s="1899" t="n"/>
      <c r="C48" s="1960" t="n"/>
      <c r="D48" s="1792" t="n"/>
      <c r="E48" s="1792" t="n"/>
      <c r="F48" s="1792" t="n"/>
      <c r="G48" s="1792" t="n"/>
      <c r="H48" s="1792" t="n"/>
      <c r="I48" s="1792" t="n"/>
      <c r="J48" s="1792" t="n"/>
      <c r="K48" s="1792" t="n"/>
      <c r="L48" s="1743" t="n"/>
      <c r="M48" s="1408" t="n"/>
    </row>
    <row r="49" ht="4.5" customHeight="1" s="1225" thickBot="1">
      <c r="B49" s="1302" t="n"/>
      <c r="C49" s="1303" t="n"/>
      <c r="D49" s="1303" t="n"/>
      <c r="E49" s="1303" t="n"/>
      <c r="F49" s="1303" t="n"/>
      <c r="G49" s="1303" t="n"/>
      <c r="H49" s="1303" t="n"/>
      <c r="I49" s="1303" t="n"/>
      <c r="J49" s="1303" t="n"/>
      <c r="K49" s="1303" t="n"/>
      <c r="L49" s="1303" t="n"/>
      <c r="M49" s="1304" t="n"/>
    </row>
  </sheetData>
  <mergeCells count="1">
    <mergeCell ref="E23:J23"/>
  </mergeCells>
  <printOptions horizontalCentered="1" verticalCentered="1"/>
  <pageMargins left="0.5118110236220472" right="0.5118110236220472" top="0.3543307086614174" bottom="0.3543307086614174" header="0.3149606299212598" footer="0.3149606299212598"/>
  <pageSetup orientation="portrait" paperSize="9" scale="89"/>
</worksheet>
</file>

<file path=xl/worksheets/sheet68.xml><?xml version="1.0" encoding="utf-8"?>
<worksheet xmlns="http://schemas.openxmlformats.org/spreadsheetml/2006/main">
  <sheetPr codeName="Feuil68">
    <tabColor theme="4" tint="0.5999938962981048"/>
    <outlinePr summaryBelow="1" summaryRight="1"/>
    <pageSetUpPr fitToPage="1"/>
  </sheetPr>
  <dimension ref="A1:K37"/>
  <sheetViews>
    <sheetView showGridLines="0" topLeftCell="A19" zoomScaleNormal="100" workbookViewId="0">
      <selection activeCell="B14" sqref="B14"/>
    </sheetView>
  </sheetViews>
  <sheetFormatPr baseColWidth="10" defaultRowHeight="15"/>
  <cols>
    <col width="17.7109375" customWidth="1" style="1225" min="1" max="1"/>
    <col width="14.7109375" customWidth="1" style="1225" min="2" max="2"/>
    <col width="8.7109375" customWidth="1" style="1225" min="3" max="3"/>
    <col width="9" customWidth="1" style="1225" min="4" max="4"/>
    <col width="15.5703125" customWidth="1" style="1225" min="5" max="5"/>
    <col width="6.42578125" customWidth="1" style="1225" min="6" max="6"/>
    <col width="4.140625" customWidth="1" style="1225" min="7" max="7"/>
    <col width="14.7109375" bestFit="1" customWidth="1" style="1225" min="8" max="8"/>
    <col width="8.140625" customWidth="1" style="1225" min="9" max="10"/>
  </cols>
  <sheetData>
    <row r="1">
      <c r="A1" s="1429" t="inlineStr">
        <is>
          <t>- 24 -</t>
        </is>
      </c>
    </row>
    <row r="2" ht="22.5" customHeight="1" s="1225">
      <c r="A2" s="1448" t="n"/>
      <c r="B2" s="1448" t="n"/>
      <c r="C2" s="1448" t="n"/>
      <c r="D2" s="1458" t="n"/>
      <c r="E2" s="1458" t="n"/>
      <c r="F2" s="1458" t="n"/>
      <c r="G2" s="1425" t="n"/>
      <c r="H2" s="1425" t="n"/>
      <c r="I2" s="1558" t="inlineStr">
        <is>
          <t>LISTE ETATS DGI</t>
        </is>
      </c>
      <c r="J2" s="1411" t="n"/>
    </row>
    <row r="3">
      <c r="A3" s="1458" t="inlineStr">
        <is>
          <t>Dénomination sociale de l'entité :</t>
        </is>
      </c>
      <c r="B3" s="1458" t="n"/>
      <c r="C3" s="1865">
        <f>'NOTE 38'!C3:H3</f>
        <v/>
      </c>
      <c r="D3" s="1441" t="n"/>
      <c r="E3" s="1441" t="n"/>
      <c r="F3" s="1441" t="n"/>
      <c r="G3" s="1441" t="n"/>
      <c r="H3" s="1441" t="n"/>
      <c r="I3" s="1441" t="n"/>
      <c r="J3" s="1441" t="n"/>
    </row>
    <row r="4">
      <c r="A4" s="1458" t="inlineStr">
        <is>
          <t>Adresse :</t>
        </is>
      </c>
      <c r="B4" s="1432">
        <f>'NOTE 38'!B4:E4</f>
        <v/>
      </c>
      <c r="C4" s="1277" t="n"/>
      <c r="D4" s="1277" t="n"/>
      <c r="E4" s="1277" t="n"/>
      <c r="F4" s="1277" t="n"/>
      <c r="G4" s="1277" t="n"/>
      <c r="H4" s="360" t="inlineStr">
        <is>
          <t>Sigle usuel :</t>
        </is>
      </c>
      <c r="I4" s="1440">
        <f>'SUPPL1-CHARGES'!J3</f>
        <v/>
      </c>
      <c r="J4" s="1441" t="n"/>
    </row>
    <row r="5">
      <c r="A5" s="1451" t="inlineStr">
        <is>
          <t>N° IFU :</t>
        </is>
      </c>
      <c r="B5" s="1451" t="n"/>
      <c r="C5" s="1432">
        <f>'NOTE 38'!C5:D5</f>
        <v/>
      </c>
      <c r="D5" s="1277" t="n"/>
      <c r="E5" s="1425" t="inlineStr">
        <is>
          <t>Exercice clos le :</t>
        </is>
      </c>
      <c r="F5" s="1867">
        <f>'NOTE 38'!F5</f>
        <v/>
      </c>
      <c r="G5" s="1279" t="n"/>
      <c r="H5" s="1425" t="inlineStr">
        <is>
          <t>Durée (en mois) :</t>
        </is>
      </c>
      <c r="I5" s="1433">
        <f>'NOTE 39 COMMENTAIRES'!H4</f>
        <v/>
      </c>
      <c r="J5" s="1434" t="n"/>
    </row>
    <row r="6">
      <c r="A6" s="259" t="inlineStr">
        <is>
          <t xml:space="preserve">N° de télédéclarant (NES): </t>
        </is>
      </c>
      <c r="B6" s="1451" t="n"/>
      <c r="C6" s="1866" t="n"/>
      <c r="D6" s="1266" t="n"/>
      <c r="E6" s="361" t="n"/>
      <c r="F6" s="362" t="n"/>
      <c r="G6" s="362" t="n"/>
      <c r="H6" s="361" t="n"/>
      <c r="I6" s="363" t="n"/>
      <c r="J6" s="363" t="n"/>
    </row>
    <row r="7" ht="28.5" customHeight="1" s="1225" thickBot="1">
      <c r="A7" s="1341" t="inlineStr">
        <is>
          <t>FICHE RECAPITULATIVE DES ETATS SUPPLEMENTAIRES  DGI  PRESENTES (1)</t>
        </is>
      </c>
    </row>
    <row r="8" ht="19.5" customHeight="1" s="1225">
      <c r="A8" s="963" t="inlineStr">
        <is>
          <t xml:space="preserve">ETATS </t>
        </is>
      </c>
      <c r="B8" s="1860" t="inlineStr">
        <is>
          <t>INTITULES</t>
        </is>
      </c>
      <c r="C8" s="1509" t="n"/>
      <c r="D8" s="1509" t="n"/>
      <c r="E8" s="1509" t="n"/>
      <c r="F8" s="1509" t="n"/>
      <c r="G8" s="1509" t="n"/>
      <c r="H8" s="1509" t="n"/>
      <c r="I8" s="1195" t="inlineStr">
        <is>
          <t>A</t>
        </is>
      </c>
      <c r="J8" s="1196" t="inlineStr">
        <is>
          <t>N/A</t>
        </is>
      </c>
    </row>
    <row r="9" ht="15.75" customHeight="1" s="1225">
      <c r="A9" s="964" t="inlineStr">
        <is>
          <t>Etat supplémentaire 1</t>
        </is>
      </c>
      <c r="B9" s="1854" t="inlineStr">
        <is>
          <t>DETAIL DES CHARGES</t>
        </is>
      </c>
      <c r="C9" s="1420" t="n"/>
      <c r="D9" s="1420" t="n"/>
      <c r="E9" s="1420" t="n"/>
      <c r="F9" s="1420" t="n"/>
      <c r="G9" s="1420" t="n"/>
      <c r="H9" s="1411" t="n"/>
      <c r="I9" s="1213" t="inlineStr">
        <is>
          <t>x</t>
        </is>
      </c>
      <c r="J9" s="1214" t="n"/>
    </row>
    <row r="10" ht="13.5" customHeight="1" s="1225">
      <c r="A10" s="964" t="inlineStr">
        <is>
          <t>Etat supplémentaire 2</t>
        </is>
      </c>
      <c r="B10" s="1854" t="inlineStr">
        <is>
          <t>DETAIL DES PRODUITS</t>
        </is>
      </c>
      <c r="C10" s="1420" t="n"/>
      <c r="D10" s="1420" t="n"/>
      <c r="E10" s="1420" t="n"/>
      <c r="F10" s="1420" t="n"/>
      <c r="G10" s="1420" t="n"/>
      <c r="H10" s="1411" t="n"/>
      <c r="I10" s="1213" t="inlineStr">
        <is>
          <t>x</t>
        </is>
      </c>
      <c r="J10" s="1214" t="n"/>
    </row>
    <row r="11" ht="15.75" customHeight="1" s="1225">
      <c r="A11" s="964" t="inlineStr">
        <is>
          <t>Etat supplémentaire 3</t>
        </is>
      </c>
      <c r="B11" s="1855" t="inlineStr">
        <is>
          <t>TVA</t>
        </is>
      </c>
      <c r="C11" s="1420" t="n"/>
      <c r="D11" s="1420" t="n"/>
      <c r="E11" s="1420" t="n"/>
      <c r="F11" s="1420" t="n"/>
      <c r="G11" s="1420" t="n"/>
      <c r="H11" s="1420" t="n"/>
      <c r="I11" s="1213" t="inlineStr">
        <is>
          <t>x</t>
        </is>
      </c>
      <c r="J11" s="1214" t="n"/>
    </row>
    <row r="12" ht="15.75" customHeight="1" s="1225">
      <c r="A12" s="964" t="inlineStr">
        <is>
          <t>Etat supplémentaire 4</t>
        </is>
      </c>
      <c r="B12" s="1855" t="inlineStr">
        <is>
          <t>ETAT COMPLEMENTAIRE POUR l'INSD: TVA SUPPORTEE NON DEDUCTIBLE</t>
        </is>
      </c>
      <c r="C12" s="1420" t="n"/>
      <c r="D12" s="1420" t="n"/>
      <c r="E12" s="1420" t="n"/>
      <c r="F12" s="1420" t="n"/>
      <c r="G12" s="1420" t="n"/>
      <c r="H12" s="1420" t="n"/>
      <c r="I12" s="1213" t="n"/>
      <c r="J12" s="1215" t="n"/>
    </row>
    <row r="13" ht="14.25" customFormat="1" customHeight="1" s="4">
      <c r="A13" s="964" t="inlineStr">
        <is>
          <t>Etat supplémentaire 5</t>
        </is>
      </c>
      <c r="B13" s="1854" t="inlineStr">
        <is>
          <t>ELEMENTS STATISTIQUES UEMOA</t>
        </is>
      </c>
      <c r="C13" s="1420" t="n"/>
      <c r="D13" s="1420" t="n"/>
      <c r="E13" s="1420" t="n"/>
      <c r="F13" s="1420" t="n"/>
      <c r="G13" s="1420" t="n"/>
      <c r="H13" s="1411" t="n"/>
      <c r="I13" s="1213" t="n"/>
      <c r="J13" s="1216" t="n"/>
    </row>
    <row r="14" ht="14.25" customFormat="1" customHeight="1" s="4">
      <c r="A14" s="964" t="inlineStr">
        <is>
          <t>Etat supplémentaire 6</t>
        </is>
      </c>
      <c r="B14" s="1854" t="inlineStr">
        <is>
          <t>REPARTITION DU RESULTAT FISCAL DES SOCIETES DE PERSONNES</t>
        </is>
      </c>
      <c r="C14" s="1420" t="n"/>
      <c r="D14" s="1420" t="n"/>
      <c r="E14" s="1420" t="n"/>
      <c r="F14" s="1420" t="n"/>
      <c r="G14" s="1420" t="n"/>
      <c r="H14" s="1411" t="n"/>
      <c r="I14" s="1213" t="n"/>
      <c r="J14" s="1216" t="n"/>
    </row>
    <row r="15" ht="14.25" customFormat="1" customHeight="1" s="4">
      <c r="A15" s="964" t="inlineStr">
        <is>
          <t>Etat supplémentaire 7</t>
        </is>
      </c>
      <c r="B15" s="1854" t="inlineStr">
        <is>
          <t>COMPLEMENT INFORMATIONS ENTITES INDIVIDUELLES</t>
        </is>
      </c>
      <c r="C15" s="1420" t="n"/>
      <c r="D15" s="1420" t="n"/>
      <c r="E15" s="1420" t="n"/>
      <c r="F15" s="1420" t="n"/>
      <c r="G15" s="1420" t="n"/>
      <c r="H15" s="1411" t="n"/>
      <c r="I15" s="1213" t="n"/>
      <c r="J15" s="1216" t="n"/>
    </row>
    <row r="16" ht="14.25" customFormat="1" customHeight="1" s="4">
      <c r="A16" s="964" t="inlineStr">
        <is>
          <t>Etat supplémentaire 8</t>
        </is>
      </c>
      <c r="B16" s="1854" t="inlineStr">
        <is>
          <t xml:space="preserve">TABLEAU DES IMMOBILISATIONS ET DES AMORTISSEMENTS </t>
        </is>
      </c>
      <c r="C16" s="1420" t="n"/>
      <c r="D16" s="1420" t="n"/>
      <c r="E16" s="1420" t="n"/>
      <c r="F16" s="1420" t="n"/>
      <c r="G16" s="1420" t="n"/>
      <c r="H16" s="1411" t="n"/>
      <c r="I16" s="1213" t="inlineStr">
        <is>
          <t>x</t>
        </is>
      </c>
      <c r="J16" s="1216" t="n"/>
    </row>
    <row r="17" ht="14.25" customFormat="1" customHeight="1" s="4">
      <c r="A17" s="964" t="inlineStr">
        <is>
          <t>Etat supplémentaire 9</t>
        </is>
      </c>
      <c r="B17" s="1854" t="inlineStr">
        <is>
          <t>DETAIL DES FRAIS ACCESSOIRES SUR ACHATS</t>
        </is>
      </c>
      <c r="C17" s="1420" t="n"/>
      <c r="D17" s="1420" t="n"/>
      <c r="E17" s="1420" t="n"/>
      <c r="F17" s="1420" t="n"/>
      <c r="G17" s="1420" t="n"/>
      <c r="H17" s="1411" t="n"/>
      <c r="I17" s="1213" t="inlineStr">
        <is>
          <t>x</t>
        </is>
      </c>
      <c r="J17" s="1216" t="n"/>
    </row>
    <row r="18" ht="14.25" customFormat="1" customHeight="1" s="4">
      <c r="A18" s="964" t="inlineStr">
        <is>
          <t>Etat supplémentaire 10</t>
        </is>
      </c>
      <c r="B18" s="1855" t="inlineStr">
        <is>
          <t xml:space="preserve">DETAIL DES AVANTAGES EN NATURE  ALLOUES  AU PERSONNEL  </t>
        </is>
      </c>
      <c r="C18" s="1420" t="n"/>
      <c r="D18" s="1420" t="n"/>
      <c r="E18" s="1420" t="n"/>
      <c r="F18" s="1420" t="n"/>
      <c r="G18" s="1420" t="n"/>
      <c r="H18" s="1420" t="n"/>
      <c r="I18" s="1213" t="n"/>
      <c r="J18" s="1216" t="n"/>
    </row>
    <row r="19" ht="9.75" customFormat="1" customHeight="1" s="4">
      <c r="A19" s="964" t="inlineStr">
        <is>
          <t>Etat supplémentaire 11</t>
        </is>
      </c>
      <c r="B19" s="1855" t="inlineStr">
        <is>
          <t>CREANCES ET DETTES ECHUES DE L'EXERCICE</t>
        </is>
      </c>
      <c r="C19" s="1420" t="n"/>
      <c r="D19" s="1420" t="n"/>
      <c r="E19" s="1420" t="n"/>
      <c r="F19" s="1420" t="n"/>
      <c r="G19" s="1420" t="n"/>
      <c r="H19" s="1420" t="n"/>
      <c r="I19" s="1213" t="n"/>
      <c r="J19" s="1216" t="n"/>
    </row>
    <row r="20" ht="16.5" customFormat="1" customHeight="1" s="4">
      <c r="A20" s="964" t="inlineStr">
        <is>
          <t>Etat supplémentaire 12</t>
        </is>
      </c>
      <c r="B20" s="1858" t="inlineStr">
        <is>
          <t>ETAT ANNUEL DES SALAIRES</t>
        </is>
      </c>
      <c r="C20" s="1420" t="n"/>
      <c r="D20" s="1420" t="n"/>
      <c r="E20" s="1420" t="n"/>
      <c r="F20" s="1420" t="n"/>
      <c r="G20" s="1420" t="n"/>
      <c r="H20" s="1420" t="n"/>
      <c r="I20" s="1213" t="inlineStr">
        <is>
          <t>x</t>
        </is>
      </c>
      <c r="J20" s="1216" t="n"/>
    </row>
    <row r="21" ht="25.15" customFormat="1" customHeight="1" s="4">
      <c r="A21" s="964" t="inlineStr">
        <is>
          <t>Etat supplémentaire 13</t>
        </is>
      </c>
      <c r="B21" s="1858" t="inlineStr">
        <is>
          <t>ETAT ANNUEL des commissions, courtages, ristournes, honoraires, droits d'auteurs et autres rémunérations versées à des tiers</t>
        </is>
      </c>
      <c r="C21" s="1420" t="n"/>
      <c r="D21" s="1420" t="n"/>
      <c r="E21" s="1420" t="n"/>
      <c r="F21" s="1420" t="n"/>
      <c r="G21" s="1420" t="n"/>
      <c r="H21" s="1420" t="n"/>
      <c r="I21" s="1213" t="n"/>
      <c r="J21" s="1216" t="n"/>
    </row>
    <row r="22" ht="25.15" customFormat="1" customHeight="1" s="4">
      <c r="A22" s="964" t="inlineStr">
        <is>
          <t>Etat supplémentaire 14</t>
        </is>
      </c>
      <c r="B22" s="1859" t="inlineStr">
        <is>
          <t>ETAT ANNUEL des rémunérations des sassociés et des parts de bénéfices sociaux et autres rémunérations</t>
        </is>
      </c>
      <c r="C22" s="1395" t="n"/>
      <c r="D22" s="1395" t="n"/>
      <c r="E22" s="1395" t="n"/>
      <c r="F22" s="1395" t="n"/>
      <c r="G22" s="1395" t="n"/>
      <c r="H22" s="1395" t="n"/>
      <c r="I22" s="1213" t="n"/>
      <c r="J22" s="1216" t="n"/>
    </row>
    <row r="23" ht="25.15" customFormat="1" customHeight="1" s="4">
      <c r="A23" s="964" t="inlineStr">
        <is>
          <t>Etat supplémentaire 15</t>
        </is>
      </c>
      <c r="B23" s="1859" t="inlineStr">
        <is>
          <t>Relevé détaillé des loyers d'immeubles passés en charges avec indication de l'identité et de l'adresse des bailleurs</t>
        </is>
      </c>
      <c r="C23" s="1395" t="n"/>
      <c r="D23" s="1395" t="n"/>
      <c r="E23" s="1395" t="n"/>
      <c r="F23" s="1395" t="n"/>
      <c r="G23" s="1395" t="n"/>
      <c r="H23" s="1395" t="n"/>
      <c r="I23" s="1213" t="inlineStr">
        <is>
          <t>x</t>
        </is>
      </c>
      <c r="J23" s="1216" t="n"/>
    </row>
    <row r="24" ht="25.15" customFormat="1" customHeight="1" s="4">
      <c r="A24" s="964" t="inlineStr">
        <is>
          <t>Etat supplémentaire 16</t>
        </is>
      </c>
      <c r="B24" s="1859" t="inlineStr">
        <is>
          <t>Etat des honoraires rétrocédés avec indication de l'identité complète de chaque bénéficiaire</t>
        </is>
      </c>
      <c r="C24" s="1395" t="n"/>
      <c r="D24" s="1395" t="n"/>
      <c r="E24" s="1395" t="n"/>
      <c r="F24" s="1395" t="n"/>
      <c r="G24" s="1395" t="n"/>
      <c r="H24" s="1395" t="n"/>
      <c r="I24" s="1213" t="n"/>
      <c r="J24" s="1216" t="n"/>
    </row>
    <row r="25" ht="14.25" customFormat="1" customHeight="1" s="4">
      <c r="A25" s="964" t="inlineStr">
        <is>
          <t>Etat supplémentaire 17</t>
        </is>
      </c>
      <c r="B25" s="1859" t="inlineStr">
        <is>
          <t xml:space="preserve">Liste des principaux clients </t>
        </is>
      </c>
      <c r="C25" s="1395" t="n"/>
      <c r="D25" s="1395" t="n"/>
      <c r="E25" s="1395" t="n"/>
      <c r="F25" s="1395" t="n"/>
      <c r="G25" s="1395" t="n"/>
      <c r="H25" s="1395" t="n"/>
      <c r="I25" s="1213" t="inlineStr">
        <is>
          <t>x</t>
        </is>
      </c>
      <c r="J25" s="1216" t="n"/>
    </row>
    <row r="26" ht="15" customFormat="1" customHeight="1" s="4">
      <c r="A26" s="964" t="inlineStr">
        <is>
          <t>Etat supplémentaire 18</t>
        </is>
      </c>
      <c r="B26" s="1859" t="inlineStr">
        <is>
          <t>Liste des principaux fournisseurs</t>
        </is>
      </c>
      <c r="C26" s="1395" t="n"/>
      <c r="D26" s="1395" t="n"/>
      <c r="E26" s="1395" t="n"/>
      <c r="F26" s="1395" t="n"/>
      <c r="G26" s="1395" t="n"/>
      <c r="H26" s="1395" t="n"/>
      <c r="I26" s="1213" t="inlineStr">
        <is>
          <t>x</t>
        </is>
      </c>
      <c r="J26" s="1216" t="n"/>
    </row>
    <row r="27" ht="16.5" customFormat="1" customHeight="1" s="4">
      <c r="A27" s="964" t="inlineStr">
        <is>
          <t>Etat supplémentaire 19</t>
        </is>
      </c>
      <c r="B27" s="1856" t="inlineStr">
        <is>
          <t>TABLEAU DE DETERMINATION DU RESULTAT FISCAL</t>
        </is>
      </c>
      <c r="C27" s="1395" t="n"/>
      <c r="D27" s="1395" t="n"/>
      <c r="E27" s="1395" t="n"/>
      <c r="F27" s="1395" t="n"/>
      <c r="G27" s="1395" t="n"/>
      <c r="H27" s="1396" t="n"/>
      <c r="I27" s="1213" t="inlineStr">
        <is>
          <t>x</t>
        </is>
      </c>
      <c r="J27" s="1216" t="n"/>
    </row>
    <row r="28" ht="14.25" customFormat="1" customHeight="1" s="4">
      <c r="A28" s="964" t="inlineStr">
        <is>
          <t>Etat supplémentaire 20</t>
        </is>
      </c>
      <c r="B28" s="1856" t="inlineStr">
        <is>
          <t>BORDEREAU AVIS DE VERSEMENT (IS, IBICA ou IBNC)</t>
        </is>
      </c>
      <c r="C28" s="1395" t="n"/>
      <c r="D28" s="1395" t="n"/>
      <c r="E28" s="1395" t="n"/>
      <c r="F28" s="1395" t="n"/>
      <c r="G28" s="1395" t="n"/>
      <c r="H28" s="1396" t="n"/>
      <c r="I28" s="1213" t="inlineStr">
        <is>
          <t>x</t>
        </is>
      </c>
      <c r="J28" s="1216" t="n"/>
    </row>
    <row r="29" ht="14.25" customFormat="1" customHeight="1" s="4">
      <c r="A29" s="1862" t="inlineStr">
        <is>
          <t>A INSERER AUX PAGES APPROPRIEES</t>
        </is>
      </c>
      <c r="B29" s="742" t="inlineStr">
        <is>
          <t>PAGE de garde Détermination du réultat fiscal et de l'IS</t>
        </is>
      </c>
      <c r="C29" s="741" t="n"/>
      <c r="D29" s="741" t="n"/>
      <c r="E29" s="741" t="n"/>
      <c r="F29" s="741" t="n"/>
      <c r="G29" s="741" t="n"/>
      <c r="H29" s="741" t="n"/>
      <c r="I29" s="1213" t="inlineStr">
        <is>
          <t>x</t>
        </is>
      </c>
      <c r="J29" s="1216" t="n"/>
    </row>
    <row r="30" ht="14.25" customFormat="1" customHeight="1" s="5">
      <c r="A30" s="1863" t="n"/>
      <c r="B30" s="742" t="inlineStr">
        <is>
          <t>PAGE de garde Détermination du réultat fiscal et de l'IBICA</t>
        </is>
      </c>
      <c r="C30" s="741" t="n"/>
      <c r="D30" s="741" t="n"/>
      <c r="E30" s="741" t="n"/>
      <c r="F30" s="741" t="n"/>
      <c r="G30" s="741" t="n"/>
      <c r="H30" s="741" t="n"/>
      <c r="I30" s="1217" t="inlineStr">
        <is>
          <t>x</t>
        </is>
      </c>
      <c r="J30" s="1216" t="n"/>
    </row>
    <row r="31" ht="14.25" customFormat="1" customHeight="1" s="4" thickBot="1">
      <c r="A31" s="1864" t="n"/>
      <c r="B31" s="1861" t="inlineStr">
        <is>
          <t>PAGE de garde Détermination du réultat fiscal et de l'IBNC</t>
        </is>
      </c>
      <c r="C31" s="1389" t="n"/>
      <c r="D31" s="1389" t="n"/>
      <c r="E31" s="1389" t="n"/>
      <c r="F31" s="1389" t="n"/>
      <c r="G31" s="1389" t="n"/>
      <c r="H31" s="1389" t="n"/>
      <c r="I31" s="1218" t="n"/>
      <c r="J31" s="1219" t="n"/>
      <c r="K31" s="5" t="n"/>
    </row>
    <row r="32" ht="5.45" customHeight="1" s="1225"/>
    <row r="33" ht="3.75" customHeight="1" s="1225"/>
    <row r="34" ht="10.5" customFormat="1" customHeight="1" s="1436">
      <c r="A34" s="1857" t="inlineStr">
        <is>
          <t>(1) les Notes non documentées ne doivent pas être jointes aux états financiers. Leur contenu peut être amélioré par les entités</t>
        </is>
      </c>
    </row>
    <row r="35" ht="9.75" customHeight="1" s="1225">
      <c r="A35" s="1857" t="inlineStr">
        <is>
          <t>(2) Bénéfice industriel ou commercial pour le calcul de l'IS ou de l'IBICA</t>
        </is>
      </c>
      <c r="B35" s="1436" t="n"/>
      <c r="C35" s="1436" t="n"/>
      <c r="D35" s="1436" t="n"/>
      <c r="E35" s="1436" t="n"/>
      <c r="F35" s="1436" t="n"/>
      <c r="G35" s="1436" t="n"/>
      <c r="H35" s="1436" t="n"/>
      <c r="I35" s="1436" t="n"/>
      <c r="J35" s="1436" t="n"/>
    </row>
    <row r="36">
      <c r="A36" s="1857" t="inlineStr">
        <is>
          <t>(3): Le contribuable peut insérer autant de déclarations fiscales supplémentaires qu'il le souhaite.</t>
        </is>
      </c>
    </row>
    <row r="37">
      <c r="A37" s="42" t="inlineStr">
        <is>
          <t>A : Applicable       N/A : Non applicable.</t>
        </is>
      </c>
      <c r="B37" s="1436" t="n"/>
    </row>
  </sheetData>
  <mergeCells count="35">
    <mergeCell ref="C3:J3"/>
    <mergeCell ref="C6:D6"/>
    <mergeCell ref="B9:H9"/>
    <mergeCell ref="I2:J2"/>
    <mergeCell ref="C5:D5"/>
    <mergeCell ref="A29:A31"/>
    <mergeCell ref="B24:H24"/>
    <mergeCell ref="B15:H15"/>
    <mergeCell ref="B20:H20"/>
    <mergeCell ref="B26:H26"/>
    <mergeCell ref="F5:G5"/>
    <mergeCell ref="A34:J34"/>
    <mergeCell ref="B16:H16"/>
    <mergeCell ref="B25:H25"/>
    <mergeCell ref="B31:H31"/>
    <mergeCell ref="B22:H22"/>
    <mergeCell ref="A1:J1"/>
    <mergeCell ref="A36:J36"/>
    <mergeCell ref="B18:H18"/>
    <mergeCell ref="B27:H27"/>
    <mergeCell ref="B21:H21"/>
    <mergeCell ref="B12:H12"/>
    <mergeCell ref="B4:G4"/>
    <mergeCell ref="I5:J5"/>
    <mergeCell ref="A7:J7"/>
    <mergeCell ref="B11:H11"/>
    <mergeCell ref="B23:H23"/>
    <mergeCell ref="B8:H8"/>
    <mergeCell ref="B14:H14"/>
    <mergeCell ref="I4:J4"/>
    <mergeCell ref="B17:H17"/>
    <mergeCell ref="B13:H13"/>
    <mergeCell ref="B10:H10"/>
    <mergeCell ref="B19:H19"/>
    <mergeCell ref="B28:H28"/>
  </mergeCells>
  <printOptions horizontalCentered="1"/>
  <pageMargins left="0.5118110236220472" right="0.5118110236220472" top="0.3543307086614174" bottom="0.3543307086614174" header="0.3149606299212598" footer="0.3149606299212598"/>
  <pageSetup orientation="portrait" paperSize="9" scale="86"/>
</worksheet>
</file>

<file path=xl/worksheets/sheet69.xml><?xml version="1.0" encoding="utf-8"?>
<worksheet xmlns="http://schemas.openxmlformats.org/spreadsheetml/2006/main">
  <sheetPr>
    <outlinePr summaryBelow="1" summaryRight="1"/>
    <pageSetUpPr/>
  </sheetPr>
  <dimension ref="A1:H292"/>
  <sheetViews>
    <sheetView zoomScaleNormal="100" workbookViewId="0">
      <pane ySplit="1" topLeftCell="A234" activePane="bottomLeft" state="frozen"/>
      <selection pane="bottomLeft" activeCell="A235" sqref="A235:H235"/>
    </sheetView>
  </sheetViews>
  <sheetFormatPr baseColWidth="10" defaultColWidth="10" defaultRowHeight="12.75" customHeight="1"/>
  <cols>
    <col width="7.85546875" customWidth="1" style="1436" min="1" max="1"/>
    <col width="34.140625" customWidth="1" style="1436" min="2" max="2"/>
    <col width="15.28515625" bestFit="1" customWidth="1" style="1436" min="3" max="3"/>
    <col width="23.42578125" customWidth="1" style="1436" min="4" max="4"/>
    <col width="17.28515625" bestFit="1" customWidth="1" style="1436" min="5" max="5"/>
    <col width="18.42578125" bestFit="1" customWidth="1" style="1436" min="6" max="6"/>
    <col width="16.28515625" bestFit="1" customWidth="1" style="1436" min="7" max="7"/>
    <col width="15.85546875" bestFit="1" customWidth="1" style="1436" min="8" max="8"/>
    <col width="10" customWidth="1" style="1436" min="9" max="254"/>
    <col width="7.85546875" customWidth="1" style="1436" min="255" max="255"/>
    <col width="36.28515625" bestFit="1" customWidth="1" style="1436" min="256" max="256"/>
    <col width="18.42578125" bestFit="1" customWidth="1" style="1436" min="257" max="257"/>
    <col width="15.28515625" bestFit="1" customWidth="1" style="1436" min="258" max="258"/>
    <col width="23.42578125" customWidth="1" style="1436" min="259" max="259"/>
    <col width="17.28515625" bestFit="1" customWidth="1" style="1436" min="260" max="260"/>
    <col width="18.42578125" bestFit="1" customWidth="1" style="1436" min="261" max="261"/>
    <col width="16.28515625" bestFit="1" customWidth="1" style="1436" min="262" max="262"/>
    <col width="10" customWidth="1" style="1436" min="263" max="510"/>
    <col width="7.85546875" customWidth="1" style="1436" min="511" max="511"/>
    <col width="36.28515625" bestFit="1" customWidth="1" style="1436" min="512" max="512"/>
    <col width="18.42578125" bestFit="1" customWidth="1" style="1436" min="513" max="513"/>
    <col width="15.28515625" bestFit="1" customWidth="1" style="1436" min="514" max="514"/>
    <col width="23.42578125" customWidth="1" style="1436" min="515" max="515"/>
    <col width="17.28515625" bestFit="1" customWidth="1" style="1436" min="516" max="516"/>
    <col width="18.42578125" bestFit="1" customWidth="1" style="1436" min="517" max="517"/>
    <col width="16.28515625" bestFit="1" customWidth="1" style="1436" min="518" max="518"/>
    <col width="10" customWidth="1" style="1436" min="519" max="766"/>
    <col width="7.85546875" customWidth="1" style="1436" min="767" max="767"/>
    <col width="36.28515625" bestFit="1" customWidth="1" style="1436" min="768" max="768"/>
    <col width="18.42578125" bestFit="1" customWidth="1" style="1436" min="769" max="769"/>
    <col width="15.28515625" bestFit="1" customWidth="1" style="1436" min="770" max="770"/>
    <col width="23.42578125" customWidth="1" style="1436" min="771" max="771"/>
    <col width="17.28515625" bestFit="1" customWidth="1" style="1436" min="772" max="772"/>
    <col width="18.42578125" bestFit="1" customWidth="1" style="1436" min="773" max="773"/>
    <col width="16.28515625" bestFit="1" customWidth="1" style="1436" min="774" max="774"/>
    <col width="10" customWidth="1" style="1436" min="775" max="1022"/>
    <col width="7.85546875" customWidth="1" style="1436" min="1023" max="1023"/>
    <col width="36.28515625" bestFit="1" customWidth="1" style="1436" min="1024" max="1024"/>
    <col width="18.42578125" bestFit="1" customWidth="1" style="1436" min="1025" max="1025"/>
    <col width="15.28515625" bestFit="1" customWidth="1" style="1436" min="1026" max="1026"/>
    <col width="23.42578125" customWidth="1" style="1436" min="1027" max="1027"/>
    <col width="17.28515625" bestFit="1" customWidth="1" style="1436" min="1028" max="1028"/>
    <col width="18.42578125" bestFit="1" customWidth="1" style="1436" min="1029" max="1029"/>
    <col width="16.28515625" bestFit="1" customWidth="1" style="1436" min="1030" max="1030"/>
    <col width="10" customWidth="1" style="1436" min="1031" max="1278"/>
    <col width="7.85546875" customWidth="1" style="1436" min="1279" max="1279"/>
    <col width="36.28515625" bestFit="1" customWidth="1" style="1436" min="1280" max="1280"/>
    <col width="18.42578125" bestFit="1" customWidth="1" style="1436" min="1281" max="1281"/>
    <col width="15.28515625" bestFit="1" customWidth="1" style="1436" min="1282" max="1282"/>
    <col width="23.42578125" customWidth="1" style="1436" min="1283" max="1283"/>
    <col width="17.28515625" bestFit="1" customWidth="1" style="1436" min="1284" max="1284"/>
    <col width="18.42578125" bestFit="1" customWidth="1" style="1436" min="1285" max="1285"/>
    <col width="16.28515625" bestFit="1" customWidth="1" style="1436" min="1286" max="1286"/>
    <col width="10" customWidth="1" style="1436" min="1287" max="1534"/>
    <col width="7.85546875" customWidth="1" style="1436" min="1535" max="1535"/>
    <col width="36.28515625" bestFit="1" customWidth="1" style="1436" min="1536" max="1536"/>
    <col width="18.42578125" bestFit="1" customWidth="1" style="1436" min="1537" max="1537"/>
    <col width="15.28515625" bestFit="1" customWidth="1" style="1436" min="1538" max="1538"/>
    <col width="23.42578125" customWidth="1" style="1436" min="1539" max="1539"/>
    <col width="17.28515625" bestFit="1" customWidth="1" style="1436" min="1540" max="1540"/>
    <col width="18.42578125" bestFit="1" customWidth="1" style="1436" min="1541" max="1541"/>
    <col width="16.28515625" bestFit="1" customWidth="1" style="1436" min="1542" max="1542"/>
    <col width="10" customWidth="1" style="1436" min="1543" max="1790"/>
    <col width="7.85546875" customWidth="1" style="1436" min="1791" max="1791"/>
    <col width="36.28515625" bestFit="1" customWidth="1" style="1436" min="1792" max="1792"/>
    <col width="18.42578125" bestFit="1" customWidth="1" style="1436" min="1793" max="1793"/>
    <col width="15.28515625" bestFit="1" customWidth="1" style="1436" min="1794" max="1794"/>
    <col width="23.42578125" customWidth="1" style="1436" min="1795" max="1795"/>
    <col width="17.28515625" bestFit="1" customWidth="1" style="1436" min="1796" max="1796"/>
    <col width="18.42578125" bestFit="1" customWidth="1" style="1436" min="1797" max="1797"/>
    <col width="16.28515625" bestFit="1" customWidth="1" style="1436" min="1798" max="1798"/>
    <col width="10" customWidth="1" style="1436" min="1799" max="2046"/>
    <col width="7.85546875" customWidth="1" style="1436" min="2047" max="2047"/>
    <col width="36.28515625" bestFit="1" customWidth="1" style="1436" min="2048" max="2048"/>
    <col width="18.42578125" bestFit="1" customWidth="1" style="1436" min="2049" max="2049"/>
    <col width="15.28515625" bestFit="1" customWidth="1" style="1436" min="2050" max="2050"/>
    <col width="23.42578125" customWidth="1" style="1436" min="2051" max="2051"/>
    <col width="17.28515625" bestFit="1" customWidth="1" style="1436" min="2052" max="2052"/>
    <col width="18.42578125" bestFit="1" customWidth="1" style="1436" min="2053" max="2053"/>
    <col width="16.28515625" bestFit="1" customWidth="1" style="1436" min="2054" max="2054"/>
    <col width="10" customWidth="1" style="1436" min="2055" max="2302"/>
    <col width="7.85546875" customWidth="1" style="1436" min="2303" max="2303"/>
    <col width="36.28515625" bestFit="1" customWidth="1" style="1436" min="2304" max="2304"/>
    <col width="18.42578125" bestFit="1" customWidth="1" style="1436" min="2305" max="2305"/>
    <col width="15.28515625" bestFit="1" customWidth="1" style="1436" min="2306" max="2306"/>
    <col width="23.42578125" customWidth="1" style="1436" min="2307" max="2307"/>
    <col width="17.28515625" bestFit="1" customWidth="1" style="1436" min="2308" max="2308"/>
    <col width="18.42578125" bestFit="1" customWidth="1" style="1436" min="2309" max="2309"/>
    <col width="16.28515625" bestFit="1" customWidth="1" style="1436" min="2310" max="2310"/>
    <col width="10" customWidth="1" style="1436" min="2311" max="2558"/>
    <col width="7.85546875" customWidth="1" style="1436" min="2559" max="2559"/>
    <col width="36.28515625" bestFit="1" customWidth="1" style="1436" min="2560" max="2560"/>
    <col width="18.42578125" bestFit="1" customWidth="1" style="1436" min="2561" max="2561"/>
    <col width="15.28515625" bestFit="1" customWidth="1" style="1436" min="2562" max="2562"/>
    <col width="23.42578125" customWidth="1" style="1436" min="2563" max="2563"/>
    <col width="17.28515625" bestFit="1" customWidth="1" style="1436" min="2564" max="2564"/>
    <col width="18.42578125" bestFit="1" customWidth="1" style="1436" min="2565" max="2565"/>
    <col width="16.28515625" bestFit="1" customWidth="1" style="1436" min="2566" max="2566"/>
    <col width="10" customWidth="1" style="1436" min="2567" max="2814"/>
    <col width="7.85546875" customWidth="1" style="1436" min="2815" max="2815"/>
    <col width="36.28515625" bestFit="1" customWidth="1" style="1436" min="2816" max="2816"/>
    <col width="18.42578125" bestFit="1" customWidth="1" style="1436" min="2817" max="2817"/>
    <col width="15.28515625" bestFit="1" customWidth="1" style="1436" min="2818" max="2818"/>
    <col width="23.42578125" customWidth="1" style="1436" min="2819" max="2819"/>
    <col width="17.28515625" bestFit="1" customWidth="1" style="1436" min="2820" max="2820"/>
    <col width="18.42578125" bestFit="1" customWidth="1" style="1436" min="2821" max="2821"/>
    <col width="16.28515625" bestFit="1" customWidth="1" style="1436" min="2822" max="2822"/>
    <col width="10" customWidth="1" style="1436" min="2823" max="3070"/>
    <col width="7.85546875" customWidth="1" style="1436" min="3071" max="3071"/>
    <col width="36.28515625" bestFit="1" customWidth="1" style="1436" min="3072" max="3072"/>
    <col width="18.42578125" bestFit="1" customWidth="1" style="1436" min="3073" max="3073"/>
    <col width="15.28515625" bestFit="1" customWidth="1" style="1436" min="3074" max="3074"/>
    <col width="23.42578125" customWidth="1" style="1436" min="3075" max="3075"/>
    <col width="17.28515625" bestFit="1" customWidth="1" style="1436" min="3076" max="3076"/>
    <col width="18.42578125" bestFit="1" customWidth="1" style="1436" min="3077" max="3077"/>
    <col width="16.28515625" bestFit="1" customWidth="1" style="1436" min="3078" max="3078"/>
    <col width="10" customWidth="1" style="1436" min="3079" max="3326"/>
    <col width="7.85546875" customWidth="1" style="1436" min="3327" max="3327"/>
    <col width="36.28515625" bestFit="1" customWidth="1" style="1436" min="3328" max="3328"/>
    <col width="18.42578125" bestFit="1" customWidth="1" style="1436" min="3329" max="3329"/>
    <col width="15.28515625" bestFit="1" customWidth="1" style="1436" min="3330" max="3330"/>
    <col width="23.42578125" customWidth="1" style="1436" min="3331" max="3331"/>
    <col width="17.28515625" bestFit="1" customWidth="1" style="1436" min="3332" max="3332"/>
    <col width="18.42578125" bestFit="1" customWidth="1" style="1436" min="3333" max="3333"/>
    <col width="16.28515625" bestFit="1" customWidth="1" style="1436" min="3334" max="3334"/>
    <col width="10" customWidth="1" style="1436" min="3335" max="3582"/>
    <col width="7.85546875" customWidth="1" style="1436" min="3583" max="3583"/>
    <col width="36.28515625" bestFit="1" customWidth="1" style="1436" min="3584" max="3584"/>
    <col width="18.42578125" bestFit="1" customWidth="1" style="1436" min="3585" max="3585"/>
    <col width="15.28515625" bestFit="1" customWidth="1" style="1436" min="3586" max="3586"/>
    <col width="23.42578125" customWidth="1" style="1436" min="3587" max="3587"/>
    <col width="17.28515625" bestFit="1" customWidth="1" style="1436" min="3588" max="3588"/>
    <col width="18.42578125" bestFit="1" customWidth="1" style="1436" min="3589" max="3589"/>
    <col width="16.28515625" bestFit="1" customWidth="1" style="1436" min="3590" max="3590"/>
    <col width="10" customWidth="1" style="1436" min="3591" max="3838"/>
    <col width="7.85546875" customWidth="1" style="1436" min="3839" max="3839"/>
    <col width="36.28515625" bestFit="1" customWidth="1" style="1436" min="3840" max="3840"/>
    <col width="18.42578125" bestFit="1" customWidth="1" style="1436" min="3841" max="3841"/>
    <col width="15.28515625" bestFit="1" customWidth="1" style="1436" min="3842" max="3842"/>
    <col width="23.42578125" customWidth="1" style="1436" min="3843" max="3843"/>
    <col width="17.28515625" bestFit="1" customWidth="1" style="1436" min="3844" max="3844"/>
    <col width="18.42578125" bestFit="1" customWidth="1" style="1436" min="3845" max="3845"/>
    <col width="16.28515625" bestFit="1" customWidth="1" style="1436" min="3846" max="3846"/>
    <col width="10" customWidth="1" style="1436" min="3847" max="4094"/>
    <col width="7.85546875" customWidth="1" style="1436" min="4095" max="4095"/>
    <col width="36.28515625" bestFit="1" customWidth="1" style="1436" min="4096" max="4096"/>
    <col width="18.42578125" bestFit="1" customWidth="1" style="1436" min="4097" max="4097"/>
    <col width="15.28515625" bestFit="1" customWidth="1" style="1436" min="4098" max="4098"/>
    <col width="23.42578125" customWidth="1" style="1436" min="4099" max="4099"/>
    <col width="17.28515625" bestFit="1" customWidth="1" style="1436" min="4100" max="4100"/>
    <col width="18.42578125" bestFit="1" customWidth="1" style="1436" min="4101" max="4101"/>
    <col width="16.28515625" bestFit="1" customWidth="1" style="1436" min="4102" max="4102"/>
    <col width="10" customWidth="1" style="1436" min="4103" max="4350"/>
    <col width="7.85546875" customWidth="1" style="1436" min="4351" max="4351"/>
    <col width="36.28515625" bestFit="1" customWidth="1" style="1436" min="4352" max="4352"/>
    <col width="18.42578125" bestFit="1" customWidth="1" style="1436" min="4353" max="4353"/>
    <col width="15.28515625" bestFit="1" customWidth="1" style="1436" min="4354" max="4354"/>
    <col width="23.42578125" customWidth="1" style="1436" min="4355" max="4355"/>
    <col width="17.28515625" bestFit="1" customWidth="1" style="1436" min="4356" max="4356"/>
    <col width="18.42578125" bestFit="1" customWidth="1" style="1436" min="4357" max="4357"/>
    <col width="16.28515625" bestFit="1" customWidth="1" style="1436" min="4358" max="4358"/>
    <col width="10" customWidth="1" style="1436" min="4359" max="4606"/>
    <col width="7.85546875" customWidth="1" style="1436" min="4607" max="4607"/>
    <col width="36.28515625" bestFit="1" customWidth="1" style="1436" min="4608" max="4608"/>
    <col width="18.42578125" bestFit="1" customWidth="1" style="1436" min="4609" max="4609"/>
    <col width="15.28515625" bestFit="1" customWidth="1" style="1436" min="4610" max="4610"/>
    <col width="23.42578125" customWidth="1" style="1436" min="4611" max="4611"/>
    <col width="17.28515625" bestFit="1" customWidth="1" style="1436" min="4612" max="4612"/>
    <col width="18.42578125" bestFit="1" customWidth="1" style="1436" min="4613" max="4613"/>
    <col width="16.28515625" bestFit="1" customWidth="1" style="1436" min="4614" max="4614"/>
    <col width="10" customWidth="1" style="1436" min="4615" max="4862"/>
    <col width="7.85546875" customWidth="1" style="1436" min="4863" max="4863"/>
    <col width="36.28515625" bestFit="1" customWidth="1" style="1436" min="4864" max="4864"/>
    <col width="18.42578125" bestFit="1" customWidth="1" style="1436" min="4865" max="4865"/>
    <col width="15.28515625" bestFit="1" customWidth="1" style="1436" min="4866" max="4866"/>
    <col width="23.42578125" customWidth="1" style="1436" min="4867" max="4867"/>
    <col width="17.28515625" bestFit="1" customWidth="1" style="1436" min="4868" max="4868"/>
    <col width="18.42578125" bestFit="1" customWidth="1" style="1436" min="4869" max="4869"/>
    <col width="16.28515625" bestFit="1" customWidth="1" style="1436" min="4870" max="4870"/>
    <col width="10" customWidth="1" style="1436" min="4871" max="5118"/>
    <col width="7.85546875" customWidth="1" style="1436" min="5119" max="5119"/>
    <col width="36.28515625" bestFit="1" customWidth="1" style="1436" min="5120" max="5120"/>
    <col width="18.42578125" bestFit="1" customWidth="1" style="1436" min="5121" max="5121"/>
    <col width="15.28515625" bestFit="1" customWidth="1" style="1436" min="5122" max="5122"/>
    <col width="23.42578125" customWidth="1" style="1436" min="5123" max="5123"/>
    <col width="17.28515625" bestFit="1" customWidth="1" style="1436" min="5124" max="5124"/>
    <col width="18.42578125" bestFit="1" customWidth="1" style="1436" min="5125" max="5125"/>
    <col width="16.28515625" bestFit="1" customWidth="1" style="1436" min="5126" max="5126"/>
    <col width="10" customWidth="1" style="1436" min="5127" max="5374"/>
    <col width="7.85546875" customWidth="1" style="1436" min="5375" max="5375"/>
    <col width="36.28515625" bestFit="1" customWidth="1" style="1436" min="5376" max="5376"/>
    <col width="18.42578125" bestFit="1" customWidth="1" style="1436" min="5377" max="5377"/>
    <col width="15.28515625" bestFit="1" customWidth="1" style="1436" min="5378" max="5378"/>
    <col width="23.42578125" customWidth="1" style="1436" min="5379" max="5379"/>
    <col width="17.28515625" bestFit="1" customWidth="1" style="1436" min="5380" max="5380"/>
    <col width="18.42578125" bestFit="1" customWidth="1" style="1436" min="5381" max="5381"/>
    <col width="16.28515625" bestFit="1" customWidth="1" style="1436" min="5382" max="5382"/>
    <col width="10" customWidth="1" style="1436" min="5383" max="5630"/>
    <col width="7.85546875" customWidth="1" style="1436" min="5631" max="5631"/>
    <col width="36.28515625" bestFit="1" customWidth="1" style="1436" min="5632" max="5632"/>
    <col width="18.42578125" bestFit="1" customWidth="1" style="1436" min="5633" max="5633"/>
    <col width="15.28515625" bestFit="1" customWidth="1" style="1436" min="5634" max="5634"/>
    <col width="23.42578125" customWidth="1" style="1436" min="5635" max="5635"/>
    <col width="17.28515625" bestFit="1" customWidth="1" style="1436" min="5636" max="5636"/>
    <col width="18.42578125" bestFit="1" customWidth="1" style="1436" min="5637" max="5637"/>
    <col width="16.28515625" bestFit="1" customWidth="1" style="1436" min="5638" max="5638"/>
    <col width="10" customWidth="1" style="1436" min="5639" max="5886"/>
    <col width="7.85546875" customWidth="1" style="1436" min="5887" max="5887"/>
    <col width="36.28515625" bestFit="1" customWidth="1" style="1436" min="5888" max="5888"/>
    <col width="18.42578125" bestFit="1" customWidth="1" style="1436" min="5889" max="5889"/>
    <col width="15.28515625" bestFit="1" customWidth="1" style="1436" min="5890" max="5890"/>
    <col width="23.42578125" customWidth="1" style="1436" min="5891" max="5891"/>
    <col width="17.28515625" bestFit="1" customWidth="1" style="1436" min="5892" max="5892"/>
    <col width="18.42578125" bestFit="1" customWidth="1" style="1436" min="5893" max="5893"/>
    <col width="16.28515625" bestFit="1" customWidth="1" style="1436" min="5894" max="5894"/>
    <col width="10" customWidth="1" style="1436" min="5895" max="6142"/>
    <col width="7.85546875" customWidth="1" style="1436" min="6143" max="6143"/>
    <col width="36.28515625" bestFit="1" customWidth="1" style="1436" min="6144" max="6144"/>
    <col width="18.42578125" bestFit="1" customWidth="1" style="1436" min="6145" max="6145"/>
    <col width="15.28515625" bestFit="1" customWidth="1" style="1436" min="6146" max="6146"/>
    <col width="23.42578125" customWidth="1" style="1436" min="6147" max="6147"/>
    <col width="17.28515625" bestFit="1" customWidth="1" style="1436" min="6148" max="6148"/>
    <col width="18.42578125" bestFit="1" customWidth="1" style="1436" min="6149" max="6149"/>
    <col width="16.28515625" bestFit="1" customWidth="1" style="1436" min="6150" max="6150"/>
    <col width="10" customWidth="1" style="1436" min="6151" max="6398"/>
    <col width="7.85546875" customWidth="1" style="1436" min="6399" max="6399"/>
    <col width="36.28515625" bestFit="1" customWidth="1" style="1436" min="6400" max="6400"/>
    <col width="18.42578125" bestFit="1" customWidth="1" style="1436" min="6401" max="6401"/>
    <col width="15.28515625" bestFit="1" customWidth="1" style="1436" min="6402" max="6402"/>
    <col width="23.42578125" customWidth="1" style="1436" min="6403" max="6403"/>
    <col width="17.28515625" bestFit="1" customWidth="1" style="1436" min="6404" max="6404"/>
    <col width="18.42578125" bestFit="1" customWidth="1" style="1436" min="6405" max="6405"/>
    <col width="16.28515625" bestFit="1" customWidth="1" style="1436" min="6406" max="6406"/>
    <col width="10" customWidth="1" style="1436" min="6407" max="6654"/>
    <col width="7.85546875" customWidth="1" style="1436" min="6655" max="6655"/>
    <col width="36.28515625" bestFit="1" customWidth="1" style="1436" min="6656" max="6656"/>
    <col width="18.42578125" bestFit="1" customWidth="1" style="1436" min="6657" max="6657"/>
    <col width="15.28515625" bestFit="1" customWidth="1" style="1436" min="6658" max="6658"/>
    <col width="23.42578125" customWidth="1" style="1436" min="6659" max="6659"/>
    <col width="17.28515625" bestFit="1" customWidth="1" style="1436" min="6660" max="6660"/>
    <col width="18.42578125" bestFit="1" customWidth="1" style="1436" min="6661" max="6661"/>
    <col width="16.28515625" bestFit="1" customWidth="1" style="1436" min="6662" max="6662"/>
    <col width="10" customWidth="1" style="1436" min="6663" max="6910"/>
    <col width="7.85546875" customWidth="1" style="1436" min="6911" max="6911"/>
    <col width="36.28515625" bestFit="1" customWidth="1" style="1436" min="6912" max="6912"/>
    <col width="18.42578125" bestFit="1" customWidth="1" style="1436" min="6913" max="6913"/>
    <col width="15.28515625" bestFit="1" customWidth="1" style="1436" min="6914" max="6914"/>
    <col width="23.42578125" customWidth="1" style="1436" min="6915" max="6915"/>
    <col width="17.28515625" bestFit="1" customWidth="1" style="1436" min="6916" max="6916"/>
    <col width="18.42578125" bestFit="1" customWidth="1" style="1436" min="6917" max="6917"/>
    <col width="16.28515625" bestFit="1" customWidth="1" style="1436" min="6918" max="6918"/>
    <col width="10" customWidth="1" style="1436" min="6919" max="7166"/>
    <col width="7.85546875" customWidth="1" style="1436" min="7167" max="7167"/>
    <col width="36.28515625" bestFit="1" customWidth="1" style="1436" min="7168" max="7168"/>
    <col width="18.42578125" bestFit="1" customWidth="1" style="1436" min="7169" max="7169"/>
    <col width="15.28515625" bestFit="1" customWidth="1" style="1436" min="7170" max="7170"/>
    <col width="23.42578125" customWidth="1" style="1436" min="7171" max="7171"/>
    <col width="17.28515625" bestFit="1" customWidth="1" style="1436" min="7172" max="7172"/>
    <col width="18.42578125" bestFit="1" customWidth="1" style="1436" min="7173" max="7173"/>
    <col width="16.28515625" bestFit="1" customWidth="1" style="1436" min="7174" max="7174"/>
    <col width="10" customWidth="1" style="1436" min="7175" max="7422"/>
    <col width="7.85546875" customWidth="1" style="1436" min="7423" max="7423"/>
    <col width="36.28515625" bestFit="1" customWidth="1" style="1436" min="7424" max="7424"/>
    <col width="18.42578125" bestFit="1" customWidth="1" style="1436" min="7425" max="7425"/>
    <col width="15.28515625" bestFit="1" customWidth="1" style="1436" min="7426" max="7426"/>
    <col width="23.42578125" customWidth="1" style="1436" min="7427" max="7427"/>
    <col width="17.28515625" bestFit="1" customWidth="1" style="1436" min="7428" max="7428"/>
    <col width="18.42578125" bestFit="1" customWidth="1" style="1436" min="7429" max="7429"/>
    <col width="16.28515625" bestFit="1" customWidth="1" style="1436" min="7430" max="7430"/>
    <col width="10" customWidth="1" style="1436" min="7431" max="7678"/>
    <col width="7.85546875" customWidth="1" style="1436" min="7679" max="7679"/>
    <col width="36.28515625" bestFit="1" customWidth="1" style="1436" min="7680" max="7680"/>
    <col width="18.42578125" bestFit="1" customWidth="1" style="1436" min="7681" max="7681"/>
    <col width="15.28515625" bestFit="1" customWidth="1" style="1436" min="7682" max="7682"/>
    <col width="23.42578125" customWidth="1" style="1436" min="7683" max="7683"/>
    <col width="17.28515625" bestFit="1" customWidth="1" style="1436" min="7684" max="7684"/>
    <col width="18.42578125" bestFit="1" customWidth="1" style="1436" min="7685" max="7685"/>
    <col width="16.28515625" bestFit="1" customWidth="1" style="1436" min="7686" max="7686"/>
    <col width="10" customWidth="1" style="1436" min="7687" max="7934"/>
    <col width="7.85546875" customWidth="1" style="1436" min="7935" max="7935"/>
    <col width="36.28515625" bestFit="1" customWidth="1" style="1436" min="7936" max="7936"/>
    <col width="18.42578125" bestFit="1" customWidth="1" style="1436" min="7937" max="7937"/>
    <col width="15.28515625" bestFit="1" customWidth="1" style="1436" min="7938" max="7938"/>
    <col width="23.42578125" customWidth="1" style="1436" min="7939" max="7939"/>
    <col width="17.28515625" bestFit="1" customWidth="1" style="1436" min="7940" max="7940"/>
    <col width="18.42578125" bestFit="1" customWidth="1" style="1436" min="7941" max="7941"/>
    <col width="16.28515625" bestFit="1" customWidth="1" style="1436" min="7942" max="7942"/>
    <col width="10" customWidth="1" style="1436" min="7943" max="8190"/>
    <col width="7.85546875" customWidth="1" style="1436" min="8191" max="8191"/>
    <col width="36.28515625" bestFit="1" customWidth="1" style="1436" min="8192" max="8192"/>
    <col width="18.42578125" bestFit="1" customWidth="1" style="1436" min="8193" max="8193"/>
    <col width="15.28515625" bestFit="1" customWidth="1" style="1436" min="8194" max="8194"/>
    <col width="23.42578125" customWidth="1" style="1436" min="8195" max="8195"/>
    <col width="17.28515625" bestFit="1" customWidth="1" style="1436" min="8196" max="8196"/>
    <col width="18.42578125" bestFit="1" customWidth="1" style="1436" min="8197" max="8197"/>
    <col width="16.28515625" bestFit="1" customWidth="1" style="1436" min="8198" max="8198"/>
    <col width="10" customWidth="1" style="1436" min="8199" max="8446"/>
    <col width="7.85546875" customWidth="1" style="1436" min="8447" max="8447"/>
    <col width="36.28515625" bestFit="1" customWidth="1" style="1436" min="8448" max="8448"/>
    <col width="18.42578125" bestFit="1" customWidth="1" style="1436" min="8449" max="8449"/>
    <col width="15.28515625" bestFit="1" customWidth="1" style="1436" min="8450" max="8450"/>
    <col width="23.42578125" customWidth="1" style="1436" min="8451" max="8451"/>
    <col width="17.28515625" bestFit="1" customWidth="1" style="1436" min="8452" max="8452"/>
    <col width="18.42578125" bestFit="1" customWidth="1" style="1436" min="8453" max="8453"/>
    <col width="16.28515625" bestFit="1" customWidth="1" style="1436" min="8454" max="8454"/>
    <col width="10" customWidth="1" style="1436" min="8455" max="8702"/>
    <col width="7.85546875" customWidth="1" style="1436" min="8703" max="8703"/>
    <col width="36.28515625" bestFit="1" customWidth="1" style="1436" min="8704" max="8704"/>
    <col width="18.42578125" bestFit="1" customWidth="1" style="1436" min="8705" max="8705"/>
    <col width="15.28515625" bestFit="1" customWidth="1" style="1436" min="8706" max="8706"/>
    <col width="23.42578125" customWidth="1" style="1436" min="8707" max="8707"/>
    <col width="17.28515625" bestFit="1" customWidth="1" style="1436" min="8708" max="8708"/>
    <col width="18.42578125" bestFit="1" customWidth="1" style="1436" min="8709" max="8709"/>
    <col width="16.28515625" bestFit="1" customWidth="1" style="1436" min="8710" max="8710"/>
    <col width="10" customWidth="1" style="1436" min="8711" max="8958"/>
    <col width="7.85546875" customWidth="1" style="1436" min="8959" max="8959"/>
    <col width="36.28515625" bestFit="1" customWidth="1" style="1436" min="8960" max="8960"/>
    <col width="18.42578125" bestFit="1" customWidth="1" style="1436" min="8961" max="8961"/>
    <col width="15.28515625" bestFit="1" customWidth="1" style="1436" min="8962" max="8962"/>
    <col width="23.42578125" customWidth="1" style="1436" min="8963" max="8963"/>
    <col width="17.28515625" bestFit="1" customWidth="1" style="1436" min="8964" max="8964"/>
    <col width="18.42578125" bestFit="1" customWidth="1" style="1436" min="8965" max="8965"/>
    <col width="16.28515625" bestFit="1" customWidth="1" style="1436" min="8966" max="8966"/>
    <col width="10" customWidth="1" style="1436" min="8967" max="9214"/>
    <col width="7.85546875" customWidth="1" style="1436" min="9215" max="9215"/>
    <col width="36.28515625" bestFit="1" customWidth="1" style="1436" min="9216" max="9216"/>
    <col width="18.42578125" bestFit="1" customWidth="1" style="1436" min="9217" max="9217"/>
    <col width="15.28515625" bestFit="1" customWidth="1" style="1436" min="9218" max="9218"/>
    <col width="23.42578125" customWidth="1" style="1436" min="9219" max="9219"/>
    <col width="17.28515625" bestFit="1" customWidth="1" style="1436" min="9220" max="9220"/>
    <col width="18.42578125" bestFit="1" customWidth="1" style="1436" min="9221" max="9221"/>
    <col width="16.28515625" bestFit="1" customWidth="1" style="1436" min="9222" max="9222"/>
    <col width="10" customWidth="1" style="1436" min="9223" max="9470"/>
    <col width="7.85546875" customWidth="1" style="1436" min="9471" max="9471"/>
    <col width="36.28515625" bestFit="1" customWidth="1" style="1436" min="9472" max="9472"/>
    <col width="18.42578125" bestFit="1" customWidth="1" style="1436" min="9473" max="9473"/>
    <col width="15.28515625" bestFit="1" customWidth="1" style="1436" min="9474" max="9474"/>
    <col width="23.42578125" customWidth="1" style="1436" min="9475" max="9475"/>
    <col width="17.28515625" bestFit="1" customWidth="1" style="1436" min="9476" max="9476"/>
    <col width="18.42578125" bestFit="1" customWidth="1" style="1436" min="9477" max="9477"/>
    <col width="16.28515625" bestFit="1" customWidth="1" style="1436" min="9478" max="9478"/>
    <col width="10" customWidth="1" style="1436" min="9479" max="9726"/>
    <col width="7.85546875" customWidth="1" style="1436" min="9727" max="9727"/>
    <col width="36.28515625" bestFit="1" customWidth="1" style="1436" min="9728" max="9728"/>
    <col width="18.42578125" bestFit="1" customWidth="1" style="1436" min="9729" max="9729"/>
    <col width="15.28515625" bestFit="1" customWidth="1" style="1436" min="9730" max="9730"/>
    <col width="23.42578125" customWidth="1" style="1436" min="9731" max="9731"/>
    <col width="17.28515625" bestFit="1" customWidth="1" style="1436" min="9732" max="9732"/>
    <col width="18.42578125" bestFit="1" customWidth="1" style="1436" min="9733" max="9733"/>
    <col width="16.28515625" bestFit="1" customWidth="1" style="1436" min="9734" max="9734"/>
    <col width="10" customWidth="1" style="1436" min="9735" max="9982"/>
    <col width="7.85546875" customWidth="1" style="1436" min="9983" max="9983"/>
    <col width="36.28515625" bestFit="1" customWidth="1" style="1436" min="9984" max="9984"/>
    <col width="18.42578125" bestFit="1" customWidth="1" style="1436" min="9985" max="9985"/>
    <col width="15.28515625" bestFit="1" customWidth="1" style="1436" min="9986" max="9986"/>
    <col width="23.42578125" customWidth="1" style="1436" min="9987" max="9987"/>
    <col width="17.28515625" bestFit="1" customWidth="1" style="1436" min="9988" max="9988"/>
    <col width="18.42578125" bestFit="1" customWidth="1" style="1436" min="9989" max="9989"/>
    <col width="16.28515625" bestFit="1" customWidth="1" style="1436" min="9990" max="9990"/>
    <col width="10" customWidth="1" style="1436" min="9991" max="10238"/>
    <col width="7.85546875" customWidth="1" style="1436" min="10239" max="10239"/>
    <col width="36.28515625" bestFit="1" customWidth="1" style="1436" min="10240" max="10240"/>
    <col width="18.42578125" bestFit="1" customWidth="1" style="1436" min="10241" max="10241"/>
    <col width="15.28515625" bestFit="1" customWidth="1" style="1436" min="10242" max="10242"/>
    <col width="23.42578125" customWidth="1" style="1436" min="10243" max="10243"/>
    <col width="17.28515625" bestFit="1" customWidth="1" style="1436" min="10244" max="10244"/>
    <col width="18.42578125" bestFit="1" customWidth="1" style="1436" min="10245" max="10245"/>
    <col width="16.28515625" bestFit="1" customWidth="1" style="1436" min="10246" max="10246"/>
    <col width="10" customWidth="1" style="1436" min="10247" max="10494"/>
    <col width="7.85546875" customWidth="1" style="1436" min="10495" max="10495"/>
    <col width="36.28515625" bestFit="1" customWidth="1" style="1436" min="10496" max="10496"/>
    <col width="18.42578125" bestFit="1" customWidth="1" style="1436" min="10497" max="10497"/>
    <col width="15.28515625" bestFit="1" customWidth="1" style="1436" min="10498" max="10498"/>
    <col width="23.42578125" customWidth="1" style="1436" min="10499" max="10499"/>
    <col width="17.28515625" bestFit="1" customWidth="1" style="1436" min="10500" max="10500"/>
    <col width="18.42578125" bestFit="1" customWidth="1" style="1436" min="10501" max="10501"/>
    <col width="16.28515625" bestFit="1" customWidth="1" style="1436" min="10502" max="10502"/>
    <col width="10" customWidth="1" style="1436" min="10503" max="10750"/>
    <col width="7.85546875" customWidth="1" style="1436" min="10751" max="10751"/>
    <col width="36.28515625" bestFit="1" customWidth="1" style="1436" min="10752" max="10752"/>
    <col width="18.42578125" bestFit="1" customWidth="1" style="1436" min="10753" max="10753"/>
    <col width="15.28515625" bestFit="1" customWidth="1" style="1436" min="10754" max="10754"/>
    <col width="23.42578125" customWidth="1" style="1436" min="10755" max="10755"/>
    <col width="17.28515625" bestFit="1" customWidth="1" style="1436" min="10756" max="10756"/>
    <col width="18.42578125" bestFit="1" customWidth="1" style="1436" min="10757" max="10757"/>
    <col width="16.28515625" bestFit="1" customWidth="1" style="1436" min="10758" max="10758"/>
    <col width="10" customWidth="1" style="1436" min="10759" max="11006"/>
    <col width="7.85546875" customWidth="1" style="1436" min="11007" max="11007"/>
    <col width="36.28515625" bestFit="1" customWidth="1" style="1436" min="11008" max="11008"/>
    <col width="18.42578125" bestFit="1" customWidth="1" style="1436" min="11009" max="11009"/>
    <col width="15.28515625" bestFit="1" customWidth="1" style="1436" min="11010" max="11010"/>
    <col width="23.42578125" customWidth="1" style="1436" min="11011" max="11011"/>
    <col width="17.28515625" bestFit="1" customWidth="1" style="1436" min="11012" max="11012"/>
    <col width="18.42578125" bestFit="1" customWidth="1" style="1436" min="11013" max="11013"/>
    <col width="16.28515625" bestFit="1" customWidth="1" style="1436" min="11014" max="11014"/>
    <col width="10" customWidth="1" style="1436" min="11015" max="11262"/>
    <col width="7.85546875" customWidth="1" style="1436" min="11263" max="11263"/>
    <col width="36.28515625" bestFit="1" customWidth="1" style="1436" min="11264" max="11264"/>
    <col width="18.42578125" bestFit="1" customWidth="1" style="1436" min="11265" max="11265"/>
    <col width="15.28515625" bestFit="1" customWidth="1" style="1436" min="11266" max="11266"/>
    <col width="23.42578125" customWidth="1" style="1436" min="11267" max="11267"/>
    <col width="17.28515625" bestFit="1" customWidth="1" style="1436" min="11268" max="11268"/>
    <col width="18.42578125" bestFit="1" customWidth="1" style="1436" min="11269" max="11269"/>
    <col width="16.28515625" bestFit="1" customWidth="1" style="1436" min="11270" max="11270"/>
    <col width="10" customWidth="1" style="1436" min="11271" max="11518"/>
    <col width="7.85546875" customWidth="1" style="1436" min="11519" max="11519"/>
    <col width="36.28515625" bestFit="1" customWidth="1" style="1436" min="11520" max="11520"/>
    <col width="18.42578125" bestFit="1" customWidth="1" style="1436" min="11521" max="11521"/>
    <col width="15.28515625" bestFit="1" customWidth="1" style="1436" min="11522" max="11522"/>
    <col width="23.42578125" customWidth="1" style="1436" min="11523" max="11523"/>
    <col width="17.28515625" bestFit="1" customWidth="1" style="1436" min="11524" max="11524"/>
    <col width="18.42578125" bestFit="1" customWidth="1" style="1436" min="11525" max="11525"/>
    <col width="16.28515625" bestFit="1" customWidth="1" style="1436" min="11526" max="11526"/>
    <col width="10" customWidth="1" style="1436" min="11527" max="11774"/>
    <col width="7.85546875" customWidth="1" style="1436" min="11775" max="11775"/>
    <col width="36.28515625" bestFit="1" customWidth="1" style="1436" min="11776" max="11776"/>
    <col width="18.42578125" bestFit="1" customWidth="1" style="1436" min="11777" max="11777"/>
    <col width="15.28515625" bestFit="1" customWidth="1" style="1436" min="11778" max="11778"/>
    <col width="23.42578125" customWidth="1" style="1436" min="11779" max="11779"/>
    <col width="17.28515625" bestFit="1" customWidth="1" style="1436" min="11780" max="11780"/>
    <col width="18.42578125" bestFit="1" customWidth="1" style="1436" min="11781" max="11781"/>
    <col width="16.28515625" bestFit="1" customWidth="1" style="1436" min="11782" max="11782"/>
    <col width="10" customWidth="1" style="1436" min="11783" max="12030"/>
    <col width="7.85546875" customWidth="1" style="1436" min="12031" max="12031"/>
    <col width="36.28515625" bestFit="1" customWidth="1" style="1436" min="12032" max="12032"/>
    <col width="18.42578125" bestFit="1" customWidth="1" style="1436" min="12033" max="12033"/>
    <col width="15.28515625" bestFit="1" customWidth="1" style="1436" min="12034" max="12034"/>
    <col width="23.42578125" customWidth="1" style="1436" min="12035" max="12035"/>
    <col width="17.28515625" bestFit="1" customWidth="1" style="1436" min="12036" max="12036"/>
    <col width="18.42578125" bestFit="1" customWidth="1" style="1436" min="12037" max="12037"/>
    <col width="16.28515625" bestFit="1" customWidth="1" style="1436" min="12038" max="12038"/>
    <col width="10" customWidth="1" style="1436" min="12039" max="12286"/>
    <col width="7.85546875" customWidth="1" style="1436" min="12287" max="12287"/>
    <col width="36.28515625" bestFit="1" customWidth="1" style="1436" min="12288" max="12288"/>
    <col width="18.42578125" bestFit="1" customWidth="1" style="1436" min="12289" max="12289"/>
    <col width="15.28515625" bestFit="1" customWidth="1" style="1436" min="12290" max="12290"/>
    <col width="23.42578125" customWidth="1" style="1436" min="12291" max="12291"/>
    <col width="17.28515625" bestFit="1" customWidth="1" style="1436" min="12292" max="12292"/>
    <col width="18.42578125" bestFit="1" customWidth="1" style="1436" min="12293" max="12293"/>
    <col width="16.28515625" bestFit="1" customWidth="1" style="1436" min="12294" max="12294"/>
    <col width="10" customWidth="1" style="1436" min="12295" max="12542"/>
    <col width="7.85546875" customWidth="1" style="1436" min="12543" max="12543"/>
    <col width="36.28515625" bestFit="1" customWidth="1" style="1436" min="12544" max="12544"/>
    <col width="18.42578125" bestFit="1" customWidth="1" style="1436" min="12545" max="12545"/>
    <col width="15.28515625" bestFit="1" customWidth="1" style="1436" min="12546" max="12546"/>
    <col width="23.42578125" customWidth="1" style="1436" min="12547" max="12547"/>
    <col width="17.28515625" bestFit="1" customWidth="1" style="1436" min="12548" max="12548"/>
    <col width="18.42578125" bestFit="1" customWidth="1" style="1436" min="12549" max="12549"/>
    <col width="16.28515625" bestFit="1" customWidth="1" style="1436" min="12550" max="12550"/>
    <col width="10" customWidth="1" style="1436" min="12551" max="12798"/>
    <col width="7.85546875" customWidth="1" style="1436" min="12799" max="12799"/>
    <col width="36.28515625" bestFit="1" customWidth="1" style="1436" min="12800" max="12800"/>
    <col width="18.42578125" bestFit="1" customWidth="1" style="1436" min="12801" max="12801"/>
    <col width="15.28515625" bestFit="1" customWidth="1" style="1436" min="12802" max="12802"/>
    <col width="23.42578125" customWidth="1" style="1436" min="12803" max="12803"/>
    <col width="17.28515625" bestFit="1" customWidth="1" style="1436" min="12804" max="12804"/>
    <col width="18.42578125" bestFit="1" customWidth="1" style="1436" min="12805" max="12805"/>
    <col width="16.28515625" bestFit="1" customWidth="1" style="1436" min="12806" max="12806"/>
    <col width="10" customWidth="1" style="1436" min="12807" max="13054"/>
    <col width="7.85546875" customWidth="1" style="1436" min="13055" max="13055"/>
    <col width="36.28515625" bestFit="1" customWidth="1" style="1436" min="13056" max="13056"/>
    <col width="18.42578125" bestFit="1" customWidth="1" style="1436" min="13057" max="13057"/>
    <col width="15.28515625" bestFit="1" customWidth="1" style="1436" min="13058" max="13058"/>
    <col width="23.42578125" customWidth="1" style="1436" min="13059" max="13059"/>
    <col width="17.28515625" bestFit="1" customWidth="1" style="1436" min="13060" max="13060"/>
    <col width="18.42578125" bestFit="1" customWidth="1" style="1436" min="13061" max="13061"/>
    <col width="16.28515625" bestFit="1" customWidth="1" style="1436" min="13062" max="13062"/>
    <col width="10" customWidth="1" style="1436" min="13063" max="13310"/>
    <col width="7.85546875" customWidth="1" style="1436" min="13311" max="13311"/>
    <col width="36.28515625" bestFit="1" customWidth="1" style="1436" min="13312" max="13312"/>
    <col width="18.42578125" bestFit="1" customWidth="1" style="1436" min="13313" max="13313"/>
    <col width="15.28515625" bestFit="1" customWidth="1" style="1436" min="13314" max="13314"/>
    <col width="23.42578125" customWidth="1" style="1436" min="13315" max="13315"/>
    <col width="17.28515625" bestFit="1" customWidth="1" style="1436" min="13316" max="13316"/>
    <col width="18.42578125" bestFit="1" customWidth="1" style="1436" min="13317" max="13317"/>
    <col width="16.28515625" bestFit="1" customWidth="1" style="1436" min="13318" max="13318"/>
    <col width="10" customWidth="1" style="1436" min="13319" max="13566"/>
    <col width="7.85546875" customWidth="1" style="1436" min="13567" max="13567"/>
    <col width="36.28515625" bestFit="1" customWidth="1" style="1436" min="13568" max="13568"/>
    <col width="18.42578125" bestFit="1" customWidth="1" style="1436" min="13569" max="13569"/>
    <col width="15.28515625" bestFit="1" customWidth="1" style="1436" min="13570" max="13570"/>
    <col width="23.42578125" customWidth="1" style="1436" min="13571" max="13571"/>
    <col width="17.28515625" bestFit="1" customWidth="1" style="1436" min="13572" max="13572"/>
    <col width="18.42578125" bestFit="1" customWidth="1" style="1436" min="13573" max="13573"/>
    <col width="16.28515625" bestFit="1" customWidth="1" style="1436" min="13574" max="13574"/>
    <col width="10" customWidth="1" style="1436" min="13575" max="13822"/>
    <col width="7.85546875" customWidth="1" style="1436" min="13823" max="13823"/>
    <col width="36.28515625" bestFit="1" customWidth="1" style="1436" min="13824" max="13824"/>
    <col width="18.42578125" bestFit="1" customWidth="1" style="1436" min="13825" max="13825"/>
    <col width="15.28515625" bestFit="1" customWidth="1" style="1436" min="13826" max="13826"/>
    <col width="23.42578125" customWidth="1" style="1436" min="13827" max="13827"/>
    <col width="17.28515625" bestFit="1" customWidth="1" style="1436" min="13828" max="13828"/>
    <col width="18.42578125" bestFit="1" customWidth="1" style="1436" min="13829" max="13829"/>
    <col width="16.28515625" bestFit="1" customWidth="1" style="1436" min="13830" max="13830"/>
    <col width="10" customWidth="1" style="1436" min="13831" max="14078"/>
    <col width="7.85546875" customWidth="1" style="1436" min="14079" max="14079"/>
    <col width="36.28515625" bestFit="1" customWidth="1" style="1436" min="14080" max="14080"/>
    <col width="18.42578125" bestFit="1" customWidth="1" style="1436" min="14081" max="14081"/>
    <col width="15.28515625" bestFit="1" customWidth="1" style="1436" min="14082" max="14082"/>
    <col width="23.42578125" customWidth="1" style="1436" min="14083" max="14083"/>
    <col width="17.28515625" bestFit="1" customWidth="1" style="1436" min="14084" max="14084"/>
    <col width="18.42578125" bestFit="1" customWidth="1" style="1436" min="14085" max="14085"/>
    <col width="16.28515625" bestFit="1" customWidth="1" style="1436" min="14086" max="14086"/>
    <col width="10" customWidth="1" style="1436" min="14087" max="14334"/>
    <col width="7.85546875" customWidth="1" style="1436" min="14335" max="14335"/>
    <col width="36.28515625" bestFit="1" customWidth="1" style="1436" min="14336" max="14336"/>
    <col width="18.42578125" bestFit="1" customWidth="1" style="1436" min="14337" max="14337"/>
    <col width="15.28515625" bestFit="1" customWidth="1" style="1436" min="14338" max="14338"/>
    <col width="23.42578125" customWidth="1" style="1436" min="14339" max="14339"/>
    <col width="17.28515625" bestFit="1" customWidth="1" style="1436" min="14340" max="14340"/>
    <col width="18.42578125" bestFit="1" customWidth="1" style="1436" min="14341" max="14341"/>
    <col width="16.28515625" bestFit="1" customWidth="1" style="1436" min="14342" max="14342"/>
    <col width="10" customWidth="1" style="1436" min="14343" max="14590"/>
    <col width="7.85546875" customWidth="1" style="1436" min="14591" max="14591"/>
    <col width="36.28515625" bestFit="1" customWidth="1" style="1436" min="14592" max="14592"/>
    <col width="18.42578125" bestFit="1" customWidth="1" style="1436" min="14593" max="14593"/>
    <col width="15.28515625" bestFit="1" customWidth="1" style="1436" min="14594" max="14594"/>
    <col width="23.42578125" customWidth="1" style="1436" min="14595" max="14595"/>
    <col width="17.28515625" bestFit="1" customWidth="1" style="1436" min="14596" max="14596"/>
    <col width="18.42578125" bestFit="1" customWidth="1" style="1436" min="14597" max="14597"/>
    <col width="16.28515625" bestFit="1" customWidth="1" style="1436" min="14598" max="14598"/>
    <col width="10" customWidth="1" style="1436" min="14599" max="14846"/>
    <col width="7.85546875" customWidth="1" style="1436" min="14847" max="14847"/>
    <col width="36.28515625" bestFit="1" customWidth="1" style="1436" min="14848" max="14848"/>
    <col width="18.42578125" bestFit="1" customWidth="1" style="1436" min="14849" max="14849"/>
    <col width="15.28515625" bestFit="1" customWidth="1" style="1436" min="14850" max="14850"/>
    <col width="23.42578125" customWidth="1" style="1436" min="14851" max="14851"/>
    <col width="17.28515625" bestFit="1" customWidth="1" style="1436" min="14852" max="14852"/>
    <col width="18.42578125" bestFit="1" customWidth="1" style="1436" min="14853" max="14853"/>
    <col width="16.28515625" bestFit="1" customWidth="1" style="1436" min="14854" max="14854"/>
    <col width="10" customWidth="1" style="1436" min="14855" max="15102"/>
    <col width="7.85546875" customWidth="1" style="1436" min="15103" max="15103"/>
    <col width="36.28515625" bestFit="1" customWidth="1" style="1436" min="15104" max="15104"/>
    <col width="18.42578125" bestFit="1" customWidth="1" style="1436" min="15105" max="15105"/>
    <col width="15.28515625" bestFit="1" customWidth="1" style="1436" min="15106" max="15106"/>
    <col width="23.42578125" customWidth="1" style="1436" min="15107" max="15107"/>
    <col width="17.28515625" bestFit="1" customWidth="1" style="1436" min="15108" max="15108"/>
    <col width="18.42578125" bestFit="1" customWidth="1" style="1436" min="15109" max="15109"/>
    <col width="16.28515625" bestFit="1" customWidth="1" style="1436" min="15110" max="15110"/>
    <col width="10" customWidth="1" style="1436" min="15111" max="15358"/>
    <col width="7.85546875" customWidth="1" style="1436" min="15359" max="15359"/>
    <col width="36.28515625" bestFit="1" customWidth="1" style="1436" min="15360" max="15360"/>
    <col width="18.42578125" bestFit="1" customWidth="1" style="1436" min="15361" max="15361"/>
    <col width="15.28515625" bestFit="1" customWidth="1" style="1436" min="15362" max="15362"/>
    <col width="23.42578125" customWidth="1" style="1436" min="15363" max="15363"/>
    <col width="17.28515625" bestFit="1" customWidth="1" style="1436" min="15364" max="15364"/>
    <col width="18.42578125" bestFit="1" customWidth="1" style="1436" min="15365" max="15365"/>
    <col width="16.28515625" bestFit="1" customWidth="1" style="1436" min="15366" max="15366"/>
    <col width="10" customWidth="1" style="1436" min="15367" max="15614"/>
    <col width="7.85546875" customWidth="1" style="1436" min="15615" max="15615"/>
    <col width="36.28515625" bestFit="1" customWidth="1" style="1436" min="15616" max="15616"/>
    <col width="18.42578125" bestFit="1" customWidth="1" style="1436" min="15617" max="15617"/>
    <col width="15.28515625" bestFit="1" customWidth="1" style="1436" min="15618" max="15618"/>
    <col width="23.42578125" customWidth="1" style="1436" min="15619" max="15619"/>
    <col width="17.28515625" bestFit="1" customWidth="1" style="1436" min="15620" max="15620"/>
    <col width="18.42578125" bestFit="1" customWidth="1" style="1436" min="15621" max="15621"/>
    <col width="16.28515625" bestFit="1" customWidth="1" style="1436" min="15622" max="15622"/>
    <col width="10" customWidth="1" style="1436" min="15623" max="15870"/>
    <col width="7.85546875" customWidth="1" style="1436" min="15871" max="15871"/>
    <col width="36.28515625" bestFit="1" customWidth="1" style="1436" min="15872" max="15872"/>
    <col width="18.42578125" bestFit="1" customWidth="1" style="1436" min="15873" max="15873"/>
    <col width="15.28515625" bestFit="1" customWidth="1" style="1436" min="15874" max="15874"/>
    <col width="23.42578125" customWidth="1" style="1436" min="15875" max="15875"/>
    <col width="17.28515625" bestFit="1" customWidth="1" style="1436" min="15876" max="15876"/>
    <col width="18.42578125" bestFit="1" customWidth="1" style="1436" min="15877" max="15877"/>
    <col width="16.28515625" bestFit="1" customWidth="1" style="1436" min="15878" max="15878"/>
    <col width="10" customWidth="1" style="1436" min="15879" max="16126"/>
    <col width="7.85546875" customWidth="1" style="1436" min="16127" max="16127"/>
    <col width="36.28515625" bestFit="1" customWidth="1" style="1436" min="16128" max="16128"/>
    <col width="18.42578125" bestFit="1" customWidth="1" style="1436" min="16129" max="16129"/>
    <col width="15.28515625" bestFit="1" customWidth="1" style="1436" min="16130" max="16130"/>
    <col width="23.42578125" customWidth="1" style="1436" min="16131" max="16131"/>
    <col width="17.28515625" bestFit="1" customWidth="1" style="1436" min="16132" max="16132"/>
    <col width="18.42578125" bestFit="1" customWidth="1" style="1436" min="16133" max="16133"/>
    <col width="16.28515625" bestFit="1" customWidth="1" style="1436" min="16134" max="16134"/>
    <col width="10" customWidth="1" style="1436" min="16135" max="16384"/>
  </cols>
  <sheetData>
    <row r="1" ht="14.45" customFormat="1" customHeight="1" s="1139">
      <c r="A1" s="1139" t="inlineStr">
        <is>
          <t>N° compte</t>
        </is>
      </c>
      <c r="B1" s="1139" t="inlineStr">
        <is>
          <t>Libellés</t>
        </is>
      </c>
      <c r="C1" s="1139" t="inlineStr">
        <is>
          <t>Débit</t>
        </is>
      </c>
      <c r="D1" s="1139" t="inlineStr">
        <is>
          <t>Crédit</t>
        </is>
      </c>
      <c r="E1" s="1139" t="inlineStr">
        <is>
          <t>Débit</t>
        </is>
      </c>
      <c r="F1" s="1139" t="inlineStr">
        <is>
          <t>Crédit</t>
        </is>
      </c>
      <c r="G1" s="1139" t="inlineStr">
        <is>
          <t>Débit</t>
        </is>
      </c>
      <c r="H1" s="1139" t="inlineStr">
        <is>
          <t>Crédit</t>
        </is>
      </c>
    </row>
    <row r="2" ht="14.45" customHeight="1" s="1225">
      <c r="A2" s="1436" t="inlineStr">
        <is>
          <t>101200</t>
        </is>
      </c>
      <c r="B2" s="1436" t="inlineStr">
        <is>
          <t>Capital souscrit, appelé, non</t>
        </is>
      </c>
      <c r="C2" s="1187" t="n">
        <v>0</v>
      </c>
      <c r="D2" s="1187" t="n">
        <v>0</v>
      </c>
      <c r="E2" s="1187" t="n">
        <v>193000000</v>
      </c>
      <c r="F2" s="1187" t="n">
        <v>193000000</v>
      </c>
      <c r="G2" s="1187" t="n">
        <v>0</v>
      </c>
      <c r="H2" s="1187" t="n">
        <v>0</v>
      </c>
    </row>
    <row r="3" ht="14.45" customHeight="1" s="1225">
      <c r="A3" s="1436" t="inlineStr">
        <is>
          <t>101300</t>
        </is>
      </c>
      <c r="B3" s="1436" t="inlineStr">
        <is>
          <t>Capital souscrit, appelé, vers</t>
        </is>
      </c>
      <c r="C3" s="1187" t="n">
        <v>0</v>
      </c>
      <c r="D3" s="1187" t="n">
        <v>100000000</v>
      </c>
      <c r="E3" s="1187" t="n">
        <v>0</v>
      </c>
      <c r="F3" s="1187" t="n">
        <v>9999999999.999998</v>
      </c>
      <c r="G3" s="1187" t="n">
        <v>0</v>
      </c>
      <c r="H3" s="1187" t="n">
        <v>10100000000</v>
      </c>
    </row>
    <row r="4" ht="14.45" customHeight="1" s="1225">
      <c r="A4" s="1436" t="inlineStr">
        <is>
          <t>129000</t>
        </is>
      </c>
      <c r="B4" s="1436" t="inlineStr">
        <is>
          <t>REPORT À NOUVEAU DÉBITEUR</t>
        </is>
      </c>
      <c r="C4" s="1187" t="n">
        <v>2748292</v>
      </c>
      <c r="D4" s="1187" t="n">
        <v>0</v>
      </c>
      <c r="E4" s="1187" t="n">
        <v>20055904</v>
      </c>
      <c r="F4" s="1187" t="n">
        <v>0</v>
      </c>
      <c r="G4" s="1187" t="n">
        <v>22804196</v>
      </c>
      <c r="H4" s="1187" t="n">
        <v>0</v>
      </c>
    </row>
    <row r="5" ht="14.45" customHeight="1" s="1225">
      <c r="A5" s="1436" t="inlineStr">
        <is>
          <t>139000</t>
        </is>
      </c>
      <c r="B5" s="1436" t="inlineStr">
        <is>
          <t>RÉSULTAT NET : PERTE</t>
        </is>
      </c>
      <c r="C5" s="1187" t="n">
        <v>20055904</v>
      </c>
      <c r="D5" s="1187" t="n">
        <v>0</v>
      </c>
      <c r="E5" s="1187" t="n">
        <v>0</v>
      </c>
      <c r="F5" s="1187" t="n">
        <v>20055904</v>
      </c>
      <c r="G5" s="1187" t="n">
        <v>0</v>
      </c>
      <c r="H5" s="1187" t="n">
        <v>0</v>
      </c>
    </row>
    <row r="6" ht="14.45" customHeight="1" s="1225">
      <c r="A6" s="1436" t="inlineStr">
        <is>
          <t>160000</t>
        </is>
      </c>
      <c r="B6" s="1436" t="inlineStr">
        <is>
          <t>EMPRUNTS ET DETTES ASSIMILÉES</t>
        </is>
      </c>
      <c r="C6" s="1187" t="n">
        <v>0</v>
      </c>
      <c r="D6" s="1187" t="n">
        <v>5125000000</v>
      </c>
      <c r="E6" s="1187" t="n">
        <v>5125000000</v>
      </c>
      <c r="F6" s="1187" t="n">
        <v>0</v>
      </c>
      <c r="G6" s="1187" t="n">
        <v>0</v>
      </c>
      <c r="H6" s="1187" t="n">
        <v>0</v>
      </c>
    </row>
    <row r="7" ht="14.45" customHeight="1" s="1225">
      <c r="A7" s="1436" t="inlineStr">
        <is>
          <t>161100</t>
        </is>
      </c>
      <c r="B7" s="1436" t="inlineStr">
        <is>
          <t>Emprunts obligataires ordinair</t>
        </is>
      </c>
      <c r="C7" s="1187" t="n">
        <v>0</v>
      </c>
      <c r="D7" s="1187" t="n">
        <v>7500000000</v>
      </c>
      <c r="E7" s="1187" t="n">
        <v>7500000000</v>
      </c>
      <c r="F7" s="1187" t="n">
        <v>0</v>
      </c>
      <c r="G7" s="1187" t="n">
        <v>0</v>
      </c>
      <c r="H7" s="1187" t="n">
        <v>0</v>
      </c>
    </row>
    <row r="8" ht="14.45" customHeight="1" s="1225">
      <c r="A8" s="1436" t="inlineStr">
        <is>
          <t>162010</t>
        </is>
      </c>
      <c r="B8" s="1436" t="inlineStr">
        <is>
          <t>EMPRUNT CORIS BANK</t>
        </is>
      </c>
      <c r="C8" s="1187" t="n">
        <v>0</v>
      </c>
      <c r="D8" s="1187" t="n">
        <v>0</v>
      </c>
      <c r="E8" s="1187" t="n">
        <v>247062318</v>
      </c>
      <c r="F8" s="1187" t="n">
        <v>500000000</v>
      </c>
      <c r="G8" s="1187" t="n">
        <v>0</v>
      </c>
      <c r="H8" s="1187" t="n">
        <v>252937682</v>
      </c>
    </row>
    <row r="9" ht="14.45" customHeight="1" s="1225">
      <c r="A9" s="1436" t="inlineStr">
        <is>
          <t>162020</t>
        </is>
      </c>
      <c r="B9" s="1436" t="inlineStr">
        <is>
          <t>EMPRUNT VISTA</t>
        </is>
      </c>
      <c r="C9" s="1187" t="n">
        <v>0</v>
      </c>
      <c r="D9" s="1187" t="n">
        <v>0</v>
      </c>
      <c r="E9" s="1187" t="n">
        <v>0</v>
      </c>
      <c r="F9" s="1187" t="n">
        <v>15000000000</v>
      </c>
      <c r="G9" s="1187" t="n">
        <v>0</v>
      </c>
      <c r="H9" s="1187" t="n">
        <v>15000000000</v>
      </c>
    </row>
    <row r="10" ht="14.45" customHeight="1" s="1225">
      <c r="A10" s="1436" t="inlineStr">
        <is>
          <t>162030</t>
        </is>
      </c>
      <c r="B10" s="1436" t="inlineStr">
        <is>
          <t>EMPRUNT WBI</t>
        </is>
      </c>
      <c r="C10" s="1187" t="n">
        <v>0</v>
      </c>
      <c r="D10" s="1187" t="n">
        <v>0</v>
      </c>
      <c r="E10" s="1187" t="n">
        <v>539354385</v>
      </c>
      <c r="F10" s="1187" t="n">
        <v>4999999999.999999</v>
      </c>
      <c r="G10" s="1187" t="n">
        <v>0</v>
      </c>
      <c r="H10" s="1187" t="n">
        <v>4460645614.999999</v>
      </c>
    </row>
    <row r="11" ht="14.45" customHeight="1" s="1225">
      <c r="A11" s="1436" t="inlineStr">
        <is>
          <t>213100</t>
        </is>
      </c>
      <c r="B11" s="1436" t="inlineStr">
        <is>
          <t>LOGICIELS</t>
        </is>
      </c>
      <c r="C11" s="1187" t="n">
        <v>0</v>
      </c>
      <c r="D11" s="1187" t="n">
        <v>0</v>
      </c>
      <c r="E11" s="1187" t="n">
        <v>64245912</v>
      </c>
      <c r="F11" s="1187" t="n">
        <v>0</v>
      </c>
      <c r="G11" s="1187" t="n">
        <v>64245912</v>
      </c>
      <c r="H11" s="1187" t="n">
        <v>0</v>
      </c>
    </row>
    <row r="12" ht="14.45" customHeight="1" s="1225">
      <c r="A12" s="1436" t="inlineStr">
        <is>
          <t>221800</t>
        </is>
      </c>
      <c r="B12" s="1436" t="inlineStr">
        <is>
          <t>AUTRES TERRAINS</t>
        </is>
      </c>
      <c r="C12" s="1187" t="n">
        <v>0</v>
      </c>
      <c r="D12" s="1187" t="n">
        <v>0</v>
      </c>
      <c r="E12" s="1187" t="n">
        <v>962734139</v>
      </c>
      <c r="F12" s="1187" t="n">
        <v>0</v>
      </c>
      <c r="G12" s="1187" t="n">
        <v>962734139</v>
      </c>
      <c r="H12" s="1187" t="n">
        <v>0</v>
      </c>
    </row>
    <row r="13" ht="14.45" customHeight="1" s="1225">
      <c r="A13" s="1436" t="inlineStr">
        <is>
          <t>222800</t>
        </is>
      </c>
      <c r="B13" s="1436" t="inlineStr">
        <is>
          <t>TERRAINS RIVERAINS</t>
        </is>
      </c>
      <c r="C13" s="1187" t="n">
        <v>3000000</v>
      </c>
      <c r="D13" s="1187" t="n">
        <v>0</v>
      </c>
      <c r="E13" s="1187" t="n">
        <v>437179000</v>
      </c>
      <c r="F13" s="1187" t="n">
        <v>4400000</v>
      </c>
      <c r="G13" s="1187" t="n">
        <v>435779000</v>
      </c>
      <c r="H13" s="1187" t="n">
        <v>0</v>
      </c>
    </row>
    <row r="14" ht="14.45" customHeight="1" s="1225">
      <c r="A14" s="1436" t="inlineStr">
        <is>
          <t>228801</t>
        </is>
      </c>
      <c r="B14" s="1436" t="inlineStr">
        <is>
          <t>TERRAIN RIVERAIN</t>
        </is>
      </c>
      <c r="C14" s="1187" t="n">
        <v>4500000</v>
      </c>
      <c r="D14" s="1187" t="n">
        <v>0</v>
      </c>
      <c r="E14" s="1187" t="n">
        <v>0</v>
      </c>
      <c r="F14" s="1187" t="n">
        <v>4500000</v>
      </c>
      <c r="G14" s="1187" t="n">
        <v>0</v>
      </c>
      <c r="H14" s="1187" t="n">
        <v>0</v>
      </c>
    </row>
    <row r="15" ht="14.45" customHeight="1" s="1225">
      <c r="A15" s="1436" t="inlineStr">
        <is>
          <t>231102</t>
        </is>
      </c>
      <c r="B15" s="1436" t="inlineStr">
        <is>
          <t>HALL DE STOCKAGE Matières prem</t>
        </is>
      </c>
      <c r="C15" s="1187" t="n">
        <v>0</v>
      </c>
      <c r="D15" s="1187" t="n">
        <v>0</v>
      </c>
      <c r="E15" s="1187" t="n">
        <v>1437878625</v>
      </c>
      <c r="F15" s="1187" t="n">
        <v>0</v>
      </c>
      <c r="G15" s="1187" t="n">
        <v>1437878625</v>
      </c>
      <c r="H15" s="1187" t="n">
        <v>0</v>
      </c>
    </row>
    <row r="16" ht="14.45" customHeight="1" s="1225">
      <c r="A16" s="1436" t="inlineStr">
        <is>
          <t>231103</t>
        </is>
      </c>
      <c r="B16" s="1436" t="inlineStr">
        <is>
          <t>PONT BASCULE -Sorties IA5.1</t>
        </is>
      </c>
      <c r="C16" s="1187" t="n">
        <v>0</v>
      </c>
      <c r="D16" s="1187" t="n">
        <v>0</v>
      </c>
      <c r="E16" s="1187" t="n">
        <v>16501045</v>
      </c>
      <c r="F16" s="1187" t="n">
        <v>0</v>
      </c>
      <c r="G16" s="1187" t="n">
        <v>16501045</v>
      </c>
      <c r="H16" s="1187" t="n">
        <v>0</v>
      </c>
    </row>
    <row r="17" ht="14.45" customHeight="1" s="1225">
      <c r="A17" s="1436" t="inlineStr">
        <is>
          <t>231106</t>
        </is>
      </c>
      <c r="B17" s="1436" t="inlineStr">
        <is>
          <t>ZONE TRANSFORMATEUR IA7.1</t>
        </is>
      </c>
      <c r="C17" s="1187" t="n">
        <v>0</v>
      </c>
      <c r="D17" s="1187" t="n">
        <v>0</v>
      </c>
      <c r="E17" s="1187" t="n">
        <v>333928425</v>
      </c>
      <c r="F17" s="1187" t="n">
        <v>0</v>
      </c>
      <c r="G17" s="1187" t="n">
        <v>333928425</v>
      </c>
      <c r="H17" s="1187" t="n">
        <v>0</v>
      </c>
    </row>
    <row r="18" ht="14.45" customHeight="1" s="1225">
      <c r="A18" s="1436" t="inlineStr">
        <is>
          <t>231108</t>
        </is>
      </c>
      <c r="B18" s="1436" t="inlineStr">
        <is>
          <t>HANGAR ATELIER ET MAGASIN</t>
        </is>
      </c>
      <c r="C18" s="1187" t="n">
        <v>0</v>
      </c>
      <c r="D18" s="1187" t="n">
        <v>0</v>
      </c>
      <c r="E18" s="1187" t="n">
        <v>159646906</v>
      </c>
      <c r="F18" s="1187" t="n">
        <v>0</v>
      </c>
      <c r="G18" s="1187" t="n">
        <v>159646906</v>
      </c>
      <c r="H18" s="1187" t="n">
        <v>0</v>
      </c>
    </row>
    <row r="19" ht="14.45" customHeight="1" s="1225">
      <c r="A19" s="1436" t="inlineStr">
        <is>
          <t>231109</t>
        </is>
      </c>
      <c r="B19" s="1436" t="inlineStr">
        <is>
          <t>USINE-CHARPENTE ACIER -INSTALL</t>
        </is>
      </c>
      <c r="C19" s="1187" t="n">
        <v>0</v>
      </c>
      <c r="D19" s="1187" t="n">
        <v>0</v>
      </c>
      <c r="E19" s="1187" t="n">
        <v>998913888</v>
      </c>
      <c r="F19" s="1187" t="n">
        <v>0</v>
      </c>
      <c r="G19" s="1187" t="n">
        <v>998913888</v>
      </c>
      <c r="H19" s="1187" t="n">
        <v>0</v>
      </c>
    </row>
    <row r="20" ht="14.45" customHeight="1" s="1225">
      <c r="A20" s="1436" t="inlineStr">
        <is>
          <t>231301</t>
        </is>
      </c>
      <c r="B20" s="1436" t="inlineStr">
        <is>
          <t>BATIMENT ADMINISTRATIF</t>
        </is>
      </c>
      <c r="C20" s="1187" t="n">
        <v>0</v>
      </c>
      <c r="D20" s="1187" t="n">
        <v>0</v>
      </c>
      <c r="E20" s="1187" t="n">
        <v>244245977</v>
      </c>
      <c r="F20" s="1187" t="n">
        <v>0</v>
      </c>
      <c r="G20" s="1187" t="n">
        <v>244245977</v>
      </c>
      <c r="H20" s="1187" t="n">
        <v>0</v>
      </c>
    </row>
    <row r="21" ht="14.45" customHeight="1" s="1225">
      <c r="A21" s="1436" t="inlineStr">
        <is>
          <t>231302</t>
        </is>
      </c>
      <c r="B21" s="1436" t="inlineStr">
        <is>
          <t>BATIMENT LABORATOIRE</t>
        </is>
      </c>
      <c r="C21" s="1187" t="n">
        <v>0</v>
      </c>
      <c r="D21" s="1187" t="n">
        <v>0</v>
      </c>
      <c r="E21" s="1187" t="n">
        <v>48657553</v>
      </c>
      <c r="F21" s="1187" t="n">
        <v>0</v>
      </c>
      <c r="G21" s="1187" t="n">
        <v>48657553</v>
      </c>
      <c r="H21" s="1187" t="n">
        <v>0</v>
      </c>
    </row>
    <row r="22" ht="14.45" customHeight="1" s="1225">
      <c r="A22" s="1436" t="inlineStr">
        <is>
          <t>233800</t>
        </is>
      </c>
      <c r="B22" s="1436" t="inlineStr">
        <is>
          <t>AUTRES OUVRAGES CHATEAU D'EAU</t>
        </is>
      </c>
      <c r="C22" s="1187" t="n">
        <v>0</v>
      </c>
      <c r="D22" s="1187" t="n">
        <v>0</v>
      </c>
      <c r="E22" s="1187" t="n">
        <v>43875500</v>
      </c>
      <c r="F22" s="1187" t="n">
        <v>0</v>
      </c>
      <c r="G22" s="1187" t="n">
        <v>43875500</v>
      </c>
      <c r="H22" s="1187" t="n">
        <v>0</v>
      </c>
    </row>
    <row r="23" ht="14.45" customHeight="1" s="1225">
      <c r="A23" s="1436" t="inlineStr">
        <is>
          <t>233801</t>
        </is>
      </c>
      <c r="B23" s="1436" t="inlineStr">
        <is>
          <t>Pompe Hybride</t>
        </is>
      </c>
      <c r="C23" s="1187" t="n">
        <v>603000</v>
      </c>
      <c r="D23" s="1187" t="n">
        <v>0</v>
      </c>
      <c r="E23" s="1187" t="n">
        <v>0</v>
      </c>
      <c r="F23" s="1187" t="n">
        <v>603000</v>
      </c>
      <c r="G23" s="1187" t="n">
        <v>0</v>
      </c>
      <c r="H23" s="1187" t="n">
        <v>0</v>
      </c>
    </row>
    <row r="24" ht="14.45" customHeight="1" s="1225">
      <c r="A24" s="1436" t="inlineStr">
        <is>
          <t>234000</t>
        </is>
      </c>
      <c r="B24" s="1436" t="inlineStr">
        <is>
          <t>INSTALLATIONS, AGENCEMENTS ET</t>
        </is>
      </c>
      <c r="C24" s="1187" t="n">
        <v>850000</v>
      </c>
      <c r="D24" s="1187" t="n">
        <v>0</v>
      </c>
      <c r="E24" s="1187" t="n">
        <v>266848569</v>
      </c>
      <c r="F24" s="1187" t="n">
        <v>0</v>
      </c>
      <c r="G24" s="1187" t="n">
        <v>267698569</v>
      </c>
      <c r="H24" s="1187" t="n">
        <v>0</v>
      </c>
    </row>
    <row r="25" ht="14.45" customHeight="1" s="1225">
      <c r="A25" s="1436" t="inlineStr">
        <is>
          <t>234102</t>
        </is>
      </c>
      <c r="B25" s="1436" t="inlineStr">
        <is>
          <t>VANNES-TREMIS-CONVOYEURS IA1.0</t>
        </is>
      </c>
      <c r="C25" s="1187" t="n">
        <v>0</v>
      </c>
      <c r="D25" s="1187" t="n">
        <v>0</v>
      </c>
      <c r="E25" s="1187" t="n">
        <v>419812480</v>
      </c>
      <c r="F25" s="1187" t="n">
        <v>0</v>
      </c>
      <c r="G25" s="1187" t="n">
        <v>419812480</v>
      </c>
      <c r="H25" s="1187" t="n">
        <v>0</v>
      </c>
    </row>
    <row r="26" ht="14.45" customHeight="1" s="1225">
      <c r="A26" s="1436" t="inlineStr">
        <is>
          <t>234105</t>
        </is>
      </c>
      <c r="B26" s="1436" t="inlineStr">
        <is>
          <t>ZONE BROYEUR IA2.0</t>
        </is>
      </c>
      <c r="C26" s="1187" t="n">
        <v>0</v>
      </c>
      <c r="D26" s="1187" t="n">
        <v>0</v>
      </c>
      <c r="E26" s="1187" t="n">
        <v>3750200533</v>
      </c>
      <c r="F26" s="1187" t="n">
        <v>0</v>
      </c>
      <c r="G26" s="1187" t="n">
        <v>3750200533</v>
      </c>
      <c r="H26" s="1187" t="n">
        <v>0</v>
      </c>
    </row>
    <row r="27" ht="14.45" customHeight="1" s="1225">
      <c r="A27" s="1436" t="inlineStr">
        <is>
          <t>234107</t>
        </is>
      </c>
      <c r="B27" s="1436" t="inlineStr">
        <is>
          <t>ZONE DU FILTRE IA 3.0</t>
        </is>
      </c>
      <c r="C27" s="1187" t="n">
        <v>0</v>
      </c>
      <c r="D27" s="1187" t="n">
        <v>0</v>
      </c>
      <c r="E27" s="1187" t="n">
        <v>361303936</v>
      </c>
      <c r="F27" s="1187" t="n">
        <v>0</v>
      </c>
      <c r="G27" s="1187" t="n">
        <v>361303936</v>
      </c>
      <c r="H27" s="1187" t="n">
        <v>0</v>
      </c>
    </row>
    <row r="28" ht="14.45" customHeight="1" s="1225">
      <c r="A28" s="1436" t="inlineStr">
        <is>
          <t>234108</t>
        </is>
      </c>
      <c r="B28" s="1436" t="inlineStr">
        <is>
          <t>ZONE VENTILLATEUR -FROID IA3.1</t>
        </is>
      </c>
      <c r="C28" s="1187" t="n">
        <v>0</v>
      </c>
      <c r="D28" s="1187" t="n">
        <v>0</v>
      </c>
      <c r="E28" s="1187" t="n">
        <v>334246609</v>
      </c>
      <c r="F28" s="1187" t="n">
        <v>0</v>
      </c>
      <c r="G28" s="1187" t="n">
        <v>334246609</v>
      </c>
      <c r="H28" s="1187" t="n">
        <v>0</v>
      </c>
    </row>
    <row r="29" ht="14.45" customHeight="1" s="1225">
      <c r="A29" s="1436" t="inlineStr">
        <is>
          <t>234112</t>
        </is>
      </c>
      <c r="B29" s="1436" t="inlineStr">
        <is>
          <t>SILOS DE STOCKAGE IA5.0</t>
        </is>
      </c>
      <c r="C29" s="1187" t="n">
        <v>0</v>
      </c>
      <c r="D29" s="1187" t="n">
        <v>0</v>
      </c>
      <c r="E29" s="1187" t="n">
        <v>426851125</v>
      </c>
      <c r="F29" s="1187" t="n">
        <v>0</v>
      </c>
      <c r="G29" s="1187" t="n">
        <v>426851125</v>
      </c>
      <c r="H29" s="1187" t="n">
        <v>0</v>
      </c>
    </row>
    <row r="30" ht="14.45" customHeight="1" s="1225">
      <c r="A30" s="1436" t="inlineStr">
        <is>
          <t>235800</t>
        </is>
      </c>
      <c r="B30" s="1436" t="inlineStr">
        <is>
          <t>AUTRES AMÉNAGEMENTS DE BUREAUX</t>
        </is>
      </c>
      <c r="C30" s="1187" t="n">
        <v>8764000</v>
      </c>
      <c r="D30" s="1187" t="n">
        <v>0</v>
      </c>
      <c r="E30" s="1187" t="n">
        <v>0</v>
      </c>
      <c r="F30" s="1187" t="n">
        <v>0</v>
      </c>
      <c r="G30" s="1187" t="n">
        <v>8764000</v>
      </c>
      <c r="H30" s="1187" t="n">
        <v>0</v>
      </c>
    </row>
    <row r="31" ht="14.45" customHeight="1" s="1225">
      <c r="A31" s="1436" t="inlineStr">
        <is>
          <t>239100</t>
        </is>
      </c>
      <c r="B31" s="1436" t="inlineStr">
        <is>
          <t>BÂTIMENTS EN COURS</t>
        </is>
      </c>
      <c r="C31" s="1187" t="n">
        <v>439513020</v>
      </c>
      <c r="D31" s="1187" t="n">
        <v>0</v>
      </c>
      <c r="E31" s="1187" t="n">
        <v>30112199</v>
      </c>
      <c r="F31" s="1187" t="n">
        <v>149592500</v>
      </c>
      <c r="G31" s="1187" t="n">
        <v>320032719</v>
      </c>
      <c r="H31" s="1187" t="n">
        <v>0</v>
      </c>
    </row>
    <row r="32" ht="14.45" customHeight="1" s="1225">
      <c r="A32" s="1436" t="inlineStr">
        <is>
          <t>239101</t>
        </is>
      </c>
      <c r="B32" s="1436" t="inlineStr">
        <is>
          <t>POSTE DE TRANSFORMATION SONABE</t>
        </is>
      </c>
      <c r="C32" s="1187" t="n">
        <v>15003585</v>
      </c>
      <c r="D32" s="1187" t="n">
        <v>0</v>
      </c>
      <c r="E32" s="1187" t="n">
        <v>2761000</v>
      </c>
      <c r="F32" s="1187" t="n">
        <v>0</v>
      </c>
      <c r="G32" s="1187" t="n">
        <v>17764585</v>
      </c>
      <c r="H32" s="1187" t="n">
        <v>0</v>
      </c>
    </row>
    <row r="33" ht="14.45" customHeight="1" s="1225">
      <c r="A33" s="1436" t="inlineStr">
        <is>
          <t>239102</t>
        </is>
      </c>
      <c r="B33" s="1436" t="inlineStr">
        <is>
          <t>LABORATOIRE</t>
        </is>
      </c>
      <c r="C33" s="1187" t="n">
        <v>25536358</v>
      </c>
      <c r="D33" s="1187" t="n">
        <v>0</v>
      </c>
      <c r="E33" s="1187" t="n">
        <v>17416318</v>
      </c>
      <c r="F33" s="1187" t="n">
        <v>42952676</v>
      </c>
      <c r="G33" s="1187" t="n">
        <v>0</v>
      </c>
      <c r="H33" s="1187" t="n">
        <v>0</v>
      </c>
    </row>
    <row r="34" ht="14.45" customHeight="1" s="1225">
      <c r="A34" s="1436" t="inlineStr">
        <is>
          <t>239103</t>
        </is>
      </c>
      <c r="B34" s="1436" t="inlineStr">
        <is>
          <t>LOCAL LOESCHE</t>
        </is>
      </c>
      <c r="C34" s="1187" t="n">
        <v>2064250</v>
      </c>
      <c r="D34" s="1187" t="n">
        <v>0</v>
      </c>
      <c r="E34" s="1187" t="n">
        <v>0</v>
      </c>
      <c r="F34" s="1187" t="n">
        <v>0</v>
      </c>
      <c r="G34" s="1187" t="n">
        <v>2064250</v>
      </c>
      <c r="H34" s="1187" t="n">
        <v>0</v>
      </c>
    </row>
    <row r="35" ht="14.45" customHeight="1" s="1225">
      <c r="A35" s="1436" t="inlineStr">
        <is>
          <t>239104</t>
        </is>
      </c>
      <c r="B35" s="1436" t="inlineStr">
        <is>
          <t>BATIMENT ADMINISTRATIF</t>
        </is>
      </c>
      <c r="C35" s="1187" t="n">
        <v>18388000</v>
      </c>
      <c r="D35" s="1187" t="n">
        <v>0</v>
      </c>
      <c r="E35" s="1187" t="n">
        <v>44228077</v>
      </c>
      <c r="F35" s="1187" t="n">
        <v>62616077</v>
      </c>
      <c r="G35" s="1187" t="n">
        <v>0</v>
      </c>
      <c r="H35" s="1187" t="n">
        <v>0</v>
      </c>
    </row>
    <row r="36" ht="14.45" customHeight="1" s="1225">
      <c r="A36" s="1436" t="inlineStr">
        <is>
          <t>239105</t>
        </is>
      </c>
      <c r="B36" s="1436" t="inlineStr">
        <is>
          <t>ALIMENTATION HTA USINE</t>
        </is>
      </c>
      <c r="C36" s="1187" t="n">
        <v>301841686</v>
      </c>
      <c r="D36" s="1187" t="n">
        <v>0</v>
      </c>
      <c r="E36" s="1187" t="n">
        <v>0</v>
      </c>
      <c r="F36" s="1187" t="n">
        <v>301841686</v>
      </c>
      <c r="G36" s="1187" t="n">
        <v>0</v>
      </c>
      <c r="H36" s="1187" t="n">
        <v>0</v>
      </c>
    </row>
    <row r="37" ht="14.45" customHeight="1" s="1225">
      <c r="A37" s="1436" t="inlineStr">
        <is>
          <t>239200</t>
        </is>
      </c>
      <c r="B37" s="1436" t="inlineStr">
        <is>
          <t>INSTALLATIONS EN COURS</t>
        </is>
      </c>
      <c r="C37" s="1187" t="n">
        <v>458585709</v>
      </c>
      <c r="D37" s="1187" t="n">
        <v>0</v>
      </c>
      <c r="E37" s="1187" t="n">
        <v>1155510909</v>
      </c>
      <c r="F37" s="1187" t="n">
        <v>382109002</v>
      </c>
      <c r="G37" s="1187" t="n">
        <v>1231987616</v>
      </c>
      <c r="H37" s="1187" t="n">
        <v>0</v>
      </c>
    </row>
    <row r="38" ht="14.45" customHeight="1" s="1225">
      <c r="A38" s="1436" t="inlineStr">
        <is>
          <t>239201</t>
        </is>
      </c>
      <c r="B38" s="1436" t="inlineStr">
        <is>
          <t>SYSTEME D'ALIMENTATION USINE</t>
        </is>
      </c>
      <c r="C38" s="1187" t="n">
        <v>298617865</v>
      </c>
      <c r="D38" s="1187" t="n">
        <v>0</v>
      </c>
      <c r="E38" s="1187" t="n">
        <v>0</v>
      </c>
      <c r="F38" s="1187" t="n">
        <v>0</v>
      </c>
      <c r="G38" s="1187" t="n">
        <v>298617865</v>
      </c>
      <c r="H38" s="1187" t="n">
        <v>0</v>
      </c>
    </row>
    <row r="39" ht="14.45" customHeight="1" s="1225">
      <c r="A39" s="1436" t="inlineStr">
        <is>
          <t>239202</t>
        </is>
      </c>
      <c r="B39" s="1436" t="inlineStr">
        <is>
          <t>BROYEUR</t>
        </is>
      </c>
      <c r="C39" s="1187" t="n">
        <v>2274491680</v>
      </c>
      <c r="D39" s="1187" t="n">
        <v>0</v>
      </c>
      <c r="E39" s="1187" t="n">
        <v>0</v>
      </c>
      <c r="F39" s="1187" t="n">
        <v>1463896613</v>
      </c>
      <c r="G39" s="1187" t="n">
        <v>810595067</v>
      </c>
      <c r="H39" s="1187" t="n">
        <v>0</v>
      </c>
    </row>
    <row r="40" ht="14.45" customHeight="1" s="1225">
      <c r="A40" s="1436" t="inlineStr">
        <is>
          <t>239204</t>
        </is>
      </c>
      <c r="B40" s="1436" t="inlineStr">
        <is>
          <t>FILTRE DEPOUSSIERAGE</t>
        </is>
      </c>
      <c r="C40" s="1187" t="n">
        <v>384593493</v>
      </c>
      <c r="D40" s="1187" t="n">
        <v>0</v>
      </c>
      <c r="E40" s="1187" t="n">
        <v>0</v>
      </c>
      <c r="F40" s="1187" t="n">
        <v>292759513</v>
      </c>
      <c r="G40" s="1187" t="n">
        <v>91833980</v>
      </c>
      <c r="H40" s="1187" t="n">
        <v>0</v>
      </c>
    </row>
    <row r="41" ht="14.45" customHeight="1" s="1225">
      <c r="A41" s="1436" t="inlineStr">
        <is>
          <t>239206</t>
        </is>
      </c>
      <c r="B41" s="1436" t="inlineStr">
        <is>
          <t>SYSTEME DE STOCKAGE DE PRODUIT</t>
        </is>
      </c>
      <c r="C41" s="1187" t="n">
        <v>1228301315</v>
      </c>
      <c r="D41" s="1187" t="n">
        <v>0</v>
      </c>
      <c r="E41" s="1187" t="n">
        <v>-804094579</v>
      </c>
      <c r="F41" s="1187" t="n">
        <v>227419636</v>
      </c>
      <c r="G41" s="1187" t="n">
        <v>196787100</v>
      </c>
      <c r="H41" s="1187" t="n">
        <v>0</v>
      </c>
    </row>
    <row r="42" ht="14.45" customHeight="1" s="1225">
      <c r="A42" s="1436" t="inlineStr">
        <is>
          <t>239208</t>
        </is>
      </c>
      <c r="B42" s="1436" t="inlineStr">
        <is>
          <t>EQUIPEMENT ADDITIONNEL</t>
        </is>
      </c>
      <c r="C42" s="1187" t="n">
        <v>332104470</v>
      </c>
      <c r="D42" s="1187" t="n">
        <v>0</v>
      </c>
      <c r="E42" s="1187" t="n">
        <v>0</v>
      </c>
      <c r="F42" s="1187" t="n">
        <v>332104470</v>
      </c>
      <c r="G42" s="1187" t="n">
        <v>0</v>
      </c>
      <c r="H42" s="1187" t="n">
        <v>0</v>
      </c>
    </row>
    <row r="43" ht="14.45" customHeight="1" s="1225">
      <c r="A43" s="1436" t="inlineStr">
        <is>
          <t>239209</t>
        </is>
      </c>
      <c r="B43" s="1436" t="inlineStr">
        <is>
          <t>EQUIPEMENT ELECTRIQUE ET AUTOM</t>
        </is>
      </c>
      <c r="C43" s="1187" t="n">
        <v>2463054035</v>
      </c>
      <c r="D43" s="1187" t="n">
        <v>0</v>
      </c>
      <c r="E43" s="1187" t="n">
        <v>23904915</v>
      </c>
      <c r="F43" s="1187" t="n">
        <v>1367533534</v>
      </c>
      <c r="G43" s="1187" t="n">
        <v>1119425416</v>
      </c>
      <c r="H43" s="1187" t="n">
        <v>0</v>
      </c>
    </row>
    <row r="44" ht="14.45" customHeight="1" s="1225">
      <c r="A44" s="1436" t="inlineStr">
        <is>
          <t>239210</t>
        </is>
      </c>
      <c r="B44" s="1436" t="inlineStr">
        <is>
          <t>STRUCTURE EN ACIER</t>
        </is>
      </c>
      <c r="C44" s="1187" t="n">
        <v>2292932645</v>
      </c>
      <c r="D44" s="1187" t="n">
        <v>0</v>
      </c>
      <c r="E44" s="1187" t="n">
        <v>2493548</v>
      </c>
      <c r="F44" s="1187" t="n">
        <v>1301845716</v>
      </c>
      <c r="G44" s="1187" t="n">
        <v>993580477.0000001</v>
      </c>
      <c r="H44" s="1187" t="n">
        <v>0</v>
      </c>
    </row>
    <row r="45" ht="14.45" customHeight="1" s="1225">
      <c r="A45" s="1436" t="inlineStr">
        <is>
          <t>239211</t>
        </is>
      </c>
      <c r="B45" s="1436" t="inlineStr">
        <is>
          <t>STRUCTURE EN BETON ET TRAVAUX</t>
        </is>
      </c>
      <c r="C45" s="1187" t="n">
        <v>400133770</v>
      </c>
      <c r="D45" s="1187" t="n">
        <v>0</v>
      </c>
      <c r="E45" s="1187" t="n">
        <v>0</v>
      </c>
      <c r="F45" s="1187" t="n">
        <v>229584950</v>
      </c>
      <c r="G45" s="1187" t="n">
        <v>170548820</v>
      </c>
      <c r="H45" s="1187" t="n">
        <v>0</v>
      </c>
    </row>
    <row r="46" ht="14.45" customHeight="1" s="1225">
      <c r="A46" s="1436" t="inlineStr">
        <is>
          <t>239212</t>
        </is>
      </c>
      <c r="B46" s="1436" t="inlineStr">
        <is>
          <t>SERVICE D'INGENIERIE</t>
        </is>
      </c>
      <c r="C46" s="1187" t="n">
        <v>2246652725</v>
      </c>
      <c r="D46" s="1187" t="n">
        <v>0</v>
      </c>
      <c r="E46" s="1187" t="n">
        <v>655957000</v>
      </c>
      <c r="F46" s="1187" t="n">
        <v>0</v>
      </c>
      <c r="G46" s="1187" t="n">
        <v>2902609725</v>
      </c>
      <c r="H46" s="1187" t="n">
        <v>0</v>
      </c>
    </row>
    <row r="47" ht="14.45" customHeight="1" s="1225">
      <c r="A47" s="1436" t="inlineStr">
        <is>
          <t>239216</t>
        </is>
      </c>
      <c r="B47" s="1436" t="inlineStr">
        <is>
          <t>SILO 3</t>
        </is>
      </c>
      <c r="C47" s="1187" t="n">
        <v>0</v>
      </c>
      <c r="D47" s="1187" t="n">
        <v>0</v>
      </c>
      <c r="E47" s="1187" t="n">
        <v>32276000</v>
      </c>
      <c r="F47" s="1187" t="n">
        <v>32276000</v>
      </c>
      <c r="G47" s="1187" t="n">
        <v>0</v>
      </c>
      <c r="H47" s="1187" t="n">
        <v>0</v>
      </c>
    </row>
    <row r="48" ht="14.45" customHeight="1" s="1225">
      <c r="A48" s="1436" t="inlineStr">
        <is>
          <t>239217</t>
        </is>
      </c>
      <c r="B48" s="1436" t="inlineStr">
        <is>
          <t>EQUIPEMENT MECANIQUE</t>
        </is>
      </c>
      <c r="C48" s="1187" t="n">
        <v>0</v>
      </c>
      <c r="D48" s="1187" t="n">
        <v>0</v>
      </c>
      <c r="E48" s="1187" t="n">
        <v>679205393</v>
      </c>
      <c r="F48" s="1187" t="n">
        <v>0</v>
      </c>
      <c r="G48" s="1187" t="n">
        <v>679205393</v>
      </c>
      <c r="H48" s="1187" t="n">
        <v>0</v>
      </c>
    </row>
    <row r="49" ht="14.45" customHeight="1" s="1225">
      <c r="A49" s="1436" t="inlineStr">
        <is>
          <t>239218</t>
        </is>
      </c>
      <c r="B49" s="1436" t="inlineStr">
        <is>
          <t>MISE SOUS TERRE TRÉMI VOYAGEUR</t>
        </is>
      </c>
      <c r="C49" s="1187" t="n">
        <v>25630000</v>
      </c>
      <c r="D49" s="1187" t="n">
        <v>0</v>
      </c>
      <c r="E49" s="1187" t="n">
        <v>0</v>
      </c>
      <c r="F49" s="1187" t="n">
        <v>0</v>
      </c>
      <c r="G49" s="1187" t="n">
        <v>25630000</v>
      </c>
      <c r="H49" s="1187" t="n">
        <v>0</v>
      </c>
    </row>
    <row r="50" ht="14.45" customHeight="1" s="1225">
      <c r="A50" s="1436" t="inlineStr">
        <is>
          <t>239219</t>
        </is>
      </c>
      <c r="B50" s="1436" t="inlineStr">
        <is>
          <t>TREMIS HALL CALCAIRE</t>
        </is>
      </c>
      <c r="C50" s="1187" t="n">
        <v>237888982</v>
      </c>
      <c r="D50" s="1187" t="n">
        <v>0</v>
      </c>
      <c r="E50" s="1187" t="n">
        <v>1198250</v>
      </c>
      <c r="F50" s="1187" t="n">
        <v>0</v>
      </c>
      <c r="G50" s="1187" t="n">
        <v>239087232</v>
      </c>
      <c r="H50" s="1187" t="n">
        <v>0</v>
      </c>
    </row>
    <row r="51" ht="14.45" customHeight="1" s="1225">
      <c r="A51" s="1436" t="inlineStr">
        <is>
          <t>239220</t>
        </is>
      </c>
      <c r="B51" s="1436" t="inlineStr">
        <is>
          <t>TUYAUTERIE USINE</t>
        </is>
      </c>
      <c r="C51" s="1187" t="n">
        <v>6300000</v>
      </c>
      <c r="D51" s="1187" t="n">
        <v>0</v>
      </c>
      <c r="E51" s="1187" t="n">
        <v>0</v>
      </c>
      <c r="F51" s="1187" t="n">
        <v>0</v>
      </c>
      <c r="G51" s="1187" t="n">
        <v>6300000</v>
      </c>
      <c r="H51" s="1187" t="n">
        <v>0</v>
      </c>
    </row>
    <row r="52" ht="14.45" customHeight="1" s="1225">
      <c r="A52" s="1436" t="inlineStr">
        <is>
          <t>239221</t>
        </is>
      </c>
      <c r="B52" s="1436" t="inlineStr">
        <is>
          <t>HANGAR PARLYM</t>
        </is>
      </c>
      <c r="C52" s="1187" t="n">
        <v>15649400</v>
      </c>
      <c r="D52" s="1187" t="n">
        <v>0</v>
      </c>
      <c r="E52" s="1187" t="n">
        <v>0</v>
      </c>
      <c r="F52" s="1187" t="n">
        <v>0</v>
      </c>
      <c r="G52" s="1187" t="n">
        <v>15649400</v>
      </c>
      <c r="H52" s="1187" t="n">
        <v>0</v>
      </c>
    </row>
    <row r="53" ht="14.45" customHeight="1" s="1225">
      <c r="A53" s="1436" t="inlineStr">
        <is>
          <t>239300</t>
        </is>
      </c>
      <c r="B53" s="1436" t="inlineStr">
        <is>
          <t>OUVRAGES D'INFRASTRUCTURE EN C</t>
        </is>
      </c>
      <c r="C53" s="1187" t="n">
        <v>5930350</v>
      </c>
      <c r="D53" s="1187" t="n">
        <v>0</v>
      </c>
      <c r="E53" s="1187" t="n">
        <v>0</v>
      </c>
      <c r="F53" s="1187" t="n">
        <v>0</v>
      </c>
      <c r="G53" s="1187" t="n">
        <v>5930350</v>
      </c>
      <c r="H53" s="1187" t="n">
        <v>0</v>
      </c>
    </row>
    <row r="54" ht="14.45" customHeight="1" s="1225">
      <c r="A54" s="1436" t="inlineStr">
        <is>
          <t>239301</t>
        </is>
      </c>
      <c r="B54" s="1436" t="inlineStr">
        <is>
          <t>DOUANE, MISE EN PLACE CIMENTER</t>
        </is>
      </c>
      <c r="C54" s="1187" t="n">
        <v>368229547</v>
      </c>
      <c r="D54" s="1187" t="n">
        <v>0</v>
      </c>
      <c r="E54" s="1187" t="n">
        <v>0</v>
      </c>
      <c r="F54" s="1187" t="n">
        <v>126972685</v>
      </c>
      <c r="G54" s="1187" t="n">
        <v>241256862</v>
      </c>
      <c r="H54" s="1187" t="n">
        <v>0</v>
      </c>
    </row>
    <row r="55" ht="14.45" customHeight="1" s="1225">
      <c r="A55" s="1436" t="inlineStr">
        <is>
          <t>239302</t>
        </is>
      </c>
      <c r="B55" s="1436" t="inlineStr">
        <is>
          <t>TRANSPORT MATERIELS USINE</t>
        </is>
      </c>
      <c r="C55" s="1187" t="n">
        <v>882060366</v>
      </c>
      <c r="D55" s="1187" t="n">
        <v>0</v>
      </c>
      <c r="E55" s="1187" t="n">
        <v>231864246</v>
      </c>
      <c r="F55" s="1187" t="n">
        <v>286073667</v>
      </c>
      <c r="G55" s="1187" t="n">
        <v>827850945</v>
      </c>
      <c r="H55" s="1187" t="n">
        <v>0</v>
      </c>
    </row>
    <row r="56" ht="14.45" customHeight="1" s="1225">
      <c r="A56" s="1436" t="inlineStr">
        <is>
          <t>239303</t>
        </is>
      </c>
      <c r="B56" s="1436" t="inlineStr">
        <is>
          <t>EXPERTISE, EQUIPEMENTS CIMENTE</t>
        </is>
      </c>
      <c r="C56" s="1187" t="n">
        <v>106541923</v>
      </c>
      <c r="D56" s="1187" t="n">
        <v>0</v>
      </c>
      <c r="E56" s="1187" t="n">
        <v>1757750</v>
      </c>
      <c r="F56" s="1187" t="n">
        <v>0</v>
      </c>
      <c r="G56" s="1187" t="n">
        <v>108299673</v>
      </c>
      <c r="H56" s="1187" t="n">
        <v>0</v>
      </c>
    </row>
    <row r="57" ht="14.45" customHeight="1" s="1225">
      <c r="A57" s="1436" t="inlineStr">
        <is>
          <t>239304</t>
        </is>
      </c>
      <c r="B57" s="1436" t="inlineStr">
        <is>
          <t>CHATEAU D'EAU METALLIQUE</t>
        </is>
      </c>
      <c r="C57" s="1187" t="n">
        <v>40000000</v>
      </c>
      <c r="D57" s="1187" t="n">
        <v>0</v>
      </c>
      <c r="E57" s="1187" t="n">
        <v>0</v>
      </c>
      <c r="F57" s="1187" t="n">
        <v>40000000</v>
      </c>
      <c r="G57" s="1187" t="n">
        <v>0</v>
      </c>
      <c r="H57" s="1187" t="n">
        <v>0</v>
      </c>
    </row>
    <row r="58" ht="14.45" customHeight="1" s="1225">
      <c r="A58" s="1436" t="inlineStr">
        <is>
          <t>239305</t>
        </is>
      </c>
      <c r="B58" s="1436" t="inlineStr">
        <is>
          <t>POSTE DE PESEE</t>
        </is>
      </c>
      <c r="C58" s="1187" t="n">
        <v>2974500</v>
      </c>
      <c r="D58" s="1187" t="n">
        <v>0</v>
      </c>
      <c r="E58" s="1187" t="n">
        <v>17312544</v>
      </c>
      <c r="F58" s="1187" t="n">
        <v>20287044</v>
      </c>
      <c r="G58" s="1187" t="n">
        <v>0</v>
      </c>
      <c r="H58" s="1187" t="n">
        <v>0</v>
      </c>
    </row>
    <row r="59" ht="14.45" customHeight="1" s="1225">
      <c r="A59" s="1436" t="inlineStr">
        <is>
          <t>239306</t>
        </is>
      </c>
      <c r="B59" s="1436" t="inlineStr">
        <is>
          <t>POSTE DE PESEE A2B</t>
        </is>
      </c>
      <c r="C59" s="1187" t="n">
        <v>9750000</v>
      </c>
      <c r="D59" s="1187" t="n">
        <v>0</v>
      </c>
      <c r="E59" s="1187" t="n">
        <v>1500000</v>
      </c>
      <c r="F59" s="1187" t="n">
        <v>0</v>
      </c>
      <c r="G59" s="1187" t="n">
        <v>11250000</v>
      </c>
      <c r="H59" s="1187" t="n">
        <v>0</v>
      </c>
    </row>
    <row r="60" ht="14.45" customHeight="1" s="1225">
      <c r="A60" s="1436" t="inlineStr">
        <is>
          <t>239307</t>
        </is>
      </c>
      <c r="B60" s="1436" t="inlineStr">
        <is>
          <t>GUERITE</t>
        </is>
      </c>
      <c r="C60" s="1187" t="n">
        <v>888050</v>
      </c>
      <c r="D60" s="1187" t="n">
        <v>0</v>
      </c>
      <c r="E60" s="1187" t="n">
        <v>1676530</v>
      </c>
      <c r="F60" s="1187" t="n">
        <v>0</v>
      </c>
      <c r="G60" s="1187" t="n">
        <v>2564580</v>
      </c>
      <c r="H60" s="1187" t="n">
        <v>0</v>
      </c>
    </row>
    <row r="61" ht="14.45" customHeight="1" s="1225">
      <c r="A61" s="1436" t="inlineStr">
        <is>
          <t>239308</t>
        </is>
      </c>
      <c r="B61" s="1436" t="inlineStr">
        <is>
          <t>RESEAU INCENDIE</t>
        </is>
      </c>
      <c r="C61" s="1187" t="n">
        <v>4100000</v>
      </c>
      <c r="D61" s="1187" t="n">
        <v>0</v>
      </c>
      <c r="E61" s="1187" t="n">
        <v>0</v>
      </c>
      <c r="F61" s="1187" t="n">
        <v>0</v>
      </c>
      <c r="G61" s="1187" t="n">
        <v>4100000</v>
      </c>
      <c r="H61" s="1187" t="n">
        <v>0</v>
      </c>
    </row>
    <row r="62" ht="14.45" customHeight="1" s="1225">
      <c r="A62" s="1436" t="inlineStr">
        <is>
          <t>239309</t>
        </is>
      </c>
      <c r="B62" s="1436" t="inlineStr">
        <is>
          <t>GUERITE B</t>
        </is>
      </c>
      <c r="C62" s="1187" t="n">
        <v>260000</v>
      </c>
      <c r="D62" s="1187" t="n">
        <v>0</v>
      </c>
      <c r="E62" s="1187" t="n">
        <v>0</v>
      </c>
      <c r="F62" s="1187" t="n">
        <v>0</v>
      </c>
      <c r="G62" s="1187" t="n">
        <v>260000</v>
      </c>
      <c r="H62" s="1187" t="n">
        <v>0</v>
      </c>
    </row>
    <row r="63" ht="14.45" customHeight="1" s="1225">
      <c r="A63" s="1436" t="inlineStr">
        <is>
          <t>239310</t>
        </is>
      </c>
      <c r="B63" s="1436" t="inlineStr">
        <is>
          <t>AUTRES IMMOBILISATION EN COURS</t>
        </is>
      </c>
      <c r="C63" s="1187" t="n">
        <v>872947901</v>
      </c>
      <c r="D63" s="1187" t="n">
        <v>0</v>
      </c>
      <c r="E63" s="1187" t="n">
        <v>792356135</v>
      </c>
      <c r="F63" s="1187" t="n">
        <v>258580862</v>
      </c>
      <c r="G63" s="1187" t="n">
        <v>1406723174</v>
      </c>
      <c r="H63" s="1187" t="n">
        <v>0</v>
      </c>
    </row>
    <row r="64" ht="14.45" customHeight="1" s="1225">
      <c r="A64" s="1436" t="inlineStr">
        <is>
          <t>239311</t>
        </is>
      </c>
      <c r="B64" s="1436" t="inlineStr">
        <is>
          <t>HALL DE STOCKAGE/RIGA</t>
        </is>
      </c>
      <c r="C64" s="1187" t="n">
        <v>0</v>
      </c>
      <c r="D64" s="1187" t="n">
        <v>0</v>
      </c>
      <c r="E64" s="1187" t="n">
        <v>1699257320</v>
      </c>
      <c r="F64" s="1187" t="n">
        <v>1410891825</v>
      </c>
      <c r="G64" s="1187" t="n">
        <v>288365495</v>
      </c>
      <c r="H64" s="1187" t="n">
        <v>0</v>
      </c>
    </row>
    <row r="65" ht="14.45" customHeight="1" s="1225">
      <c r="A65" s="1436" t="inlineStr">
        <is>
          <t>239400</t>
        </is>
      </c>
      <c r="B65" s="1436" t="inlineStr">
        <is>
          <t>AMÉNAGEMENTS ET AGENCEMENTS ET</t>
        </is>
      </c>
      <c r="C65" s="1187" t="n">
        <v>3737034</v>
      </c>
      <c r="D65" s="1187" t="n">
        <v>0</v>
      </c>
      <c r="E65" s="1187" t="n">
        <v>38403760</v>
      </c>
      <c r="F65" s="1187" t="n">
        <v>0</v>
      </c>
      <c r="G65" s="1187" t="n">
        <v>42140794</v>
      </c>
      <c r="H65" s="1187" t="n">
        <v>0</v>
      </c>
    </row>
    <row r="66" ht="14.45" customHeight="1" s="1225">
      <c r="A66" s="1436" t="inlineStr">
        <is>
          <t>239800</t>
        </is>
      </c>
      <c r="B66" s="1436" t="inlineStr">
        <is>
          <t>AUTRES INSTALLATIONS ET AGENCE</t>
        </is>
      </c>
      <c r="C66" s="1187" t="n">
        <v>0</v>
      </c>
      <c r="D66" s="1187" t="n">
        <v>0</v>
      </c>
      <c r="E66" s="1187" t="n">
        <v>5576977</v>
      </c>
      <c r="F66" s="1187" t="n">
        <v>0</v>
      </c>
      <c r="G66" s="1187" t="n">
        <v>5576977</v>
      </c>
      <c r="H66" s="1187" t="n">
        <v>0</v>
      </c>
    </row>
    <row r="67" ht="14.45" customHeight="1" s="1225">
      <c r="A67" s="1436" t="inlineStr">
        <is>
          <t>241000</t>
        </is>
      </c>
      <c r="B67" s="1436" t="inlineStr">
        <is>
          <t>MATÉRIEL ET OUTILLAGE INDUSTRI</t>
        </is>
      </c>
      <c r="C67" s="1187" t="n">
        <v>0</v>
      </c>
      <c r="D67" s="1187" t="n">
        <v>0</v>
      </c>
      <c r="E67" s="1187" t="n">
        <v>114369524</v>
      </c>
      <c r="F67" s="1187" t="n">
        <v>0</v>
      </c>
      <c r="G67" s="1187" t="n">
        <v>114369524</v>
      </c>
      <c r="H67" s="1187" t="n">
        <v>0</v>
      </c>
    </row>
    <row r="68" ht="14.45" customHeight="1" s="1225">
      <c r="A68" s="1436" t="inlineStr">
        <is>
          <t>241101</t>
        </is>
      </c>
      <c r="B68" s="1436" t="inlineStr">
        <is>
          <t>TRANSPALETTE</t>
        </is>
      </c>
      <c r="C68" s="1187" t="n">
        <v>514321</v>
      </c>
      <c r="D68" s="1187" t="n">
        <v>0</v>
      </c>
      <c r="E68" s="1187" t="n">
        <v>0</v>
      </c>
      <c r="F68" s="1187" t="n">
        <v>0</v>
      </c>
      <c r="G68" s="1187" t="n">
        <v>514321</v>
      </c>
      <c r="H68" s="1187" t="n">
        <v>0</v>
      </c>
    </row>
    <row r="69" ht="14.45" customHeight="1" s="1225">
      <c r="A69" s="1436" t="inlineStr">
        <is>
          <t>241102</t>
        </is>
      </c>
      <c r="B69" s="1436" t="inlineStr">
        <is>
          <t>CONVOYEUR MOBILE</t>
        </is>
      </c>
      <c r="C69" s="1187" t="n">
        <v>30141000</v>
      </c>
      <c r="D69" s="1187" t="n">
        <v>0</v>
      </c>
      <c r="E69" s="1187" t="n">
        <v>0</v>
      </c>
      <c r="F69" s="1187" t="n">
        <v>0</v>
      </c>
      <c r="G69" s="1187" t="n">
        <v>30141000</v>
      </c>
      <c r="H69" s="1187" t="n">
        <v>0</v>
      </c>
    </row>
    <row r="70" ht="14.45" customHeight="1" s="1225">
      <c r="A70" s="1436" t="inlineStr">
        <is>
          <t>241103</t>
        </is>
      </c>
      <c r="B70" s="1436" t="inlineStr">
        <is>
          <t>BACHES 35/35</t>
        </is>
      </c>
      <c r="C70" s="1187" t="n">
        <v>18121580</v>
      </c>
      <c r="D70" s="1187" t="n">
        <v>0</v>
      </c>
      <c r="E70" s="1187" t="n">
        <v>22855000</v>
      </c>
      <c r="F70" s="1187" t="n">
        <v>0</v>
      </c>
      <c r="G70" s="1187" t="n">
        <v>40976580</v>
      </c>
      <c r="H70" s="1187" t="n">
        <v>0</v>
      </c>
    </row>
    <row r="71" ht="14.45" customHeight="1" s="1225">
      <c r="A71" s="1436" t="inlineStr">
        <is>
          <t>241201</t>
        </is>
      </c>
      <c r="B71" s="1436" t="inlineStr">
        <is>
          <t>EQUIPEMENTS DE PRTECTION-EPC</t>
        </is>
      </c>
      <c r="C71" s="1187" t="n">
        <v>0</v>
      </c>
      <c r="D71" s="1187" t="n">
        <v>0</v>
      </c>
      <c r="E71" s="1187" t="n">
        <v>2390000</v>
      </c>
      <c r="F71" s="1187" t="n">
        <v>0</v>
      </c>
      <c r="G71" s="1187" t="n">
        <v>2390000</v>
      </c>
      <c r="H71" s="1187" t="n">
        <v>0</v>
      </c>
    </row>
    <row r="72" ht="14.45" customHeight="1" s="1225">
      <c r="A72" s="1436" t="inlineStr">
        <is>
          <t>241302</t>
        </is>
      </c>
      <c r="B72" s="1436" t="inlineStr">
        <is>
          <t>EQUIPEMENTS DE LABORATOIRE</t>
        </is>
      </c>
      <c r="C72" s="1187" t="n">
        <v>0</v>
      </c>
      <c r="D72" s="1187" t="n">
        <v>0</v>
      </c>
      <c r="E72" s="1187" t="n">
        <v>125144033</v>
      </c>
      <c r="F72" s="1187" t="n">
        <v>0</v>
      </c>
      <c r="G72" s="1187" t="n">
        <v>125144033</v>
      </c>
      <c r="H72" s="1187" t="n">
        <v>0</v>
      </c>
    </row>
    <row r="73" ht="14.45" customHeight="1" s="1225">
      <c r="A73" s="1436" t="inlineStr">
        <is>
          <t>244100</t>
        </is>
      </c>
      <c r="B73" s="1436" t="inlineStr">
        <is>
          <t>MATÉRIEL DE BUREAU</t>
        </is>
      </c>
      <c r="C73" s="1187" t="n">
        <v>200000</v>
      </c>
      <c r="D73" s="1187" t="n">
        <v>0</v>
      </c>
      <c r="E73" s="1187" t="n">
        <v>7310602</v>
      </c>
      <c r="F73" s="1187" t="n">
        <v>0</v>
      </c>
      <c r="G73" s="1187" t="n">
        <v>7510602</v>
      </c>
      <c r="H73" s="1187" t="n">
        <v>0</v>
      </c>
    </row>
    <row r="74" ht="14.45" customHeight="1" s="1225">
      <c r="A74" s="1436" t="inlineStr">
        <is>
          <t>244101</t>
        </is>
      </c>
      <c r="B74" s="1436" t="inlineStr">
        <is>
          <t>CHARIOT +CONVOYEURS MAT  IA0.0</t>
        </is>
      </c>
      <c r="C74" s="1187" t="n">
        <v>0</v>
      </c>
      <c r="D74" s="1187" t="n">
        <v>0</v>
      </c>
      <c r="E74" s="1187" t="n">
        <v>20510890</v>
      </c>
      <c r="F74" s="1187" t="n">
        <v>8304416</v>
      </c>
      <c r="G74" s="1187" t="n">
        <v>12206474</v>
      </c>
      <c r="H74" s="1187" t="n">
        <v>0</v>
      </c>
    </row>
    <row r="75" ht="14.45" customHeight="1" s="1225">
      <c r="A75" s="1436" t="inlineStr">
        <is>
          <t>244200</t>
        </is>
      </c>
      <c r="B75" s="1436" t="inlineStr">
        <is>
          <t>MATÉRIEL INFORMATIQUE</t>
        </is>
      </c>
      <c r="C75" s="1187" t="n">
        <v>9670287.000000002</v>
      </c>
      <c r="D75" s="1187" t="n">
        <v>0</v>
      </c>
      <c r="E75" s="1187" t="n">
        <v>61856457</v>
      </c>
      <c r="F75" s="1187" t="n">
        <v>0</v>
      </c>
      <c r="G75" s="1187" t="n">
        <v>71526744</v>
      </c>
      <c r="H75" s="1187" t="n">
        <v>0</v>
      </c>
    </row>
    <row r="76" ht="14.45" customHeight="1" s="1225">
      <c r="A76" s="1436" t="inlineStr">
        <is>
          <t>244400</t>
        </is>
      </c>
      <c r="B76" s="1436" t="inlineStr">
        <is>
          <t>MOBILIER DE BUREAU</t>
        </is>
      </c>
      <c r="C76" s="1187" t="n">
        <v>4198000</v>
      </c>
      <c r="D76" s="1187" t="n">
        <v>0</v>
      </c>
      <c r="E76" s="1187" t="n">
        <v>19355500</v>
      </c>
      <c r="F76" s="1187" t="n">
        <v>0</v>
      </c>
      <c r="G76" s="1187" t="n">
        <v>23553500</v>
      </c>
      <c r="H76" s="1187" t="n">
        <v>0</v>
      </c>
    </row>
    <row r="77" ht="14.45" customHeight="1" s="1225">
      <c r="A77" s="1436" t="inlineStr">
        <is>
          <t>245000</t>
        </is>
      </c>
      <c r="B77" s="1436" t="inlineStr">
        <is>
          <t>MATÉRIEL DE TRANSPORT</t>
        </is>
      </c>
      <c r="C77" s="1187" t="n">
        <v>0</v>
      </c>
      <c r="D77" s="1187" t="n">
        <v>0</v>
      </c>
      <c r="E77" s="1187" t="n">
        <v>68723691</v>
      </c>
      <c r="F77" s="1187" t="n">
        <v>0</v>
      </c>
      <c r="G77" s="1187" t="n">
        <v>68723691</v>
      </c>
      <c r="H77" s="1187" t="n">
        <v>0</v>
      </c>
    </row>
    <row r="78" ht="14.45" customHeight="1" s="1225">
      <c r="A78" s="1436" t="inlineStr">
        <is>
          <t>245100</t>
        </is>
      </c>
      <c r="B78" s="1436" t="inlineStr">
        <is>
          <t>MATÉRIEL AUTOMOBILE</t>
        </is>
      </c>
      <c r="C78" s="1187" t="n">
        <v>4833800</v>
      </c>
      <c r="D78" s="1187" t="n">
        <v>0</v>
      </c>
      <c r="E78" s="1187" t="n">
        <v>5467613045</v>
      </c>
      <c r="F78" s="1187" t="n">
        <v>0</v>
      </c>
      <c r="G78" s="1187" t="n">
        <v>5472446845</v>
      </c>
      <c r="H78" s="1187" t="n">
        <v>0</v>
      </c>
    </row>
    <row r="79" ht="14.45" customHeight="1" s="1225">
      <c r="A79" s="1436" t="inlineStr">
        <is>
          <t>252000</t>
        </is>
      </c>
      <c r="B79" s="1436" t="inlineStr">
        <is>
          <t>AVANCES ET ACOMPTES VERSÉS SUR</t>
        </is>
      </c>
      <c r="C79" s="1187" t="n">
        <v>324618032</v>
      </c>
      <c r="D79" s="1187" t="n">
        <v>0</v>
      </c>
      <c r="E79" s="1187" t="n">
        <v>0</v>
      </c>
      <c r="F79" s="1187" t="n">
        <v>0</v>
      </c>
      <c r="G79" s="1187" t="n">
        <v>324618032</v>
      </c>
      <c r="H79" s="1187" t="n">
        <v>0</v>
      </c>
    </row>
    <row r="80" ht="14.45" customHeight="1" s="1225">
      <c r="A80" s="1436" t="inlineStr">
        <is>
          <t>272000</t>
        </is>
      </c>
      <c r="B80" s="1436" t="inlineStr">
        <is>
          <t>PRÊTS AU PERSONNEL</t>
        </is>
      </c>
      <c r="C80" s="1187" t="n">
        <v>0</v>
      </c>
      <c r="D80" s="1187" t="n">
        <v>0</v>
      </c>
      <c r="E80" s="1187" t="n">
        <v>1850000</v>
      </c>
      <c r="F80" s="1187" t="n">
        <v>1850000</v>
      </c>
      <c r="G80" s="1187" t="n">
        <v>0</v>
      </c>
      <c r="H80" s="1187" t="n">
        <v>0</v>
      </c>
    </row>
    <row r="81" ht="14.45" customHeight="1" s="1225">
      <c r="A81" s="1436" t="inlineStr">
        <is>
          <t>275100</t>
        </is>
      </c>
      <c r="B81" s="1436" t="inlineStr">
        <is>
          <t>Dépôts pour loyers d’avance</t>
        </is>
      </c>
      <c r="C81" s="1187" t="n">
        <v>700000</v>
      </c>
      <c r="D81" s="1187" t="n">
        <v>0</v>
      </c>
      <c r="E81" s="1187" t="n">
        <v>750000</v>
      </c>
      <c r="F81" s="1187" t="n">
        <v>0</v>
      </c>
      <c r="G81" s="1187" t="n">
        <v>1450000</v>
      </c>
      <c r="H81" s="1187" t="n">
        <v>0</v>
      </c>
    </row>
    <row r="82" ht="14.45" customHeight="1" s="1225">
      <c r="A82" s="1436" t="inlineStr">
        <is>
          <t>275800</t>
        </is>
      </c>
      <c r="B82" s="1436" t="inlineStr">
        <is>
          <t>Autres dépôts et cautionnement</t>
        </is>
      </c>
      <c r="C82" s="1187" t="n">
        <v>130900771</v>
      </c>
      <c r="D82" s="1187" t="n">
        <v>0</v>
      </c>
      <c r="E82" s="1187" t="n">
        <v>424723738</v>
      </c>
      <c r="F82" s="1187" t="n">
        <v>361159834</v>
      </c>
      <c r="G82" s="1187" t="n">
        <v>194464675</v>
      </c>
      <c r="H82" s="1187" t="n">
        <v>0</v>
      </c>
    </row>
    <row r="83" ht="14.45" customHeight="1" s="1225">
      <c r="A83" s="1436" t="inlineStr">
        <is>
          <t>278400</t>
        </is>
      </c>
      <c r="B83" s="1436" t="inlineStr">
        <is>
          <t>Banques dépôts à terme</t>
        </is>
      </c>
      <c r="C83" s="1187" t="n">
        <v>1000000000</v>
      </c>
      <c r="D83" s="1187" t="n">
        <v>0</v>
      </c>
      <c r="E83" s="1187" t="n">
        <v>500000000</v>
      </c>
      <c r="F83" s="1187" t="n">
        <v>0</v>
      </c>
      <c r="G83" s="1187" t="n">
        <v>1500000000</v>
      </c>
      <c r="H83" s="1187" t="n">
        <v>0</v>
      </c>
    </row>
    <row r="84" ht="14.45" customHeight="1" s="1225">
      <c r="A84" s="1436" t="inlineStr">
        <is>
          <t>281300</t>
        </is>
      </c>
      <c r="B84" s="1436" t="inlineStr">
        <is>
          <t>Amortissements des logiciels e</t>
        </is>
      </c>
      <c r="C84" s="1187" t="n">
        <v>0</v>
      </c>
      <c r="D84" s="1187" t="n">
        <v>0</v>
      </c>
      <c r="E84" s="1187" t="n">
        <v>0</v>
      </c>
      <c r="F84" s="1187" t="n">
        <v>16230977</v>
      </c>
      <c r="G84" s="1187" t="n">
        <v>0</v>
      </c>
      <c r="H84" s="1187" t="n">
        <v>16230977</v>
      </c>
    </row>
    <row r="85" ht="14.45" customHeight="1" s="1225">
      <c r="A85" s="1436" t="inlineStr">
        <is>
          <t>283100</t>
        </is>
      </c>
      <c r="B85" s="1436" t="inlineStr">
        <is>
          <t>Amortissements des bâtiments i</t>
        </is>
      </c>
      <c r="C85" s="1187" t="n">
        <v>0</v>
      </c>
      <c r="D85" s="1187" t="n">
        <v>0</v>
      </c>
      <c r="E85" s="1187" t="n">
        <v>0</v>
      </c>
      <c r="F85" s="1187" t="n">
        <v>138730642.5</v>
      </c>
      <c r="G85" s="1187" t="n">
        <v>0</v>
      </c>
      <c r="H85" s="1187" t="n">
        <v>138730642.5</v>
      </c>
    </row>
    <row r="86" ht="14.45" customHeight="1" s="1225">
      <c r="A86" s="1436" t="inlineStr">
        <is>
          <t>283400</t>
        </is>
      </c>
      <c r="B86" s="1436" t="inlineStr">
        <is>
          <t>Amortissements des aménagement</t>
        </is>
      </c>
      <c r="C86" s="1187" t="n">
        <v>0</v>
      </c>
      <c r="D86" s="1187" t="n">
        <v>3599350</v>
      </c>
      <c r="E86" s="1187" t="n">
        <v>0</v>
      </c>
      <c r="F86" s="1187" t="n">
        <v>409014220.48</v>
      </c>
      <c r="G86" s="1187" t="n">
        <v>0</v>
      </c>
      <c r="H86" s="1187" t="n">
        <v>412613570.48</v>
      </c>
    </row>
    <row r="87" ht="14.45" customHeight="1" s="1225">
      <c r="A87" s="1436" t="inlineStr">
        <is>
          <t>284100</t>
        </is>
      </c>
      <c r="B87" s="1436" t="inlineStr">
        <is>
          <t>Amortissements du matériel et</t>
        </is>
      </c>
      <c r="C87" s="1187" t="n">
        <v>0</v>
      </c>
      <c r="D87" s="1187" t="n">
        <v>0</v>
      </c>
      <c r="E87" s="1187" t="n">
        <v>0</v>
      </c>
      <c r="F87" s="1187" t="n">
        <v>15044968</v>
      </c>
      <c r="G87" s="1187" t="n">
        <v>0</v>
      </c>
      <c r="H87" s="1187" t="n">
        <v>15044968</v>
      </c>
    </row>
    <row r="88" ht="14.45" customHeight="1" s="1225">
      <c r="A88" s="1436" t="inlineStr">
        <is>
          <t>284400</t>
        </is>
      </c>
      <c r="B88" s="1436" t="inlineStr">
        <is>
          <t>Amortissements du MAT et MOB</t>
        </is>
      </c>
      <c r="C88" s="1187" t="n">
        <v>0</v>
      </c>
      <c r="D88" s="1187" t="n">
        <v>3109747</v>
      </c>
      <c r="E88" s="1187" t="n">
        <v>0</v>
      </c>
      <c r="F88" s="1187" t="n">
        <v>14883157</v>
      </c>
      <c r="G88" s="1187" t="n">
        <v>0</v>
      </c>
      <c r="H88" s="1187" t="n">
        <v>17992904</v>
      </c>
    </row>
    <row r="89" ht="14.45" customHeight="1" s="1225">
      <c r="A89" s="1436" t="inlineStr">
        <is>
          <t>284500</t>
        </is>
      </c>
      <c r="B89" s="1436" t="inlineStr">
        <is>
          <t>Amortissements du matériel de</t>
        </is>
      </c>
      <c r="C89" s="1187" t="n">
        <v>0</v>
      </c>
      <c r="D89" s="1187" t="n">
        <v>1498477</v>
      </c>
      <c r="E89" s="1187" t="n">
        <v>0</v>
      </c>
      <c r="F89" s="1187" t="n">
        <v>579857243</v>
      </c>
      <c r="G89" s="1187" t="n">
        <v>0</v>
      </c>
      <c r="H89" s="1187" t="n">
        <v>581355720</v>
      </c>
    </row>
    <row r="90" ht="14.45" customHeight="1" s="1225">
      <c r="A90" s="1436" t="inlineStr">
        <is>
          <t>321001</t>
        </is>
      </c>
      <c r="B90" s="1436" t="inlineStr">
        <is>
          <t>CLINKER</t>
        </is>
      </c>
      <c r="C90" s="1187" t="n">
        <v>0</v>
      </c>
      <c r="D90" s="1187" t="n">
        <v>0</v>
      </c>
      <c r="E90" s="1187" t="n">
        <v>2535060857</v>
      </c>
      <c r="F90" s="1187" t="n">
        <v>0</v>
      </c>
      <c r="G90" s="1187" t="n">
        <v>2535060857</v>
      </c>
      <c r="H90" s="1187" t="n">
        <v>0</v>
      </c>
    </row>
    <row r="91" ht="14.45" customHeight="1" s="1225">
      <c r="A91" s="1436" t="inlineStr">
        <is>
          <t>321002</t>
        </is>
      </c>
      <c r="B91" s="1436" t="inlineStr">
        <is>
          <t>GYPSE</t>
        </is>
      </c>
      <c r="C91" s="1187" t="n">
        <v>0</v>
      </c>
      <c r="D91" s="1187" t="n">
        <v>0</v>
      </c>
      <c r="E91" s="1187" t="n">
        <v>812728654</v>
      </c>
      <c r="F91" s="1187" t="n">
        <v>0</v>
      </c>
      <c r="G91" s="1187" t="n">
        <v>812728654</v>
      </c>
      <c r="H91" s="1187" t="n">
        <v>0</v>
      </c>
    </row>
    <row r="92" ht="14.45" customHeight="1" s="1225">
      <c r="A92" s="1436" t="inlineStr">
        <is>
          <t>321003</t>
        </is>
      </c>
      <c r="B92" s="1436" t="inlineStr">
        <is>
          <t>CALCAIRE</t>
        </is>
      </c>
      <c r="C92" s="1187" t="n">
        <v>22651650</v>
      </c>
      <c r="D92" s="1187" t="n">
        <v>0</v>
      </c>
      <c r="E92" s="1187" t="n">
        <v>37596168</v>
      </c>
      <c r="F92" s="1187" t="n">
        <v>22651650</v>
      </c>
      <c r="G92" s="1187" t="n">
        <v>37596168</v>
      </c>
      <c r="H92" s="1187" t="n">
        <v>0</v>
      </c>
    </row>
    <row r="93" ht="14.45" customHeight="1" s="1225">
      <c r="A93" s="1436" t="inlineStr">
        <is>
          <t>321004</t>
        </is>
      </c>
      <c r="B93" s="1436" t="inlineStr">
        <is>
          <t>SACS VIDES</t>
        </is>
      </c>
      <c r="C93" s="1187" t="n">
        <v>0</v>
      </c>
      <c r="D93" s="1187" t="n">
        <v>0</v>
      </c>
      <c r="E93" s="1187" t="n">
        <v>166973440</v>
      </c>
      <c r="F93" s="1187" t="n">
        <v>0</v>
      </c>
      <c r="G93" s="1187" t="n">
        <v>166973440</v>
      </c>
      <c r="H93" s="1187" t="n">
        <v>0</v>
      </c>
    </row>
    <row r="94" ht="14.45" customHeight="1" s="1225">
      <c r="A94" s="1436" t="inlineStr">
        <is>
          <t>321005</t>
        </is>
      </c>
      <c r="B94" s="1436" t="inlineStr">
        <is>
          <t>DDO/GASOIL</t>
        </is>
      </c>
      <c r="C94" s="1187" t="n">
        <v>0</v>
      </c>
      <c r="D94" s="1187" t="n">
        <v>0</v>
      </c>
      <c r="E94" s="1187" t="n">
        <v>15822000</v>
      </c>
      <c r="F94" s="1187" t="n">
        <v>0</v>
      </c>
      <c r="G94" s="1187" t="n">
        <v>15822000</v>
      </c>
      <c r="H94" s="1187" t="n">
        <v>0</v>
      </c>
    </row>
    <row r="95" ht="14.45" customHeight="1" s="1225">
      <c r="A95" s="1436" t="inlineStr">
        <is>
          <t>335100</t>
        </is>
      </c>
      <c r="B95" s="1436" t="inlineStr">
        <is>
          <t>Emballages perdus</t>
        </is>
      </c>
      <c r="C95" s="1187" t="n">
        <v>175899812</v>
      </c>
      <c r="D95" s="1187" t="n">
        <v>0</v>
      </c>
      <c r="E95" s="1187" t="n">
        <v>0</v>
      </c>
      <c r="F95" s="1187" t="n">
        <v>175899812</v>
      </c>
      <c r="G95" s="1187" t="n">
        <v>0</v>
      </c>
      <c r="H95" s="1187" t="n">
        <v>0</v>
      </c>
    </row>
    <row r="96" ht="14.45" customHeight="1" s="1225">
      <c r="A96" s="1436" t="inlineStr">
        <is>
          <t>338100</t>
        </is>
      </c>
      <c r="B96" s="1436" t="inlineStr">
        <is>
          <t>STOCKS DE PIECES DE RECHANGE</t>
        </is>
      </c>
      <c r="C96" s="1187" t="n">
        <v>0</v>
      </c>
      <c r="D96" s="1187" t="n">
        <v>0</v>
      </c>
      <c r="E96" s="1187" t="n">
        <v>194278580</v>
      </c>
      <c r="F96" s="1187" t="n">
        <v>0</v>
      </c>
      <c r="G96" s="1187" t="n">
        <v>194278580</v>
      </c>
      <c r="H96" s="1187" t="n">
        <v>0</v>
      </c>
    </row>
    <row r="97" ht="14.45" customHeight="1" s="1225">
      <c r="A97" s="1436" t="inlineStr">
        <is>
          <t>361000</t>
        </is>
      </c>
      <c r="B97" s="1436" t="inlineStr">
        <is>
          <t>PRODUITS FINIS CPJ SILO 1</t>
        </is>
      </c>
      <c r="C97" s="1187" t="n">
        <v>0</v>
      </c>
      <c r="D97" s="1187" t="n">
        <v>0</v>
      </c>
      <c r="E97" s="1187" t="n">
        <v>45140418</v>
      </c>
      <c r="F97" s="1187" t="n">
        <v>0</v>
      </c>
      <c r="G97" s="1187" t="n">
        <v>45140418</v>
      </c>
      <c r="H97" s="1187" t="n">
        <v>0</v>
      </c>
    </row>
    <row r="98" ht="14.45" customHeight="1" s="1225">
      <c r="A98" s="1436" t="inlineStr">
        <is>
          <t>362000</t>
        </is>
      </c>
      <c r="B98" s="1436" t="inlineStr">
        <is>
          <t>PRODUITS FINIS CPA SILO 2</t>
        </is>
      </c>
      <c r="C98" s="1187" t="n">
        <v>0</v>
      </c>
      <c r="D98" s="1187" t="n">
        <v>0</v>
      </c>
      <c r="E98" s="1187" t="n">
        <v>70351382</v>
      </c>
      <c r="F98" s="1187" t="n">
        <v>0</v>
      </c>
      <c r="G98" s="1187" t="n">
        <v>70351382</v>
      </c>
      <c r="H98" s="1187" t="n">
        <v>0</v>
      </c>
    </row>
    <row r="99" ht="14.45" customHeight="1" s="1225">
      <c r="A99" s="1436" t="inlineStr">
        <is>
          <t>382001</t>
        </is>
      </c>
      <c r="B99" s="1436" t="inlineStr">
        <is>
          <t>CLINKER EN COURS</t>
        </is>
      </c>
      <c r="C99" s="1187" t="n">
        <v>2507850429</v>
      </c>
      <c r="D99" s="1187" t="n">
        <v>0</v>
      </c>
      <c r="E99" s="1187" t="n">
        <v>1636467942</v>
      </c>
      <c r="F99" s="1187" t="n">
        <v>2507850429</v>
      </c>
      <c r="G99" s="1187" t="n">
        <v>1636467942</v>
      </c>
      <c r="H99" s="1187" t="n">
        <v>0</v>
      </c>
    </row>
    <row r="100" ht="14.45" customHeight="1" s="1225">
      <c r="A100" s="1436" t="inlineStr">
        <is>
          <t>382002</t>
        </is>
      </c>
      <c r="B100" s="1436" t="inlineStr">
        <is>
          <t>GYPSE en cours</t>
        </is>
      </c>
      <c r="C100" s="1187" t="n">
        <v>1636110170</v>
      </c>
      <c r="D100" s="1187" t="n">
        <v>0</v>
      </c>
      <c r="E100" s="1187" t="n">
        <v>0</v>
      </c>
      <c r="F100" s="1187" t="n">
        <v>1636110170</v>
      </c>
      <c r="G100" s="1187" t="n">
        <v>0</v>
      </c>
      <c r="H100" s="1187" t="n">
        <v>0</v>
      </c>
    </row>
    <row r="101" ht="14.45" customHeight="1" s="1225">
      <c r="A101" s="1436" t="inlineStr">
        <is>
          <t>401100</t>
        </is>
      </c>
      <c r="B101" s="1436" t="inlineStr">
        <is>
          <t>Fournisseurs LOCAUX</t>
        </is>
      </c>
      <c r="C101" s="1187" t="n">
        <v>0</v>
      </c>
      <c r="D101" s="1187" t="n">
        <v>828656284</v>
      </c>
      <c r="E101" s="1187" t="n">
        <v>10622084543</v>
      </c>
      <c r="F101" s="1187" t="n">
        <v>12069074549</v>
      </c>
      <c r="G101" s="1187" t="n">
        <v>0</v>
      </c>
      <c r="H101" s="1187" t="n">
        <v>2275646290</v>
      </c>
    </row>
    <row r="102" ht="14.45" customHeight="1" s="1225">
      <c r="A102" s="1436" t="inlineStr">
        <is>
          <t>401200</t>
        </is>
      </c>
      <c r="B102" s="1436" t="inlineStr">
        <is>
          <t>Fournisseurs ETRANGERS</t>
        </is>
      </c>
      <c r="C102" s="1187" t="n">
        <v>0</v>
      </c>
      <c r="D102" s="1187" t="n">
        <v>16698073</v>
      </c>
      <c r="E102" s="1187" t="n">
        <v>12831850463</v>
      </c>
      <c r="F102" s="1187" t="n">
        <v>15185592422</v>
      </c>
      <c r="G102" s="1187" t="n">
        <v>0</v>
      </c>
      <c r="H102" s="1187" t="n">
        <v>2370440032</v>
      </c>
    </row>
    <row r="103" ht="14.45" customHeight="1" s="1225">
      <c r="A103" s="1436" t="inlineStr">
        <is>
          <t>401700</t>
        </is>
      </c>
      <c r="B103" s="1436" t="inlineStr">
        <is>
          <t>Fournisseur, retenues de garan</t>
        </is>
      </c>
      <c r="C103" s="1187" t="n">
        <v>0</v>
      </c>
      <c r="D103" s="1187" t="n">
        <v>100000</v>
      </c>
      <c r="E103" s="1187" t="n">
        <v>100000</v>
      </c>
      <c r="F103" s="1187" t="n">
        <v>2206499</v>
      </c>
      <c r="G103" s="1187" t="n">
        <v>0</v>
      </c>
      <c r="H103" s="1187" t="n">
        <v>2206499</v>
      </c>
    </row>
    <row r="104" ht="14.45" customHeight="1" s="1225">
      <c r="A104" s="1436" t="inlineStr">
        <is>
          <t>408000</t>
        </is>
      </c>
      <c r="B104" s="1436" t="inlineStr">
        <is>
          <t>FOURNISSEURS, FACTURES NON PAR</t>
        </is>
      </c>
      <c r="C104" s="1187" t="n">
        <v>0</v>
      </c>
      <c r="D104" s="1187" t="n">
        <v>0</v>
      </c>
      <c r="E104" s="1187" t="n">
        <v>0</v>
      </c>
      <c r="F104" s="1187" t="n">
        <v>118612480</v>
      </c>
      <c r="G104" s="1187" t="n">
        <v>0</v>
      </c>
      <c r="H104" s="1187" t="n">
        <v>118612480</v>
      </c>
    </row>
    <row r="105" ht="14.45" customHeight="1" s="1225">
      <c r="A105" s="1436" t="inlineStr">
        <is>
          <t>408100</t>
        </is>
      </c>
      <c r="B105" s="1436" t="inlineStr">
        <is>
          <t>Fournisseurs fact non parvenue</t>
        </is>
      </c>
      <c r="C105" s="1187" t="n">
        <v>0</v>
      </c>
      <c r="D105" s="1187" t="n">
        <v>7298693</v>
      </c>
      <c r="E105" s="1187" t="n">
        <v>0</v>
      </c>
      <c r="F105" s="1187" t="n">
        <v>0</v>
      </c>
      <c r="G105" s="1187" t="n">
        <v>0</v>
      </c>
      <c r="H105" s="1187" t="n">
        <v>7298693</v>
      </c>
    </row>
    <row r="106" ht="14.45" customHeight="1" s="1225">
      <c r="A106" s="1436" t="inlineStr">
        <is>
          <t>409100</t>
        </is>
      </c>
      <c r="B106" s="1436" t="inlineStr">
        <is>
          <t>FRS LOCAUX AVANCES ET ACOMPT</t>
        </is>
      </c>
      <c r="C106" s="1187" t="n">
        <v>16771287</v>
      </c>
      <c r="D106" s="1187" t="n">
        <v>0</v>
      </c>
      <c r="E106" s="1187" t="n">
        <v>0</v>
      </c>
      <c r="F106" s="1187" t="n">
        <v>665000</v>
      </c>
      <c r="G106" s="1187" t="n">
        <v>16106287</v>
      </c>
      <c r="H106" s="1187" t="n">
        <v>0</v>
      </c>
    </row>
    <row r="107" ht="14.45" customHeight="1" s="1225">
      <c r="A107" s="1436" t="inlineStr">
        <is>
          <t>409110</t>
        </is>
      </c>
      <c r="B107" s="1436" t="inlineStr">
        <is>
          <t>FRS ETRANGERS AVANCE ET ACOMPT</t>
        </is>
      </c>
      <c r="C107" s="1187" t="n">
        <v>1637916567</v>
      </c>
      <c r="D107" s="1187" t="n">
        <v>0</v>
      </c>
      <c r="E107" s="1187" t="n">
        <v>1422950637</v>
      </c>
      <c r="F107" s="1187" t="n">
        <v>2641623659</v>
      </c>
      <c r="G107" s="1187" t="n">
        <v>419243545</v>
      </c>
      <c r="H107" s="1187" t="n">
        <v>0</v>
      </c>
    </row>
    <row r="108" ht="14.45" customHeight="1" s="1225">
      <c r="A108" s="1436" t="inlineStr">
        <is>
          <t>411100</t>
        </is>
      </c>
      <c r="B108" s="1436" t="inlineStr">
        <is>
          <t>Clients</t>
        </is>
      </c>
      <c r="C108" s="1187" t="n">
        <v>0</v>
      </c>
      <c r="D108" s="1187" t="n">
        <v>0</v>
      </c>
      <c r="E108" s="1187" t="n">
        <v>26799373210.6</v>
      </c>
      <c r="F108" s="1187" t="n">
        <v>26092635159.8</v>
      </c>
      <c r="G108" s="1187" t="n">
        <v>706738050.8</v>
      </c>
      <c r="H108" s="1187" t="n">
        <v>0</v>
      </c>
    </row>
    <row r="109" ht="14.45" customHeight="1" s="1225">
      <c r="A109" s="1436" t="inlineStr">
        <is>
          <t>419100</t>
        </is>
      </c>
      <c r="B109" s="1436" t="inlineStr">
        <is>
          <t>CLIENTS, AVCES ET ACPTS VERSEE</t>
        </is>
      </c>
      <c r="C109" s="1187" t="n">
        <v>0</v>
      </c>
      <c r="D109" s="1187" t="n">
        <v>0</v>
      </c>
      <c r="E109" s="1187" t="n">
        <v>0</v>
      </c>
      <c r="F109" s="1187" t="n">
        <v>126819681</v>
      </c>
      <c r="G109" s="1187" t="n">
        <v>0</v>
      </c>
      <c r="H109" s="1187" t="n">
        <v>126819681</v>
      </c>
    </row>
    <row r="110" ht="14.45" customHeight="1" s="1225">
      <c r="A110" s="1436" t="inlineStr">
        <is>
          <t>421000</t>
        </is>
      </c>
      <c r="B110" s="1436" t="inlineStr">
        <is>
          <t>PERSONNEL, AVANCES ET ACOMPTES</t>
        </is>
      </c>
      <c r="C110" s="1187" t="n">
        <v>0</v>
      </c>
      <c r="D110" s="1187" t="n">
        <v>1700000</v>
      </c>
      <c r="E110" s="1187" t="n">
        <v>5255000</v>
      </c>
      <c r="F110" s="1187" t="n">
        <v>0</v>
      </c>
      <c r="G110" s="1187" t="n">
        <v>3555000</v>
      </c>
      <c r="H110" s="1187" t="n">
        <v>0</v>
      </c>
    </row>
    <row r="111" ht="14.45" customHeight="1" s="1225">
      <c r="A111" s="1436" t="inlineStr">
        <is>
          <t>421100</t>
        </is>
      </c>
      <c r="B111" s="1436" t="inlineStr">
        <is>
          <t>Personnel, avances</t>
        </is>
      </c>
      <c r="C111" s="1187" t="n">
        <v>2005000</v>
      </c>
      <c r="D111" s="1187" t="n">
        <v>0</v>
      </c>
      <c r="E111" s="1187" t="n">
        <v>0</v>
      </c>
      <c r="F111" s="1187" t="n">
        <v>2005000</v>
      </c>
      <c r="G111" s="1187" t="n">
        <v>0</v>
      </c>
      <c r="H111" s="1187" t="n">
        <v>0</v>
      </c>
    </row>
    <row r="112" ht="14.45" customHeight="1" s="1225">
      <c r="A112" s="1436" t="inlineStr">
        <is>
          <t>422000</t>
        </is>
      </c>
      <c r="B112" s="1436" t="inlineStr">
        <is>
          <t>PERSONNEL, RÉMUNÉRATIONS DUES</t>
        </is>
      </c>
      <c r="C112" s="1187" t="n">
        <v>0</v>
      </c>
      <c r="D112" s="1187" t="n">
        <v>6026595</v>
      </c>
      <c r="E112" s="1187" t="n">
        <v>439020463</v>
      </c>
      <c r="F112" s="1187" t="n">
        <v>417331647</v>
      </c>
      <c r="G112" s="1187" t="n">
        <v>15662221</v>
      </c>
      <c r="H112" s="1187" t="n">
        <v>0</v>
      </c>
    </row>
    <row r="113" ht="14.45" customHeight="1" s="1225">
      <c r="A113" s="1436" t="inlineStr">
        <is>
          <t>431000</t>
        </is>
      </c>
      <c r="B113" s="1436" t="inlineStr">
        <is>
          <t>SÉCURITÉ SOCIALE</t>
        </is>
      </c>
      <c r="C113" s="1187" t="n">
        <v>0</v>
      </c>
      <c r="D113" s="1187" t="n">
        <v>5052139</v>
      </c>
      <c r="E113" s="1187" t="n">
        <v>51893605</v>
      </c>
      <c r="F113" s="1187" t="n">
        <v>59919319</v>
      </c>
      <c r="G113" s="1187" t="n">
        <v>0</v>
      </c>
      <c r="H113" s="1187" t="n">
        <v>13077853</v>
      </c>
    </row>
    <row r="114" ht="14.45" customHeight="1" s="1225">
      <c r="A114" s="1436" t="inlineStr">
        <is>
          <t>431300</t>
        </is>
      </c>
      <c r="B114" s="1436" t="inlineStr">
        <is>
          <t>Caisse de retraite obligatoire</t>
        </is>
      </c>
      <c r="C114" s="1187" t="n">
        <v>0</v>
      </c>
      <c r="D114" s="1187" t="n">
        <v>0</v>
      </c>
      <c r="E114" s="1187" t="n">
        <v>0</v>
      </c>
      <c r="F114" s="1187" t="n">
        <v>3680636</v>
      </c>
      <c r="G114" s="1187" t="n">
        <v>0</v>
      </c>
      <c r="H114" s="1187" t="n">
        <v>3680636</v>
      </c>
    </row>
    <row r="115" ht="14.45" customHeight="1" s="1225">
      <c r="A115" s="1436" t="inlineStr">
        <is>
          <t>441200</t>
        </is>
      </c>
      <c r="B115" s="1436" t="inlineStr">
        <is>
          <t>ETAT, AP IS DUE</t>
        </is>
      </c>
      <c r="C115" s="1187" t="n">
        <v>0</v>
      </c>
      <c r="D115" s="1187" t="n">
        <v>500000</v>
      </c>
      <c r="E115" s="1187" t="n">
        <v>750000</v>
      </c>
      <c r="F115" s="1187" t="n">
        <v>1000000</v>
      </c>
      <c r="G115" s="1187" t="n">
        <v>0</v>
      </c>
      <c r="H115" s="1187" t="n">
        <v>750000</v>
      </c>
    </row>
    <row r="116" ht="14.45" customHeight="1" s="1225">
      <c r="A116" s="1436" t="inlineStr">
        <is>
          <t>442210</t>
        </is>
      </c>
      <c r="B116" s="1436" t="inlineStr">
        <is>
          <t>PATENTE ET TAXE DE VOIRIE</t>
        </is>
      </c>
      <c r="C116" s="1187" t="n">
        <v>0</v>
      </c>
      <c r="D116" s="1187" t="n">
        <v>0</v>
      </c>
      <c r="E116" s="1187" t="n">
        <v>2000</v>
      </c>
      <c r="F116" s="1187" t="n">
        <v>0</v>
      </c>
      <c r="G116" s="1187" t="n">
        <v>2000</v>
      </c>
      <c r="H116" s="1187" t="n">
        <v>0</v>
      </c>
    </row>
    <row r="117" ht="14.45" customHeight="1" s="1225">
      <c r="A117" s="1436" t="inlineStr">
        <is>
          <t>442800</t>
        </is>
      </c>
      <c r="B117" s="1436" t="inlineStr">
        <is>
          <t>Autres impôts et taxes-TSC</t>
        </is>
      </c>
      <c r="C117" s="1187" t="n">
        <v>0</v>
      </c>
      <c r="D117" s="1187" t="n">
        <v>0</v>
      </c>
      <c r="E117" s="1187" t="n">
        <v>243965872</v>
      </c>
      <c r="F117" s="1187" t="n">
        <v>277746520</v>
      </c>
      <c r="G117" s="1187" t="n">
        <v>0</v>
      </c>
      <c r="H117" s="1187" t="n">
        <v>33780648</v>
      </c>
    </row>
    <row r="118" ht="14.45" customHeight="1" s="1225">
      <c r="A118" s="1436" t="inlineStr">
        <is>
          <t>442810</t>
        </is>
      </c>
      <c r="B118" s="1436" t="inlineStr">
        <is>
          <t>TPA- AUTRES</t>
        </is>
      </c>
      <c r="C118" s="1187" t="n">
        <v>0</v>
      </c>
      <c r="D118" s="1187" t="n">
        <v>497215</v>
      </c>
      <c r="E118" s="1187" t="n">
        <v>497215</v>
      </c>
      <c r="F118" s="1187" t="n">
        <v>0</v>
      </c>
      <c r="G118" s="1187" t="n">
        <v>0</v>
      </c>
      <c r="H118" s="1187" t="n">
        <v>0</v>
      </c>
    </row>
    <row r="119" ht="14.45" customHeight="1" s="1225">
      <c r="A119" s="1436" t="inlineStr">
        <is>
          <t>443100</t>
        </is>
      </c>
      <c r="B119" s="1436" t="inlineStr">
        <is>
          <t>T.V.A. facturée sur ventes</t>
        </is>
      </c>
      <c r="C119" s="1187" t="n">
        <v>0</v>
      </c>
      <c r="D119" s="1187" t="n">
        <v>0</v>
      </c>
      <c r="E119" s="1187" t="n">
        <v>152217982</v>
      </c>
      <c r="F119" s="1187" t="n">
        <v>153636264.8</v>
      </c>
      <c r="G119" s="1187" t="n">
        <v>0</v>
      </c>
      <c r="H119" s="1187" t="n">
        <v>1418282.8</v>
      </c>
    </row>
    <row r="120" ht="14.45" customHeight="1" s="1225">
      <c r="A120" s="1436" t="inlineStr">
        <is>
          <t>446000</t>
        </is>
      </c>
      <c r="B120" s="1436" t="inlineStr">
        <is>
          <t>ÉTAT, AUTRES TAXES SUR LE CHIF</t>
        </is>
      </c>
      <c r="C120" s="1187" t="n">
        <v>0</v>
      </c>
      <c r="D120" s="1187" t="n">
        <v>0</v>
      </c>
      <c r="E120" s="1187" t="n">
        <v>0</v>
      </c>
      <c r="F120" s="1187" t="n">
        <v>2000</v>
      </c>
      <c r="G120" s="1187" t="n">
        <v>0</v>
      </c>
      <c r="H120" s="1187" t="n">
        <v>2000</v>
      </c>
    </row>
    <row r="121" ht="14.45" customHeight="1" s="1225">
      <c r="A121" s="1436" t="inlineStr">
        <is>
          <t>447200</t>
        </is>
      </c>
      <c r="B121" s="1436" t="inlineStr">
        <is>
          <t>TPA -Impôts sur salaires</t>
        </is>
      </c>
      <c r="C121" s="1187" t="n">
        <v>0</v>
      </c>
      <c r="D121" s="1187" t="n">
        <v>0</v>
      </c>
      <c r="E121" s="1187" t="n">
        <v>12610333</v>
      </c>
      <c r="F121" s="1187" t="n">
        <v>15009922</v>
      </c>
      <c r="G121" s="1187" t="n">
        <v>0</v>
      </c>
      <c r="H121" s="1187" t="n">
        <v>2399588.999999998</v>
      </c>
    </row>
    <row r="122" ht="14.45" customHeight="1" s="1225">
      <c r="A122" s="1436" t="inlineStr">
        <is>
          <t>447210</t>
        </is>
      </c>
      <c r="B122" s="1436" t="inlineStr">
        <is>
          <t>IUTS</t>
        </is>
      </c>
      <c r="C122" s="1187" t="n">
        <v>0</v>
      </c>
      <c r="D122" s="1187" t="n">
        <v>1299792</v>
      </c>
      <c r="E122" s="1187" t="n">
        <v>54740700</v>
      </c>
      <c r="F122" s="1187" t="n">
        <v>61970336</v>
      </c>
      <c r="G122" s="1187" t="n">
        <v>0</v>
      </c>
      <c r="H122" s="1187" t="n">
        <v>8529428</v>
      </c>
    </row>
    <row r="123" ht="14.45" customHeight="1" s="1225">
      <c r="A123" s="1436" t="inlineStr">
        <is>
          <t>447810</t>
        </is>
      </c>
      <c r="B123" s="1436" t="inlineStr">
        <is>
          <t>RETENUE 5% OPÉRÉE</t>
        </is>
      </c>
      <c r="C123" s="1187" t="n">
        <v>231741</v>
      </c>
      <c r="D123" s="1187" t="n">
        <v>0</v>
      </c>
      <c r="E123" s="1187" t="n">
        <v>86625557</v>
      </c>
      <c r="F123" s="1187" t="n">
        <v>101405629</v>
      </c>
      <c r="G123" s="1187" t="n">
        <v>0</v>
      </c>
      <c r="H123" s="1187" t="n">
        <v>14548331</v>
      </c>
    </row>
    <row r="124" ht="14.45" customHeight="1" s="1225">
      <c r="A124" s="1436" t="inlineStr">
        <is>
          <t>447820</t>
        </is>
      </c>
      <c r="B124" s="1436" t="inlineStr">
        <is>
          <t>RETENUE 1% OPÉRÉE</t>
        </is>
      </c>
      <c r="C124" s="1187" t="n">
        <v>0</v>
      </c>
      <c r="D124" s="1187" t="n">
        <v>9446552</v>
      </c>
      <c r="E124" s="1187" t="n">
        <v>9112897</v>
      </c>
      <c r="F124" s="1187" t="n">
        <v>-7297384.000000001</v>
      </c>
      <c r="G124" s="1187" t="n">
        <v>6963729.000000001</v>
      </c>
      <c r="H124" s="1187" t="n">
        <v>0</v>
      </c>
    </row>
    <row r="125" ht="14.45" customHeight="1" s="1225">
      <c r="A125" s="1436" t="inlineStr">
        <is>
          <t>447831</t>
        </is>
      </c>
      <c r="B125" s="1436" t="inlineStr">
        <is>
          <t>RETENUE LIBÉRATOIRE 25%</t>
        </is>
      </c>
      <c r="C125" s="1187" t="n">
        <v>0</v>
      </c>
      <c r="D125" s="1187" t="n">
        <v>1394800</v>
      </c>
      <c r="E125" s="1187" t="n">
        <v>0</v>
      </c>
      <c r="F125" s="1187" t="n">
        <v>0</v>
      </c>
      <c r="G125" s="1187" t="n">
        <v>0</v>
      </c>
      <c r="H125" s="1187" t="n">
        <v>1394800</v>
      </c>
    </row>
    <row r="126" ht="14.45" customHeight="1" s="1225">
      <c r="A126" s="1436" t="inlineStr">
        <is>
          <t>447840</t>
        </is>
      </c>
      <c r="B126" s="1436" t="inlineStr">
        <is>
          <t>RETENUE/PRESTATAIRE NON RESIDE</t>
        </is>
      </c>
      <c r="C126" s="1187" t="n">
        <v>0</v>
      </c>
      <c r="D126" s="1187" t="n">
        <v>44981473</v>
      </c>
      <c r="E126" s="1187" t="n">
        <v>45197471</v>
      </c>
      <c r="F126" s="1187" t="n">
        <v>358640</v>
      </c>
      <c r="G126" s="1187" t="n">
        <v>0</v>
      </c>
      <c r="H126" s="1187" t="n">
        <v>142642</v>
      </c>
    </row>
    <row r="127" ht="14.45" customHeight="1" s="1225">
      <c r="A127" s="1436" t="inlineStr">
        <is>
          <t>447850</t>
        </is>
      </c>
      <c r="B127" s="1436" t="inlineStr">
        <is>
          <t>RETENUE IRF OPÉRÉE</t>
        </is>
      </c>
      <c r="C127" s="1187" t="n">
        <v>0</v>
      </c>
      <c r="D127" s="1187" t="n">
        <v>110250</v>
      </c>
      <c r="E127" s="1187" t="n">
        <v>1029000</v>
      </c>
      <c r="F127" s="1187" t="n">
        <v>991500</v>
      </c>
      <c r="G127" s="1187" t="n">
        <v>0</v>
      </c>
      <c r="H127" s="1187" t="n">
        <v>72750</v>
      </c>
    </row>
    <row r="128" ht="14.45" customHeight="1" s="1225">
      <c r="A128" s="1436" t="inlineStr">
        <is>
          <t>449200</t>
        </is>
      </c>
      <c r="B128" s="1436" t="inlineStr">
        <is>
          <t>État, avances et acomptes vers</t>
        </is>
      </c>
      <c r="C128" s="1187" t="n">
        <v>22285104</v>
      </c>
      <c r="D128" s="1187" t="n">
        <v>0</v>
      </c>
      <c r="E128" s="1187" t="n">
        <v>2819179</v>
      </c>
      <c r="F128" s="1187" t="n">
        <v>25104283</v>
      </c>
      <c r="G128" s="1187" t="n">
        <v>0</v>
      </c>
      <c r="H128" s="1187" t="n">
        <v>0</v>
      </c>
    </row>
    <row r="129" ht="14.45" customHeight="1" s="1225">
      <c r="A129" s="1436" t="inlineStr">
        <is>
          <t>449210</t>
        </is>
      </c>
      <c r="B129" s="1436" t="inlineStr">
        <is>
          <t>AP, IS DÉCLARÉ</t>
        </is>
      </c>
      <c r="C129" s="1187" t="n">
        <v>0</v>
      </c>
      <c r="D129" s="1187" t="n">
        <v>0</v>
      </c>
      <c r="E129" s="1187" t="n">
        <v>1500000</v>
      </c>
      <c r="F129" s="1187" t="n">
        <v>250000</v>
      </c>
      <c r="G129" s="1187" t="n">
        <v>1250000</v>
      </c>
      <c r="H129" s="1187" t="n">
        <v>0</v>
      </c>
    </row>
    <row r="130" ht="14.45" customHeight="1" s="1225">
      <c r="A130" s="1436" t="inlineStr">
        <is>
          <t>449230</t>
        </is>
      </c>
      <c r="B130" s="1436" t="inlineStr">
        <is>
          <t>AP, PATENTE</t>
        </is>
      </c>
      <c r="C130" s="1187" t="n">
        <v>0</v>
      </c>
      <c r="D130" s="1187" t="n">
        <v>0</v>
      </c>
      <c r="E130" s="1187" t="n">
        <v>139892</v>
      </c>
      <c r="F130" s="1187" t="n">
        <v>139892</v>
      </c>
      <c r="G130" s="1187" t="n">
        <v>0</v>
      </c>
      <c r="H130" s="1187" t="n">
        <v>0</v>
      </c>
    </row>
    <row r="131" ht="14.45" customHeight="1" s="1225">
      <c r="A131" s="1436" t="inlineStr">
        <is>
          <t>461341</t>
        </is>
      </c>
      <c r="B131" s="1436" t="inlineStr">
        <is>
          <t>SOUSCRIPTEUR NAKAMA</t>
        </is>
      </c>
      <c r="C131" s="1187" t="n">
        <v>0</v>
      </c>
      <c r="D131" s="1187" t="n">
        <v>0</v>
      </c>
      <c r="E131" s="1187" t="n">
        <v>95000000</v>
      </c>
      <c r="F131" s="1187" t="n">
        <v>0</v>
      </c>
      <c r="G131" s="1187" t="n">
        <v>95000000</v>
      </c>
      <c r="H131" s="1187" t="n">
        <v>0</v>
      </c>
    </row>
    <row r="132" ht="14.45" customHeight="1" s="1225">
      <c r="A132" s="1436" t="inlineStr">
        <is>
          <t>461342</t>
        </is>
      </c>
      <c r="B132" s="1436" t="inlineStr">
        <is>
          <t>SOUSCRIPTEUR</t>
        </is>
      </c>
      <c r="C132" s="1187" t="n">
        <v>0</v>
      </c>
      <c r="D132" s="1187" t="n">
        <v>0</v>
      </c>
      <c r="E132" s="1187" t="n">
        <v>98000000</v>
      </c>
      <c r="F132" s="1187" t="n">
        <v>0</v>
      </c>
      <c r="G132" s="1187" t="n">
        <v>98000000</v>
      </c>
      <c r="H132" s="1187" t="n">
        <v>0</v>
      </c>
    </row>
    <row r="133" ht="14.45" customHeight="1" s="1225">
      <c r="A133" s="1436" t="inlineStr">
        <is>
          <t>462110</t>
        </is>
      </c>
      <c r="B133" s="1436" t="inlineStr">
        <is>
          <t>ASSOCIE KOUANDA MOUSSA</t>
        </is>
      </c>
      <c r="C133" s="1187" t="n">
        <v>0</v>
      </c>
      <c r="D133" s="1187" t="n">
        <v>9425380042</v>
      </c>
      <c r="E133" s="1187" t="n">
        <v>10886132372</v>
      </c>
      <c r="F133" s="1187" t="n">
        <v>1460752330</v>
      </c>
      <c r="G133" s="1187" t="n">
        <v>1.220703125e-06</v>
      </c>
      <c r="H133" s="1187" t="n">
        <v>0</v>
      </c>
    </row>
    <row r="134" ht="14.45" customHeight="1" s="1225">
      <c r="A134" s="1436" t="inlineStr">
        <is>
          <t>462120</t>
        </is>
      </c>
      <c r="B134" s="1436" t="inlineStr">
        <is>
          <t>ASSOCIE KOUANDA ZAKARIA</t>
        </is>
      </c>
      <c r="C134" s="1187" t="n">
        <v>0</v>
      </c>
      <c r="D134" s="1187" t="n">
        <v>0</v>
      </c>
      <c r="E134" s="1187" t="n">
        <v>8450000</v>
      </c>
      <c r="F134" s="1187" t="n">
        <v>8450000</v>
      </c>
      <c r="G134" s="1187" t="n">
        <v>0</v>
      </c>
      <c r="H134" s="1187" t="n">
        <v>0</v>
      </c>
    </row>
    <row r="135" ht="14.45" customHeight="1" s="1225">
      <c r="A135" s="1436" t="inlineStr">
        <is>
          <t>462140</t>
        </is>
      </c>
      <c r="B135" s="1436" t="inlineStr">
        <is>
          <t>ASSOCIE ECO-OIL</t>
        </is>
      </c>
      <c r="C135" s="1187" t="n">
        <v>0</v>
      </c>
      <c r="D135" s="1187" t="n">
        <v>0</v>
      </c>
      <c r="E135" s="1187" t="n">
        <v>10833957318</v>
      </c>
      <c r="F135" s="1187" t="n">
        <v>10860189372</v>
      </c>
      <c r="G135" s="1187" t="n">
        <v>0</v>
      </c>
      <c r="H135" s="1187" t="n">
        <v>26232054</v>
      </c>
    </row>
    <row r="136" ht="14.45" customHeight="1" s="1225">
      <c r="A136" s="1436" t="inlineStr">
        <is>
          <t>471100</t>
        </is>
      </c>
      <c r="B136" s="1436" t="inlineStr">
        <is>
          <t>Débiteurs divers</t>
        </is>
      </c>
      <c r="C136" s="1187" t="n">
        <v>0</v>
      </c>
      <c r="D136" s="1187" t="n">
        <v>0</v>
      </c>
      <c r="E136" s="1187" t="n">
        <v>274652382</v>
      </c>
      <c r="F136" s="1187" t="n">
        <v>0</v>
      </c>
      <c r="G136" s="1187" t="n">
        <v>274652382</v>
      </c>
      <c r="H136" s="1187" t="n">
        <v>0</v>
      </c>
    </row>
    <row r="137" ht="14.45" customHeight="1" s="1225">
      <c r="A137" s="1436" t="inlineStr">
        <is>
          <t>471103</t>
        </is>
      </c>
      <c r="B137" s="1436" t="inlineStr">
        <is>
          <t>GERANT ALT Mission à justifier</t>
        </is>
      </c>
      <c r="C137" s="1187" t="n">
        <v>0</v>
      </c>
      <c r="D137" s="1187" t="n">
        <v>0</v>
      </c>
      <c r="E137" s="1187" t="n">
        <v>98659000</v>
      </c>
      <c r="F137" s="1187" t="n">
        <v>98659000</v>
      </c>
      <c r="G137" s="1187" t="n">
        <v>0</v>
      </c>
      <c r="H137" s="1187" t="n">
        <v>0</v>
      </c>
    </row>
    <row r="138" ht="14.45" customHeight="1" s="1225">
      <c r="A138" s="1436" t="inlineStr">
        <is>
          <t>471104</t>
        </is>
      </c>
      <c r="B138" s="1436" t="inlineStr">
        <is>
          <t>FASO ENERGIE</t>
        </is>
      </c>
      <c r="C138" s="1187" t="n">
        <v>0</v>
      </c>
      <c r="D138" s="1187" t="n">
        <v>0</v>
      </c>
      <c r="E138" s="1187" t="n">
        <v>46000000</v>
      </c>
      <c r="F138" s="1187" t="n">
        <v>0</v>
      </c>
      <c r="G138" s="1187" t="n">
        <v>46000000</v>
      </c>
      <c r="H138" s="1187" t="n">
        <v>0</v>
      </c>
    </row>
    <row r="139" ht="14.45" customHeight="1" s="1225">
      <c r="A139" s="1436" t="inlineStr">
        <is>
          <t>471110</t>
        </is>
      </c>
      <c r="B139" s="1436" t="inlineStr">
        <is>
          <t>DEBITEUR DIVERS CAISSE KM</t>
        </is>
      </c>
      <c r="C139" s="1187" t="n">
        <v>0</v>
      </c>
      <c r="D139" s="1187" t="n">
        <v>0</v>
      </c>
      <c r="E139" s="1187" t="n">
        <v>410000000</v>
      </c>
      <c r="F139" s="1187" t="n">
        <v>0</v>
      </c>
      <c r="G139" s="1187" t="n">
        <v>410000000</v>
      </c>
      <c r="H139" s="1187" t="n">
        <v>0</v>
      </c>
    </row>
    <row r="140" ht="14.45" customHeight="1" s="1225">
      <c r="A140" s="1436" t="inlineStr">
        <is>
          <t>471120</t>
        </is>
      </c>
      <c r="B140" s="1436" t="inlineStr">
        <is>
          <t>DEBITEUR DIVERS K ZAKARIA</t>
        </is>
      </c>
      <c r="C140" s="1187" t="n">
        <v>0</v>
      </c>
      <c r="D140" s="1187" t="n">
        <v>0</v>
      </c>
      <c r="E140" s="1187" t="n">
        <v>600000</v>
      </c>
      <c r="F140" s="1187" t="n">
        <v>0</v>
      </c>
      <c r="G140" s="1187" t="n">
        <v>600000</v>
      </c>
      <c r="H140" s="1187" t="n">
        <v>0</v>
      </c>
    </row>
    <row r="141" ht="14.45" customHeight="1" s="1225">
      <c r="A141" s="1436" t="inlineStr">
        <is>
          <t>471200</t>
        </is>
      </c>
      <c r="B141" s="1436" t="inlineStr">
        <is>
          <t>Créditeurs divers</t>
        </is>
      </c>
      <c r="C141" s="1187" t="n">
        <v>41516939</v>
      </c>
      <c r="D141" s="1187" t="n">
        <v>0</v>
      </c>
      <c r="E141" s="1187" t="n">
        <v>992526862</v>
      </c>
      <c r="F141" s="1187" t="n">
        <v>1034043801</v>
      </c>
      <c r="G141" s="1187" t="n">
        <v>0</v>
      </c>
      <c r="H141" s="1187" t="n">
        <v>0</v>
      </c>
    </row>
    <row r="142" ht="14.45" customHeight="1" s="1225">
      <c r="A142" s="1436" t="inlineStr">
        <is>
          <t>476000</t>
        </is>
      </c>
      <c r="B142" s="1436" t="inlineStr">
        <is>
          <t>CHARGES CONSTATÉES D'AVANCE</t>
        </is>
      </c>
      <c r="C142" s="1187" t="n">
        <v>30000</v>
      </c>
      <c r="D142" s="1187" t="n">
        <v>0</v>
      </c>
      <c r="E142" s="1187" t="n">
        <v>32991480</v>
      </c>
      <c r="F142" s="1187" t="n">
        <v>2694416</v>
      </c>
      <c r="G142" s="1187" t="n">
        <v>30327064</v>
      </c>
      <c r="H142" s="1187" t="n">
        <v>0</v>
      </c>
    </row>
    <row r="143" ht="14.45" customHeight="1" s="1225">
      <c r="A143" s="1436" t="inlineStr">
        <is>
          <t>481000</t>
        </is>
      </c>
      <c r="B143" s="1436" t="inlineStr">
        <is>
          <t>FOURNISSEURS D'INVESTISSEMENTS</t>
        </is>
      </c>
      <c r="C143" s="1187" t="n">
        <v>0</v>
      </c>
      <c r="D143" s="1187" t="n">
        <v>1810087648</v>
      </c>
      <c r="E143" s="1187" t="n">
        <v>7677055134</v>
      </c>
      <c r="F143" s="1187" t="n">
        <v>8217324614</v>
      </c>
      <c r="G143" s="1187" t="n">
        <v>0</v>
      </c>
      <c r="H143" s="1187" t="n">
        <v>2350357128</v>
      </c>
    </row>
    <row r="144" ht="14.45" customHeight="1" s="1225">
      <c r="A144" s="1436" t="inlineStr">
        <is>
          <t>481700</t>
        </is>
      </c>
      <c r="B144" s="1436" t="inlineStr">
        <is>
          <t>Retenues de garantie (3)</t>
        </is>
      </c>
      <c r="C144" s="1187" t="n">
        <v>0</v>
      </c>
      <c r="D144" s="1187" t="n">
        <v>28556151</v>
      </c>
      <c r="E144" s="1187" t="n">
        <v>0</v>
      </c>
      <c r="F144" s="1187" t="n">
        <v>-26140001</v>
      </c>
      <c r="G144" s="1187" t="n">
        <v>0</v>
      </c>
      <c r="H144" s="1187" t="n">
        <v>2416150</v>
      </c>
    </row>
    <row r="145" ht="14.45" customHeight="1" s="1225">
      <c r="A145" s="1436" t="inlineStr">
        <is>
          <t>512000</t>
        </is>
      </c>
      <c r="B145" s="1436" t="inlineStr">
        <is>
          <t>EFFETS À L'ENCAISSEMENT</t>
        </is>
      </c>
      <c r="C145" s="1187" t="n">
        <v>0</v>
      </c>
      <c r="D145" s="1187" t="n">
        <v>0</v>
      </c>
      <c r="E145" s="1187" t="n">
        <v>106555000</v>
      </c>
      <c r="F145" s="1187" t="n">
        <v>106555000</v>
      </c>
      <c r="G145" s="1187" t="n">
        <v>0</v>
      </c>
      <c r="H145" s="1187" t="n">
        <v>0</v>
      </c>
    </row>
    <row r="146" ht="14.45" customHeight="1" s="1225">
      <c r="A146" s="1436" t="inlineStr">
        <is>
          <t>521110</t>
        </is>
      </c>
      <c r="B146" s="1436" t="inlineStr">
        <is>
          <t>WENDKUNI BANK</t>
        </is>
      </c>
      <c r="C146" s="1187" t="n">
        <v>70178691</v>
      </c>
      <c r="D146" s="1187" t="n">
        <v>0</v>
      </c>
      <c r="E146" s="1187" t="n">
        <v>11922686358</v>
      </c>
      <c r="F146" s="1187" t="n">
        <v>11815847453</v>
      </c>
      <c r="G146" s="1187" t="n">
        <v>177017596</v>
      </c>
      <c r="H146" s="1187" t="n">
        <v>0</v>
      </c>
    </row>
    <row r="147" ht="14.45" customHeight="1" s="1225">
      <c r="A147" s="1436" t="inlineStr">
        <is>
          <t>521111</t>
        </is>
      </c>
      <c r="B147" s="1436" t="inlineStr">
        <is>
          <t>WENDKUNI BANK/TRANSPORT</t>
        </is>
      </c>
      <c r="C147" s="1187" t="n">
        <v>99963500</v>
      </c>
      <c r="D147" s="1187" t="n">
        <v>0</v>
      </c>
      <c r="E147" s="1187" t="n">
        <v>8437657065</v>
      </c>
      <c r="F147" s="1187" t="n">
        <v>8582593362</v>
      </c>
      <c r="G147" s="1187" t="n">
        <v>0</v>
      </c>
      <c r="H147" s="1187" t="n">
        <v>44972797</v>
      </c>
    </row>
    <row r="148" ht="14.45" customHeight="1" s="1225">
      <c r="A148" s="1436" t="inlineStr">
        <is>
          <t>521120</t>
        </is>
      </c>
      <c r="B148" s="1436" t="inlineStr">
        <is>
          <t>CORIS BANK</t>
        </is>
      </c>
      <c r="C148" s="1187" t="n">
        <v>436432014</v>
      </c>
      <c r="D148" s="1187" t="n">
        <v>0</v>
      </c>
      <c r="E148" s="1187" t="n">
        <v>17099149894</v>
      </c>
      <c r="F148" s="1187" t="n">
        <v>17094202864</v>
      </c>
      <c r="G148" s="1187" t="n">
        <v>441379044</v>
      </c>
      <c r="H148" s="1187" t="n">
        <v>0</v>
      </c>
    </row>
    <row r="149" ht="14.45" customHeight="1" s="1225">
      <c r="A149" s="1436" t="inlineStr">
        <is>
          <t>521130</t>
        </is>
      </c>
      <c r="B149" s="1436" t="inlineStr">
        <is>
          <t>IB BANK</t>
        </is>
      </c>
      <c r="C149" s="1187" t="n">
        <v>3410452</v>
      </c>
      <c r="D149" s="1187" t="n">
        <v>0</v>
      </c>
      <c r="E149" s="1187" t="n">
        <v>617796404</v>
      </c>
      <c r="F149" s="1187" t="n">
        <v>591513144</v>
      </c>
      <c r="G149" s="1187" t="n">
        <v>29693712</v>
      </c>
      <c r="H149" s="1187" t="n">
        <v>0</v>
      </c>
    </row>
    <row r="150" ht="14.45" customHeight="1" s="1225">
      <c r="A150" s="1436" t="inlineStr">
        <is>
          <t>521140</t>
        </is>
      </c>
      <c r="B150" s="1436" t="inlineStr">
        <is>
          <t>BANK OF AFRICA</t>
        </is>
      </c>
      <c r="C150" s="1187" t="n">
        <v>17139</v>
      </c>
      <c r="D150" s="1187" t="n">
        <v>0</v>
      </c>
      <c r="E150" s="1187" t="n">
        <v>910837308</v>
      </c>
      <c r="F150" s="1187" t="n">
        <v>909426284</v>
      </c>
      <c r="G150" s="1187" t="n">
        <v>1428163</v>
      </c>
      <c r="H150" s="1187" t="n">
        <v>0</v>
      </c>
    </row>
    <row r="151" ht="14.45" customHeight="1" s="1225">
      <c r="A151" s="1436" t="inlineStr">
        <is>
          <t>521150</t>
        </is>
      </c>
      <c r="B151" s="1436" t="inlineStr">
        <is>
          <t>BANQUE ATLANTIQUE</t>
        </is>
      </c>
      <c r="C151" s="1187" t="n">
        <v>244894</v>
      </c>
      <c r="D151" s="1187" t="n">
        <v>0</v>
      </c>
      <c r="E151" s="1187" t="n">
        <v>831904480</v>
      </c>
      <c r="F151" s="1187" t="n">
        <v>824411260</v>
      </c>
      <c r="G151" s="1187" t="n">
        <v>7738114</v>
      </c>
      <c r="H151" s="1187" t="n">
        <v>0</v>
      </c>
    </row>
    <row r="152" ht="14.45" customHeight="1" s="1225">
      <c r="A152" s="1436" t="inlineStr">
        <is>
          <t>521160</t>
        </is>
      </c>
      <c r="B152" s="1436" t="inlineStr">
        <is>
          <t>VISTA BANK</t>
        </is>
      </c>
      <c r="C152" s="1187" t="n">
        <v>218393858</v>
      </c>
      <c r="D152" s="1187" t="n">
        <v>0</v>
      </c>
      <c r="E152" s="1187" t="n">
        <v>10754029584</v>
      </c>
      <c r="F152" s="1187" t="n">
        <v>10884627892</v>
      </c>
      <c r="G152" s="1187" t="n">
        <v>87795550</v>
      </c>
      <c r="H152" s="1187" t="n">
        <v>0</v>
      </c>
    </row>
    <row r="153" ht="14.45" customHeight="1" s="1225">
      <c r="A153" s="1436" t="inlineStr">
        <is>
          <t>521161</t>
        </is>
      </c>
      <c r="B153" s="1436" t="inlineStr">
        <is>
          <t>VISTA BANK</t>
        </is>
      </c>
      <c r="C153" s="1187" t="n">
        <v>0</v>
      </c>
      <c r="D153" s="1187" t="n">
        <v>37612</v>
      </c>
      <c r="E153" s="1187" t="n">
        <v>8255092360</v>
      </c>
      <c r="F153" s="1187" t="n">
        <v>8631907438</v>
      </c>
      <c r="G153" s="1187" t="n">
        <v>0</v>
      </c>
      <c r="H153" s="1187" t="n">
        <v>376852690</v>
      </c>
    </row>
    <row r="154" ht="14.45" customHeight="1" s="1225">
      <c r="A154" s="1436" t="inlineStr">
        <is>
          <t>521170</t>
        </is>
      </c>
      <c r="B154" s="1436" t="inlineStr">
        <is>
          <t>ECOBANK</t>
        </is>
      </c>
      <c r="C154" s="1187" t="n">
        <v>0</v>
      </c>
      <c r="D154" s="1187" t="n">
        <v>0</v>
      </c>
      <c r="E154" s="1187" t="n">
        <v>1288218605</v>
      </c>
      <c r="F154" s="1187" t="n">
        <v>1288191598</v>
      </c>
      <c r="G154" s="1187" t="n">
        <v>27007</v>
      </c>
      <c r="H154" s="1187" t="n">
        <v>0</v>
      </c>
    </row>
    <row r="155" ht="14.45" customHeight="1" s="1225">
      <c r="A155" s="1436" t="inlineStr">
        <is>
          <t>521180</t>
        </is>
      </c>
      <c r="B155" s="1436" t="inlineStr">
        <is>
          <t>Banque de l'union</t>
        </is>
      </c>
      <c r="C155" s="1187" t="n">
        <v>0</v>
      </c>
      <c r="D155" s="1187" t="n">
        <v>0</v>
      </c>
      <c r="E155" s="1187" t="n">
        <v>3951355640</v>
      </c>
      <c r="F155" s="1187" t="n">
        <v>3734658925</v>
      </c>
      <c r="G155" s="1187" t="n">
        <v>216696715</v>
      </c>
      <c r="H155" s="1187" t="n">
        <v>0</v>
      </c>
    </row>
    <row r="156" ht="14.45" customHeight="1" s="1225">
      <c r="A156" s="1436" t="inlineStr">
        <is>
          <t>521190</t>
        </is>
      </c>
      <c r="B156" s="1436" t="inlineStr">
        <is>
          <t>BSIC BURKINA</t>
        </is>
      </c>
      <c r="C156" s="1187" t="n">
        <v>0</v>
      </c>
      <c r="D156" s="1187" t="n">
        <v>0</v>
      </c>
      <c r="E156" s="1187" t="n">
        <v>51491707</v>
      </c>
      <c r="F156" s="1187" t="n">
        <v>51263696</v>
      </c>
      <c r="G156" s="1187" t="n">
        <v>228011</v>
      </c>
      <c r="H156" s="1187" t="n">
        <v>0</v>
      </c>
    </row>
    <row r="157" ht="14.45" customHeight="1" s="1225">
      <c r="A157" s="1436" t="inlineStr">
        <is>
          <t>521200</t>
        </is>
      </c>
      <c r="B157" s="1436" t="inlineStr">
        <is>
          <t>BDU DEPENSES</t>
        </is>
      </c>
      <c r="C157" s="1187" t="n">
        <v>0</v>
      </c>
      <c r="D157" s="1187" t="n">
        <v>0</v>
      </c>
      <c r="E157" s="1187" t="n">
        <v>100000</v>
      </c>
      <c r="F157" s="1187" t="n">
        <v>129609</v>
      </c>
      <c r="G157" s="1187" t="n">
        <v>0</v>
      </c>
      <c r="H157" s="1187" t="n">
        <v>29609</v>
      </c>
    </row>
    <row r="158" ht="14.45" customHeight="1" s="1225">
      <c r="A158" s="1436" t="inlineStr">
        <is>
          <t>525000</t>
        </is>
      </c>
      <c r="B158" s="1436" t="inlineStr">
        <is>
          <t>BANQUES DEPOT A TERME</t>
        </is>
      </c>
      <c r="C158" s="1187" t="n">
        <v>700000000</v>
      </c>
      <c r="D158" s="1187" t="n">
        <v>0</v>
      </c>
      <c r="E158" s="1187" t="n">
        <v>0</v>
      </c>
      <c r="F158" s="1187" t="n">
        <v>700000000</v>
      </c>
      <c r="G158" s="1187" t="n">
        <v>0</v>
      </c>
      <c r="H158" s="1187" t="n">
        <v>0</v>
      </c>
    </row>
    <row r="159" ht="14.45" customHeight="1" s="1225">
      <c r="A159" s="1436" t="inlineStr">
        <is>
          <t>565000</t>
        </is>
      </c>
      <c r="B159" s="1436" t="inlineStr">
        <is>
          <t>ESCOMPTE DE CRÉDITS ORDINAIRES</t>
        </is>
      </c>
      <c r="C159" s="1187" t="n">
        <v>0</v>
      </c>
      <c r="D159" s="1187" t="n">
        <v>0</v>
      </c>
      <c r="E159" s="1187" t="n">
        <v>221650000</v>
      </c>
      <c r="F159" s="1187" t="n">
        <v>221650000</v>
      </c>
      <c r="G159" s="1187" t="n">
        <v>0</v>
      </c>
      <c r="H159" s="1187" t="n">
        <v>0</v>
      </c>
    </row>
    <row r="160" ht="14.45" customHeight="1" s="1225">
      <c r="A160" s="1436" t="inlineStr">
        <is>
          <t>585000</t>
        </is>
      </c>
      <c r="B160" s="1436" t="inlineStr">
        <is>
          <t>VIREMENTS DE FONDS</t>
        </is>
      </c>
      <c r="C160" s="1187" t="n">
        <v>0</v>
      </c>
      <c r="D160" s="1187" t="n">
        <v>0</v>
      </c>
      <c r="E160" s="1187" t="n">
        <v>27663690486</v>
      </c>
      <c r="F160" s="1187" t="n">
        <v>27663690486</v>
      </c>
      <c r="G160" s="1187" t="n">
        <v>0</v>
      </c>
      <c r="H160" s="1187" t="n">
        <v>0</v>
      </c>
    </row>
    <row r="161" ht="14.45" customHeight="1" s="1225">
      <c r="A161" s="1436" t="inlineStr">
        <is>
          <t>602101</t>
        </is>
      </c>
      <c r="B161" s="1436" t="inlineStr">
        <is>
          <t>ACHAT CLINKER</t>
        </is>
      </c>
      <c r="C161" s="1187" t="n">
        <v>0</v>
      </c>
      <c r="D161" s="1187" t="n">
        <v>0</v>
      </c>
      <c r="E161" s="1187" t="n">
        <v>8502800440</v>
      </c>
      <c r="F161" s="1187" t="n">
        <v>0</v>
      </c>
      <c r="G161" s="1187" t="n">
        <v>8502800440</v>
      </c>
      <c r="H161" s="1187" t="n">
        <v>0</v>
      </c>
    </row>
    <row r="162" ht="14.45" customHeight="1" s="1225">
      <c r="A162" s="1436" t="inlineStr">
        <is>
          <t>602103</t>
        </is>
      </c>
      <c r="B162" s="1436" t="inlineStr">
        <is>
          <t>ACHAT DE CALCAIRE</t>
        </is>
      </c>
      <c r="C162" s="1187" t="n">
        <v>0</v>
      </c>
      <c r="D162" s="1187" t="n">
        <v>0</v>
      </c>
      <c r="E162" s="1187" t="n">
        <v>308695205</v>
      </c>
      <c r="F162" s="1187" t="n">
        <v>0</v>
      </c>
      <c r="G162" s="1187" t="n">
        <v>308695205</v>
      </c>
      <c r="H162" s="1187" t="n">
        <v>0</v>
      </c>
    </row>
    <row r="163" ht="14.45" customHeight="1" s="1225">
      <c r="A163" s="1436" t="inlineStr">
        <is>
          <t>602500</t>
        </is>
      </c>
      <c r="B163" s="1436" t="inlineStr">
        <is>
          <t>Frais sur achats</t>
        </is>
      </c>
      <c r="C163" s="1187" t="n">
        <v>0</v>
      </c>
      <c r="D163" s="1187" t="n">
        <v>0</v>
      </c>
      <c r="E163" s="1187" t="n">
        <v>38658394</v>
      </c>
      <c r="F163" s="1187" t="n">
        <v>0</v>
      </c>
      <c r="G163" s="1187" t="n">
        <v>38658394</v>
      </c>
      <c r="H163" s="1187" t="n">
        <v>0</v>
      </c>
    </row>
    <row r="164" ht="14.45" customHeight="1" s="1225">
      <c r="A164" s="1436" t="inlineStr">
        <is>
          <t>602501</t>
        </is>
      </c>
      <c r="B164" s="1436" t="inlineStr">
        <is>
          <t>TRANSPORT CLINKER</t>
        </is>
      </c>
      <c r="C164" s="1187" t="n">
        <v>0</v>
      </c>
      <c r="D164" s="1187" t="n">
        <v>0</v>
      </c>
      <c r="E164" s="1187" t="n">
        <v>5133479257</v>
      </c>
      <c r="F164" s="1187" t="n">
        <v>2</v>
      </c>
      <c r="G164" s="1187" t="n">
        <v>5133479255</v>
      </c>
      <c r="H164" s="1187" t="n">
        <v>0</v>
      </c>
    </row>
    <row r="165" ht="14.45" customHeight="1" s="1225">
      <c r="A165" s="1436" t="inlineStr">
        <is>
          <t>602502</t>
        </is>
      </c>
      <c r="B165" s="1436" t="inlineStr">
        <is>
          <t>TRANSPORT GYPSE</t>
        </is>
      </c>
      <c r="C165" s="1187" t="n">
        <v>0</v>
      </c>
      <c r="D165" s="1187" t="n">
        <v>0</v>
      </c>
      <c r="E165" s="1187" t="n">
        <v>306491519</v>
      </c>
      <c r="F165" s="1187" t="n">
        <v>0</v>
      </c>
      <c r="G165" s="1187" t="n">
        <v>306491519</v>
      </c>
      <c r="H165" s="1187" t="n">
        <v>0</v>
      </c>
    </row>
    <row r="166" ht="14.45" customHeight="1" s="1225">
      <c r="A166" s="1436" t="inlineStr">
        <is>
          <t>602504</t>
        </is>
      </c>
      <c r="B166" s="1436" t="inlineStr">
        <is>
          <t>TRANSPORT CALCAIRE</t>
        </is>
      </c>
      <c r="C166" s="1187" t="n">
        <v>0</v>
      </c>
      <c r="D166" s="1187" t="n">
        <v>0</v>
      </c>
      <c r="E166" s="1187" t="n">
        <v>398150020</v>
      </c>
      <c r="F166" s="1187" t="n">
        <v>0</v>
      </c>
      <c r="G166" s="1187" t="n">
        <v>398150020</v>
      </c>
      <c r="H166" s="1187" t="n">
        <v>0</v>
      </c>
    </row>
    <row r="167" ht="14.45" customHeight="1" s="1225">
      <c r="A167" s="1436" t="inlineStr">
        <is>
          <t>602505</t>
        </is>
      </c>
      <c r="B167" s="1436" t="inlineStr">
        <is>
          <t>TRANSIT CLINKER</t>
        </is>
      </c>
      <c r="C167" s="1187" t="n">
        <v>0</v>
      </c>
      <c r="D167" s="1187" t="n">
        <v>0</v>
      </c>
      <c r="E167" s="1187" t="n">
        <v>1316436928</v>
      </c>
      <c r="F167" s="1187" t="n">
        <v>0</v>
      </c>
      <c r="G167" s="1187" t="n">
        <v>1316436928</v>
      </c>
      <c r="H167" s="1187" t="n">
        <v>0</v>
      </c>
    </row>
    <row r="168" ht="14.45" customHeight="1" s="1225">
      <c r="A168" s="1436" t="inlineStr">
        <is>
          <t>602506</t>
        </is>
      </c>
      <c r="B168" s="1436" t="inlineStr">
        <is>
          <t>TRANSIT GYPSE</t>
        </is>
      </c>
      <c r="C168" s="1187" t="n">
        <v>0</v>
      </c>
      <c r="D168" s="1187" t="n">
        <v>0</v>
      </c>
      <c r="E168" s="1187" t="n">
        <v>116191078</v>
      </c>
      <c r="F168" s="1187" t="n">
        <v>0</v>
      </c>
      <c r="G168" s="1187" t="n">
        <v>116191078</v>
      </c>
      <c r="H168" s="1187" t="n">
        <v>0</v>
      </c>
    </row>
    <row r="169" ht="14.45" customHeight="1" s="1225">
      <c r="A169" s="1436" t="inlineStr">
        <is>
          <t>602507</t>
        </is>
      </c>
      <c r="B169" s="1436" t="inlineStr">
        <is>
          <t>AUTRES FRAIS MAT 1ERS</t>
        </is>
      </c>
      <c r="C169" s="1187" t="n">
        <v>0</v>
      </c>
      <c r="D169" s="1187" t="n">
        <v>0</v>
      </c>
      <c r="E169" s="1187" t="n">
        <v>312178549</v>
      </c>
      <c r="F169" s="1187" t="n">
        <v>0</v>
      </c>
      <c r="G169" s="1187" t="n">
        <v>312178549</v>
      </c>
      <c r="H169" s="1187" t="n">
        <v>0</v>
      </c>
    </row>
    <row r="170" ht="14.45" customHeight="1" s="1225">
      <c r="A170" s="1436" t="inlineStr">
        <is>
          <t>602508</t>
        </is>
      </c>
      <c r="B170" s="1436" t="inlineStr">
        <is>
          <t>ASSURANCE SUR CLINKER</t>
        </is>
      </c>
      <c r="C170" s="1187" t="n">
        <v>0</v>
      </c>
      <c r="D170" s="1187" t="n">
        <v>0</v>
      </c>
      <c r="E170" s="1187" t="n">
        <v>9359375</v>
      </c>
      <c r="F170" s="1187" t="n">
        <v>0</v>
      </c>
      <c r="G170" s="1187" t="n">
        <v>9359375</v>
      </c>
      <c r="H170" s="1187" t="n">
        <v>0</v>
      </c>
    </row>
    <row r="171" ht="14.45" customHeight="1" s="1225">
      <c r="A171" s="1436" t="inlineStr">
        <is>
          <t>603201</t>
        </is>
      </c>
      <c r="B171" s="1436" t="inlineStr">
        <is>
          <t>VARIATION STOCK CLINKER</t>
        </is>
      </c>
      <c r="C171" s="1187" t="n">
        <v>0</v>
      </c>
      <c r="D171" s="1187" t="n">
        <v>0</v>
      </c>
      <c r="E171" s="1187" t="n">
        <v>0</v>
      </c>
      <c r="F171" s="1187" t="n">
        <v>4171528799</v>
      </c>
      <c r="G171" s="1187" t="n">
        <v>0</v>
      </c>
      <c r="H171" s="1187" t="n">
        <v>4171528799</v>
      </c>
    </row>
    <row r="172" ht="14.45" customHeight="1" s="1225">
      <c r="A172" s="1436" t="inlineStr">
        <is>
          <t>603220</t>
        </is>
      </c>
      <c r="B172" s="1436" t="inlineStr">
        <is>
          <t>VARIAT° STOCK GYPSE</t>
        </is>
      </c>
      <c r="C172" s="1187" t="n">
        <v>0</v>
      </c>
      <c r="D172" s="1187" t="n">
        <v>0</v>
      </c>
      <c r="E172" s="1187" t="n">
        <v>0</v>
      </c>
      <c r="F172" s="1187" t="n">
        <v>812728654</v>
      </c>
      <c r="G172" s="1187" t="n">
        <v>0</v>
      </c>
      <c r="H172" s="1187" t="n">
        <v>812728654</v>
      </c>
    </row>
    <row r="173" ht="14.45" customHeight="1" s="1225">
      <c r="A173" s="1436" t="inlineStr">
        <is>
          <t>603230</t>
        </is>
      </c>
      <c r="B173" s="1436" t="inlineStr">
        <is>
          <t>VARIAT° STOCK CALCAIRE</t>
        </is>
      </c>
      <c r="C173" s="1187" t="n">
        <v>0</v>
      </c>
      <c r="D173" s="1187" t="n">
        <v>0</v>
      </c>
      <c r="E173" s="1187" t="n">
        <v>22651650</v>
      </c>
      <c r="F173" s="1187" t="n">
        <v>37596168</v>
      </c>
      <c r="G173" s="1187" t="n">
        <v>0</v>
      </c>
      <c r="H173" s="1187" t="n">
        <v>14944518</v>
      </c>
    </row>
    <row r="174" ht="14.45" customHeight="1" s="1225">
      <c r="A174" s="1436" t="inlineStr">
        <is>
          <t>603240</t>
        </is>
      </c>
      <c r="B174" s="1436" t="inlineStr">
        <is>
          <t>VARIAT° STOCK SACS VIDES</t>
        </is>
      </c>
      <c r="C174" s="1187" t="n">
        <v>0</v>
      </c>
      <c r="D174" s="1187" t="n">
        <v>0</v>
      </c>
      <c r="E174" s="1187" t="n">
        <v>0</v>
      </c>
      <c r="F174" s="1187" t="n">
        <v>166973440</v>
      </c>
      <c r="G174" s="1187" t="n">
        <v>0</v>
      </c>
      <c r="H174" s="1187" t="n">
        <v>166973440</v>
      </c>
    </row>
    <row r="175" ht="14.45" customHeight="1" s="1225">
      <c r="A175" s="1436" t="inlineStr">
        <is>
          <t>603250</t>
        </is>
      </c>
      <c r="B175" s="1436" t="inlineStr">
        <is>
          <t>VARIAT° STOCK DDO/GASOIL</t>
        </is>
      </c>
      <c r="C175" s="1187" t="n">
        <v>0</v>
      </c>
      <c r="D175" s="1187" t="n">
        <v>0</v>
      </c>
      <c r="E175" s="1187" t="n">
        <v>0</v>
      </c>
      <c r="F175" s="1187" t="n">
        <v>15822000</v>
      </c>
      <c r="G175" s="1187" t="n">
        <v>0</v>
      </c>
      <c r="H175" s="1187" t="n">
        <v>15822000</v>
      </c>
    </row>
    <row r="176" ht="14.45" customHeight="1" s="1225">
      <c r="A176" s="1436" t="inlineStr">
        <is>
          <t>603300</t>
        </is>
      </c>
      <c r="B176" s="1436" t="inlineStr">
        <is>
          <t>Variations des stocks d'autres</t>
        </is>
      </c>
      <c r="C176" s="1187" t="n">
        <v>0</v>
      </c>
      <c r="D176" s="1187" t="n">
        <v>0</v>
      </c>
      <c r="E176" s="1187" t="n">
        <v>175899812</v>
      </c>
      <c r="F176" s="1187" t="n">
        <v>0</v>
      </c>
      <c r="G176" s="1187" t="n">
        <v>175899812</v>
      </c>
      <c r="H176" s="1187" t="n">
        <v>0</v>
      </c>
    </row>
    <row r="177" ht="14.45" customHeight="1" s="1225">
      <c r="A177" s="1436" t="inlineStr">
        <is>
          <t>603381</t>
        </is>
      </c>
      <c r="B177" s="1436" t="inlineStr">
        <is>
          <t>VARIAT DE STOCKS DE PIECES REC</t>
        </is>
      </c>
      <c r="C177" s="1187" t="n">
        <v>0</v>
      </c>
      <c r="D177" s="1187" t="n">
        <v>0</v>
      </c>
      <c r="E177" s="1187" t="n">
        <v>0</v>
      </c>
      <c r="F177" s="1187" t="n">
        <v>194278580</v>
      </c>
      <c r="G177" s="1187" t="n">
        <v>0</v>
      </c>
      <c r="H177" s="1187" t="n">
        <v>194278580</v>
      </c>
    </row>
    <row r="178" ht="14.45" customHeight="1" s="1225">
      <c r="A178" s="1436" t="inlineStr">
        <is>
          <t>603382</t>
        </is>
      </c>
      <c r="B178" s="1436" t="inlineStr">
        <is>
          <t>VARIAT° STOCK GYPSE EN COURS</t>
        </is>
      </c>
      <c r="C178" s="1187" t="n">
        <v>0</v>
      </c>
      <c r="D178" s="1187" t="n">
        <v>0</v>
      </c>
      <c r="E178" s="1187" t="n">
        <v>1636110170</v>
      </c>
      <c r="F178" s="1187" t="n">
        <v>0</v>
      </c>
      <c r="G178" s="1187" t="n">
        <v>1636110170</v>
      </c>
      <c r="H178" s="1187" t="n">
        <v>0</v>
      </c>
    </row>
    <row r="179" ht="14.45" customHeight="1" s="1225">
      <c r="A179" s="1436" t="inlineStr">
        <is>
          <t>603383</t>
        </is>
      </c>
      <c r="B179" s="1436" t="inlineStr">
        <is>
          <t>VARIAT° STOCK CLINKER EN COURS</t>
        </is>
      </c>
      <c r="C179" s="1187" t="n">
        <v>0</v>
      </c>
      <c r="D179" s="1187" t="n">
        <v>0</v>
      </c>
      <c r="E179" s="1187" t="n">
        <v>2507850429</v>
      </c>
      <c r="F179" s="1187" t="n">
        <v>0</v>
      </c>
      <c r="G179" s="1187" t="n">
        <v>2507850429</v>
      </c>
      <c r="H179" s="1187" t="n">
        <v>0</v>
      </c>
    </row>
    <row r="180" ht="14.45" customHeight="1" s="1225">
      <c r="A180" s="1436" t="inlineStr">
        <is>
          <t>604300</t>
        </is>
      </c>
      <c r="B180" s="1436" t="inlineStr">
        <is>
          <t>Produits d'entretien</t>
        </is>
      </c>
      <c r="C180" s="1187" t="n">
        <v>0</v>
      </c>
      <c r="D180" s="1187" t="n">
        <v>0</v>
      </c>
      <c r="E180" s="1187" t="n">
        <v>140000</v>
      </c>
      <c r="F180" s="1187" t="n">
        <v>0</v>
      </c>
      <c r="G180" s="1187" t="n">
        <v>140000</v>
      </c>
      <c r="H180" s="1187" t="n">
        <v>0</v>
      </c>
    </row>
    <row r="181" ht="14.45" customHeight="1" s="1225">
      <c r="A181" s="1436" t="inlineStr">
        <is>
          <t>604400</t>
        </is>
      </c>
      <c r="B181" s="1436" t="inlineStr">
        <is>
          <t>Fournitures d'atelier et d'usi</t>
        </is>
      </c>
      <c r="C181" s="1187" t="n">
        <v>0</v>
      </c>
      <c r="D181" s="1187" t="n">
        <v>0</v>
      </c>
      <c r="E181" s="1187" t="n">
        <v>20337035</v>
      </c>
      <c r="F181" s="1187" t="n">
        <v>0</v>
      </c>
      <c r="G181" s="1187" t="n">
        <v>20337035</v>
      </c>
      <c r="H181" s="1187" t="n">
        <v>0</v>
      </c>
    </row>
    <row r="182" ht="14.45" customHeight="1" s="1225">
      <c r="A182" s="1436" t="inlineStr">
        <is>
          <t>604401</t>
        </is>
      </c>
      <c r="B182" s="1436" t="inlineStr">
        <is>
          <t>MATERIEL DE PROTECTION</t>
        </is>
      </c>
      <c r="C182" s="1187" t="n">
        <v>0</v>
      </c>
      <c r="D182" s="1187" t="n">
        <v>0</v>
      </c>
      <c r="E182" s="1187" t="n">
        <v>5071000</v>
      </c>
      <c r="F182" s="1187" t="n">
        <v>0</v>
      </c>
      <c r="G182" s="1187" t="n">
        <v>5071000</v>
      </c>
      <c r="H182" s="1187" t="n">
        <v>0</v>
      </c>
    </row>
    <row r="183" ht="14.45" customHeight="1" s="1225">
      <c r="A183" s="1436" t="inlineStr">
        <is>
          <t>604402</t>
        </is>
      </c>
      <c r="B183" s="1436" t="inlineStr">
        <is>
          <t>PRODUITS DE LABORATOIRE</t>
        </is>
      </c>
      <c r="C183" s="1187" t="n">
        <v>0</v>
      </c>
      <c r="D183" s="1187" t="n">
        <v>0</v>
      </c>
      <c r="E183" s="1187" t="n">
        <v>1694820</v>
      </c>
      <c r="F183" s="1187" t="n">
        <v>0</v>
      </c>
      <c r="G183" s="1187" t="n">
        <v>1694820</v>
      </c>
      <c r="H183" s="1187" t="n">
        <v>0</v>
      </c>
    </row>
    <row r="184" ht="14.45" customHeight="1" s="1225">
      <c r="A184" s="1436" t="inlineStr">
        <is>
          <t>604502</t>
        </is>
      </c>
      <c r="B184" s="1436" t="inlineStr">
        <is>
          <t>DROITS DE DOUANES AUTRES ACHAT</t>
        </is>
      </c>
      <c r="C184" s="1187" t="n">
        <v>0</v>
      </c>
      <c r="D184" s="1187" t="n">
        <v>0</v>
      </c>
      <c r="E184" s="1187" t="n">
        <v>3334564</v>
      </c>
      <c r="F184" s="1187" t="n">
        <v>0</v>
      </c>
      <c r="G184" s="1187" t="n">
        <v>3334564</v>
      </c>
      <c r="H184" s="1187" t="n">
        <v>0</v>
      </c>
    </row>
    <row r="185" ht="14.45" customHeight="1" s="1225">
      <c r="A185" s="1436" t="inlineStr">
        <is>
          <t>604503</t>
        </is>
      </c>
      <c r="B185" s="1436" t="inlineStr">
        <is>
          <t>ASSURANCE AUTRES ACHATS</t>
        </is>
      </c>
      <c r="C185" s="1187" t="n">
        <v>0</v>
      </c>
      <c r="D185" s="1187" t="n">
        <v>0</v>
      </c>
      <c r="E185" s="1187" t="n">
        <v>3257006</v>
      </c>
      <c r="F185" s="1187" t="n">
        <v>0</v>
      </c>
      <c r="G185" s="1187" t="n">
        <v>3257006</v>
      </c>
      <c r="H185" s="1187" t="n">
        <v>0</v>
      </c>
    </row>
    <row r="186" ht="14.45" customHeight="1" s="1225">
      <c r="A186" s="1436" t="inlineStr">
        <is>
          <t>604700</t>
        </is>
      </c>
      <c r="B186" s="1436" t="inlineStr">
        <is>
          <t>Fournitures de bureau</t>
        </is>
      </c>
      <c r="C186" s="1187" t="n">
        <v>0</v>
      </c>
      <c r="D186" s="1187" t="n">
        <v>0</v>
      </c>
      <c r="E186" s="1187" t="n">
        <v>9379308</v>
      </c>
      <c r="F186" s="1187" t="n">
        <v>0</v>
      </c>
      <c r="G186" s="1187" t="n">
        <v>9379308</v>
      </c>
      <c r="H186" s="1187" t="n">
        <v>0</v>
      </c>
    </row>
    <row r="187" ht="14.45" customHeight="1" s="1225">
      <c r="A187" s="1436" t="inlineStr">
        <is>
          <t>605100</t>
        </is>
      </c>
      <c r="B187" s="1436" t="inlineStr">
        <is>
          <t>EAU</t>
        </is>
      </c>
      <c r="C187" s="1187" t="n">
        <v>0</v>
      </c>
      <c r="D187" s="1187" t="n">
        <v>0</v>
      </c>
      <c r="E187" s="1187" t="n">
        <v>19434165</v>
      </c>
      <c r="F187" s="1187" t="n">
        <v>0</v>
      </c>
      <c r="G187" s="1187" t="n">
        <v>19434165</v>
      </c>
      <c r="H187" s="1187" t="n">
        <v>0</v>
      </c>
    </row>
    <row r="188" ht="14.45" customHeight="1" s="1225">
      <c r="A188" s="1436" t="inlineStr">
        <is>
          <t>605101</t>
        </is>
      </c>
      <c r="B188" s="1436" t="inlineStr">
        <is>
          <t>EAU DISTILLEE</t>
        </is>
      </c>
      <c r="C188" s="1187" t="n">
        <v>0</v>
      </c>
      <c r="D188" s="1187" t="n">
        <v>0</v>
      </c>
      <c r="E188" s="1187" t="n">
        <v>569352</v>
      </c>
      <c r="F188" s="1187" t="n">
        <v>0</v>
      </c>
      <c r="G188" s="1187" t="n">
        <v>569352</v>
      </c>
      <c r="H188" s="1187" t="n">
        <v>0</v>
      </c>
    </row>
    <row r="189" ht="14.45" customHeight="1" s="1225">
      <c r="A189" s="1436" t="inlineStr">
        <is>
          <t>605200</t>
        </is>
      </c>
      <c r="B189" s="1436" t="inlineStr">
        <is>
          <t>ELECTRICITE</t>
        </is>
      </c>
      <c r="C189" s="1187" t="n">
        <v>0</v>
      </c>
      <c r="D189" s="1187" t="n">
        <v>0</v>
      </c>
      <c r="E189" s="1187" t="n">
        <v>730502210</v>
      </c>
      <c r="F189" s="1187" t="n">
        <v>0</v>
      </c>
      <c r="G189" s="1187" t="n">
        <v>730502210</v>
      </c>
      <c r="H189" s="1187" t="n">
        <v>0</v>
      </c>
    </row>
    <row r="190" ht="14.45" customHeight="1" s="1225">
      <c r="A190" s="1436" t="inlineStr">
        <is>
          <t>605300</t>
        </is>
      </c>
      <c r="B190" s="1436" t="inlineStr">
        <is>
          <t>CARBURANT -DDO USINE</t>
        </is>
      </c>
      <c r="C190" s="1187" t="n">
        <v>0</v>
      </c>
      <c r="D190" s="1187" t="n">
        <v>0</v>
      </c>
      <c r="E190" s="1187" t="n">
        <v>287983320</v>
      </c>
      <c r="F190" s="1187" t="n">
        <v>14850000</v>
      </c>
      <c r="G190" s="1187" t="n">
        <v>273133320</v>
      </c>
      <c r="H190" s="1187" t="n">
        <v>0</v>
      </c>
    </row>
    <row r="191" ht="14.45" customHeight="1" s="1225">
      <c r="A191" s="1436" t="inlineStr">
        <is>
          <t>605301</t>
        </is>
      </c>
      <c r="B191" s="1436" t="inlineStr">
        <is>
          <t>CARBURANT -TRANSPORTEURS</t>
        </is>
      </c>
      <c r="C191" s="1187" t="n">
        <v>0</v>
      </c>
      <c r="D191" s="1187" t="n">
        <v>0</v>
      </c>
      <c r="E191" s="1187" t="n">
        <v>1105128376</v>
      </c>
      <c r="F191" s="1187" t="n">
        <v>0</v>
      </c>
      <c r="G191" s="1187" t="n">
        <v>1105128376</v>
      </c>
      <c r="H191" s="1187" t="n">
        <v>0</v>
      </c>
    </row>
    <row r="192" ht="14.45" customHeight="1" s="1225">
      <c r="A192" s="1436" t="inlineStr">
        <is>
          <t>605310</t>
        </is>
      </c>
      <c r="B192" s="1436" t="inlineStr">
        <is>
          <t>CARBURANT- VEHICULE DE SERVICE</t>
        </is>
      </c>
      <c r="C192" s="1187" t="n">
        <v>0</v>
      </c>
      <c r="D192" s="1187" t="n">
        <v>0</v>
      </c>
      <c r="E192" s="1187" t="n">
        <v>23738549</v>
      </c>
      <c r="F192" s="1187" t="n">
        <v>0</v>
      </c>
      <c r="G192" s="1187" t="n">
        <v>23738549</v>
      </c>
      <c r="H192" s="1187" t="n">
        <v>0</v>
      </c>
    </row>
    <row r="193" ht="14.45" customHeight="1" s="1225">
      <c r="A193" s="1436" t="inlineStr">
        <is>
          <t>605311</t>
        </is>
      </c>
      <c r="B193" s="1436" t="inlineStr">
        <is>
          <t>CARBURANT-ESSENCE DOTATIONS</t>
        </is>
      </c>
      <c r="C193" s="1187" t="n">
        <v>0</v>
      </c>
      <c r="D193" s="1187" t="n">
        <v>0</v>
      </c>
      <c r="E193" s="1187" t="n">
        <v>5361067</v>
      </c>
      <c r="F193" s="1187" t="n">
        <v>0</v>
      </c>
      <c r="G193" s="1187" t="n">
        <v>5361067</v>
      </c>
      <c r="H193" s="1187" t="n">
        <v>0</v>
      </c>
    </row>
    <row r="194" ht="14.45" customHeight="1" s="1225">
      <c r="A194" s="1436" t="inlineStr">
        <is>
          <t>605320</t>
        </is>
      </c>
      <c r="B194" s="1436" t="inlineStr">
        <is>
          <t>LUBRIFIANTS</t>
        </is>
      </c>
      <c r="C194" s="1187" t="n">
        <v>0</v>
      </c>
      <c r="D194" s="1187" t="n">
        <v>0</v>
      </c>
      <c r="E194" s="1187" t="n">
        <v>15914949</v>
      </c>
      <c r="F194" s="1187" t="n">
        <v>0</v>
      </c>
      <c r="G194" s="1187" t="n">
        <v>15914949</v>
      </c>
      <c r="H194" s="1187" t="n">
        <v>0</v>
      </c>
    </row>
    <row r="195" ht="14.45" customHeight="1" s="1225">
      <c r="A195" s="1436" t="inlineStr">
        <is>
          <t>605400</t>
        </is>
      </c>
      <c r="B195" s="1436" t="inlineStr">
        <is>
          <t>PRODUITS D'ENTRETIEN</t>
        </is>
      </c>
      <c r="C195" s="1187" t="n">
        <v>0</v>
      </c>
      <c r="D195" s="1187" t="n">
        <v>0</v>
      </c>
      <c r="E195" s="1187" t="n">
        <v>2332767</v>
      </c>
      <c r="F195" s="1187" t="n">
        <v>0</v>
      </c>
      <c r="G195" s="1187" t="n">
        <v>2332767</v>
      </c>
      <c r="H195" s="1187" t="n">
        <v>0</v>
      </c>
    </row>
    <row r="196" ht="14.45" customHeight="1" s="1225">
      <c r="A196" s="1436" t="inlineStr">
        <is>
          <t>605500</t>
        </is>
      </c>
      <c r="B196" s="1436" t="inlineStr">
        <is>
          <t>FOURNITURES DE BUREAU</t>
        </is>
      </c>
      <c r="C196" s="1187" t="n">
        <v>0</v>
      </c>
      <c r="D196" s="1187" t="n">
        <v>0</v>
      </c>
      <c r="E196" s="1187" t="n">
        <v>37302500</v>
      </c>
      <c r="F196" s="1187" t="n">
        <v>0</v>
      </c>
      <c r="G196" s="1187" t="n">
        <v>37302500</v>
      </c>
      <c r="H196" s="1187" t="n">
        <v>0</v>
      </c>
    </row>
    <row r="197" ht="14.45" customHeight="1" s="1225">
      <c r="A197" s="1436" t="inlineStr">
        <is>
          <t>605600</t>
        </is>
      </c>
      <c r="B197" s="1436" t="inlineStr">
        <is>
          <t>Achats de petit matériel et ou</t>
        </is>
      </c>
      <c r="C197" s="1187" t="n">
        <v>0</v>
      </c>
      <c r="D197" s="1187" t="n">
        <v>0</v>
      </c>
      <c r="E197" s="1187" t="n">
        <v>28787852</v>
      </c>
      <c r="F197" s="1187" t="n">
        <v>0</v>
      </c>
      <c r="G197" s="1187" t="n">
        <v>28787852</v>
      </c>
      <c r="H197" s="1187" t="n">
        <v>0</v>
      </c>
    </row>
    <row r="198" ht="14.45" customHeight="1" s="1225">
      <c r="A198" s="1436" t="inlineStr">
        <is>
          <t>605700</t>
        </is>
      </c>
      <c r="B198" s="1436" t="inlineStr">
        <is>
          <t>Achats d'études et prestations</t>
        </is>
      </c>
      <c r="C198" s="1187" t="n">
        <v>0</v>
      </c>
      <c r="D198" s="1187" t="n">
        <v>0</v>
      </c>
      <c r="E198" s="1187" t="n">
        <v>129476092</v>
      </c>
      <c r="F198" s="1187" t="n">
        <v>73970240</v>
      </c>
      <c r="G198" s="1187" t="n">
        <v>55505852</v>
      </c>
      <c r="H198" s="1187" t="n">
        <v>0</v>
      </c>
    </row>
    <row r="199" ht="14.45" customHeight="1" s="1225">
      <c r="A199" s="1436" t="inlineStr">
        <is>
          <t>605800</t>
        </is>
      </c>
      <c r="B199" s="1436" t="inlineStr">
        <is>
          <t>Achats de travaux, matériels e</t>
        </is>
      </c>
      <c r="C199" s="1187" t="n">
        <v>0</v>
      </c>
      <c r="D199" s="1187" t="n">
        <v>0</v>
      </c>
      <c r="E199" s="1187" t="n">
        <v>799405975</v>
      </c>
      <c r="F199" s="1187" t="n">
        <v>0</v>
      </c>
      <c r="G199" s="1187" t="n">
        <v>799405975</v>
      </c>
      <c r="H199" s="1187" t="n">
        <v>0</v>
      </c>
    </row>
    <row r="200" ht="14.45" customHeight="1" s="1225">
      <c r="A200" s="1436" t="inlineStr">
        <is>
          <t>608100</t>
        </is>
      </c>
      <c r="B200" s="1436" t="inlineStr">
        <is>
          <t>ACHAT SACS VIDES</t>
        </is>
      </c>
      <c r="C200" s="1187" t="n">
        <v>0</v>
      </c>
      <c r="D200" s="1187" t="n">
        <v>0</v>
      </c>
      <c r="E200" s="1187" t="n">
        <v>1129513714</v>
      </c>
      <c r="F200" s="1187" t="n">
        <v>0</v>
      </c>
      <c r="G200" s="1187" t="n">
        <v>1129513714</v>
      </c>
      <c r="H200" s="1187" t="n">
        <v>0</v>
      </c>
    </row>
    <row r="201" ht="14.45" customHeight="1" s="1225">
      <c r="A201" s="1436" t="inlineStr">
        <is>
          <t>608501</t>
        </is>
      </c>
      <c r="B201" s="1436" t="inlineStr">
        <is>
          <t>TRANSIT SACS VIDES</t>
        </is>
      </c>
      <c r="C201" s="1187" t="n">
        <v>0</v>
      </c>
      <c r="D201" s="1187" t="n">
        <v>0</v>
      </c>
      <c r="E201" s="1187" t="n">
        <v>51361966</v>
      </c>
      <c r="F201" s="1187" t="n">
        <v>0</v>
      </c>
      <c r="G201" s="1187" t="n">
        <v>51361966</v>
      </c>
      <c r="H201" s="1187" t="n">
        <v>0</v>
      </c>
    </row>
    <row r="202" ht="14.45" customHeight="1" s="1225">
      <c r="A202" s="1436" t="inlineStr">
        <is>
          <t>612000</t>
        </is>
      </c>
      <c r="B202" s="1436" t="inlineStr">
        <is>
          <t>TRANSPORTS SUR VENTES</t>
        </is>
      </c>
      <c r="C202" s="1187" t="n">
        <v>0</v>
      </c>
      <c r="D202" s="1187" t="n">
        <v>0</v>
      </c>
      <c r="E202" s="1187" t="n">
        <v>1009293540</v>
      </c>
      <c r="F202" s="1187" t="n">
        <v>0</v>
      </c>
      <c r="G202" s="1187" t="n">
        <v>1009293540</v>
      </c>
      <c r="H202" s="1187" t="n">
        <v>0</v>
      </c>
    </row>
    <row r="203" ht="14.45" customHeight="1" s="1225">
      <c r="A203" s="1436" t="inlineStr">
        <is>
          <t>616000</t>
        </is>
      </c>
      <c r="B203" s="1436" t="inlineStr">
        <is>
          <t>TRANSPORTS DE PLIS</t>
        </is>
      </c>
      <c r="C203" s="1187" t="n">
        <v>0</v>
      </c>
      <c r="D203" s="1187" t="n">
        <v>0</v>
      </c>
      <c r="E203" s="1187" t="n">
        <v>483400</v>
      </c>
      <c r="F203" s="1187" t="n">
        <v>0</v>
      </c>
      <c r="G203" s="1187" t="n">
        <v>483400</v>
      </c>
      <c r="H203" s="1187" t="n">
        <v>0</v>
      </c>
    </row>
    <row r="204" ht="14.45" customHeight="1" s="1225">
      <c r="A204" s="1436" t="inlineStr">
        <is>
          <t>618000</t>
        </is>
      </c>
      <c r="B204" s="1436" t="inlineStr">
        <is>
          <t>AUTRES FRAIS DE TRANSPORT</t>
        </is>
      </c>
      <c r="C204" s="1187" t="n">
        <v>0</v>
      </c>
      <c r="D204" s="1187" t="n">
        <v>0</v>
      </c>
      <c r="E204" s="1187" t="n">
        <v>10215000</v>
      </c>
      <c r="F204" s="1187" t="n">
        <v>0</v>
      </c>
      <c r="G204" s="1187" t="n">
        <v>10215000</v>
      </c>
      <c r="H204" s="1187" t="n">
        <v>0</v>
      </c>
    </row>
    <row r="205" ht="14.45" customHeight="1" s="1225">
      <c r="A205" s="1436" t="inlineStr">
        <is>
          <t>618100</t>
        </is>
      </c>
      <c r="B205" s="1436" t="inlineStr">
        <is>
          <t>Voyages et déplacements</t>
        </is>
      </c>
      <c r="C205" s="1187" t="n">
        <v>0</v>
      </c>
      <c r="D205" s="1187" t="n">
        <v>0</v>
      </c>
      <c r="E205" s="1187" t="n">
        <v>37800900</v>
      </c>
      <c r="F205" s="1187" t="n">
        <v>0</v>
      </c>
      <c r="G205" s="1187" t="n">
        <v>37800900</v>
      </c>
      <c r="H205" s="1187" t="n">
        <v>0</v>
      </c>
    </row>
    <row r="206" ht="14.45" customHeight="1" s="1225">
      <c r="A206" s="1436" t="inlineStr">
        <is>
          <t>622100</t>
        </is>
      </c>
      <c r="B206" s="1436" t="inlineStr">
        <is>
          <t>Locations de terrains</t>
        </is>
      </c>
      <c r="C206" s="1187" t="n">
        <v>0</v>
      </c>
      <c r="D206" s="1187" t="n">
        <v>0</v>
      </c>
      <c r="E206" s="1187" t="n">
        <v>71376424</v>
      </c>
      <c r="F206" s="1187" t="n">
        <v>0</v>
      </c>
      <c r="G206" s="1187" t="n">
        <v>71376424</v>
      </c>
      <c r="H206" s="1187" t="n">
        <v>0</v>
      </c>
    </row>
    <row r="207" ht="14.45" customHeight="1" s="1225">
      <c r="A207" s="1436" t="inlineStr">
        <is>
          <t>622200</t>
        </is>
      </c>
      <c r="B207" s="1436" t="inlineStr">
        <is>
          <t>Locations de bâtiments</t>
        </is>
      </c>
      <c r="C207" s="1187" t="n">
        <v>0</v>
      </c>
      <c r="D207" s="1187" t="n">
        <v>0</v>
      </c>
      <c r="E207" s="1187" t="n">
        <v>12231500</v>
      </c>
      <c r="F207" s="1187" t="n">
        <v>326375</v>
      </c>
      <c r="G207" s="1187" t="n">
        <v>11905125</v>
      </c>
      <c r="H207" s="1187" t="n">
        <v>0</v>
      </c>
    </row>
    <row r="208" ht="14.45" customHeight="1" s="1225">
      <c r="A208" s="1436" t="inlineStr">
        <is>
          <t>622300</t>
        </is>
      </c>
      <c r="B208" s="1436" t="inlineStr">
        <is>
          <t>Locations de matériels et outi</t>
        </is>
      </c>
      <c r="C208" s="1187" t="n">
        <v>0</v>
      </c>
      <c r="D208" s="1187" t="n">
        <v>0</v>
      </c>
      <c r="E208" s="1187" t="n">
        <v>289365251</v>
      </c>
      <c r="F208" s="1187" t="n">
        <v>0</v>
      </c>
      <c r="G208" s="1187" t="n">
        <v>289365251</v>
      </c>
      <c r="H208" s="1187" t="n">
        <v>0</v>
      </c>
    </row>
    <row r="209" ht="14.45" customHeight="1" s="1225">
      <c r="A209" s="1436" t="inlineStr">
        <is>
          <t>622301</t>
        </is>
      </c>
      <c r="B209" s="1436" t="inlineStr">
        <is>
          <t>LOCATION DE CHARGEUR</t>
        </is>
      </c>
      <c r="C209" s="1187" t="n">
        <v>0</v>
      </c>
      <c r="D209" s="1187" t="n">
        <v>0</v>
      </c>
      <c r="E209" s="1187" t="n">
        <v>57264800</v>
      </c>
      <c r="F209" s="1187" t="n">
        <v>0</v>
      </c>
      <c r="G209" s="1187" t="n">
        <v>57264800</v>
      </c>
      <c r="H209" s="1187" t="n">
        <v>0</v>
      </c>
    </row>
    <row r="210" ht="14.45" customHeight="1" s="1225">
      <c r="A210" s="1436" t="inlineStr">
        <is>
          <t>622302</t>
        </is>
      </c>
      <c r="B210" s="1436" t="inlineStr">
        <is>
          <t>LOCATION VEHICULE INDUSTRIEL</t>
        </is>
      </c>
      <c r="C210" s="1187" t="n">
        <v>0</v>
      </c>
      <c r="D210" s="1187" t="n">
        <v>0</v>
      </c>
      <c r="E210" s="1187" t="n">
        <v>200000</v>
      </c>
      <c r="F210" s="1187" t="n">
        <v>0</v>
      </c>
      <c r="G210" s="1187" t="n">
        <v>200000</v>
      </c>
      <c r="H210" s="1187" t="n">
        <v>0</v>
      </c>
    </row>
    <row r="211" ht="14.45" customHeight="1" s="1225">
      <c r="A211" s="1436" t="inlineStr">
        <is>
          <t>624100</t>
        </is>
      </c>
      <c r="B211" s="1436" t="inlineStr">
        <is>
          <t>ENTRETIEN ET REPAR BIENS IMMOS</t>
        </is>
      </c>
      <c r="C211" s="1187" t="n">
        <v>0</v>
      </c>
      <c r="D211" s="1187" t="n">
        <v>0</v>
      </c>
      <c r="E211" s="1187" t="n">
        <v>41291009</v>
      </c>
      <c r="F211" s="1187" t="n">
        <v>0</v>
      </c>
      <c r="G211" s="1187" t="n">
        <v>41291009</v>
      </c>
      <c r="H211" s="1187" t="n">
        <v>0</v>
      </c>
    </row>
    <row r="212" ht="14.45" customHeight="1" s="1225">
      <c r="A212" s="1436" t="inlineStr">
        <is>
          <t>624101</t>
        </is>
      </c>
      <c r="B212" s="1436" t="inlineStr">
        <is>
          <t>ENT ET REPARATION INDUSTRIEL</t>
        </is>
      </c>
      <c r="C212" s="1187" t="n">
        <v>0</v>
      </c>
      <c r="D212" s="1187" t="n">
        <v>0</v>
      </c>
      <c r="E212" s="1187" t="n">
        <v>17232288</v>
      </c>
      <c r="F212" s="1187" t="n">
        <v>0</v>
      </c>
      <c r="G212" s="1187" t="n">
        <v>17232288</v>
      </c>
      <c r="H212" s="1187" t="n">
        <v>0</v>
      </c>
    </row>
    <row r="213" ht="14.45" customHeight="1" s="1225">
      <c r="A213" s="1436" t="inlineStr">
        <is>
          <t>624200</t>
        </is>
      </c>
      <c r="B213" s="1436" t="inlineStr">
        <is>
          <t>ENTRETIEN ET REPAR BIENS MOBIL</t>
        </is>
      </c>
      <c r="C213" s="1187" t="n">
        <v>0</v>
      </c>
      <c r="D213" s="1187" t="n">
        <v>0</v>
      </c>
      <c r="E213" s="1187" t="n">
        <v>15252650</v>
      </c>
      <c r="F213" s="1187" t="n">
        <v>0</v>
      </c>
      <c r="G213" s="1187" t="n">
        <v>15252650</v>
      </c>
      <c r="H213" s="1187" t="n">
        <v>0</v>
      </c>
    </row>
    <row r="214" ht="14.45" customHeight="1" s="1225">
      <c r="A214" s="1436" t="inlineStr">
        <is>
          <t>624300</t>
        </is>
      </c>
      <c r="B214" s="1436" t="inlineStr">
        <is>
          <t>Maintenance</t>
        </is>
      </c>
      <c r="C214" s="1187" t="n">
        <v>0</v>
      </c>
      <c r="D214" s="1187" t="n">
        <v>0</v>
      </c>
      <c r="E214" s="1187" t="n">
        <v>31087883</v>
      </c>
      <c r="F214" s="1187" t="n">
        <v>0</v>
      </c>
      <c r="G214" s="1187" t="n">
        <v>31087883</v>
      </c>
      <c r="H214" s="1187" t="n">
        <v>0</v>
      </c>
    </row>
    <row r="215" ht="14.45" customHeight="1" s="1225">
      <c r="A215" s="1436" t="inlineStr">
        <is>
          <t>624800</t>
        </is>
      </c>
      <c r="B215" s="1436" t="inlineStr">
        <is>
          <t>Autres entretiens et réparatio</t>
        </is>
      </c>
      <c r="C215" s="1187" t="n">
        <v>0</v>
      </c>
      <c r="D215" s="1187" t="n">
        <v>0</v>
      </c>
      <c r="E215" s="1187" t="n">
        <v>1205600</v>
      </c>
      <c r="F215" s="1187" t="n">
        <v>0</v>
      </c>
      <c r="G215" s="1187" t="n">
        <v>1205600</v>
      </c>
      <c r="H215" s="1187" t="n">
        <v>0</v>
      </c>
    </row>
    <row r="216" ht="14.45" customHeight="1" s="1225">
      <c r="A216" s="1436" t="inlineStr">
        <is>
          <t>625000</t>
        </is>
      </c>
      <c r="B216" s="1436" t="inlineStr">
        <is>
          <t>PRIMES D'ASSURANCE</t>
        </is>
      </c>
      <c r="C216" s="1187" t="n">
        <v>0</v>
      </c>
      <c r="D216" s="1187" t="n">
        <v>0</v>
      </c>
      <c r="E216" s="1187" t="n">
        <v>4143352</v>
      </c>
      <c r="F216" s="1187" t="n">
        <v>0</v>
      </c>
      <c r="G216" s="1187" t="n">
        <v>4143352</v>
      </c>
      <c r="H216" s="1187" t="n">
        <v>0</v>
      </c>
    </row>
    <row r="217" ht="14.45" customHeight="1" s="1225">
      <c r="A217" s="1436" t="inlineStr">
        <is>
          <t>625200</t>
        </is>
      </c>
      <c r="B217" s="1436" t="inlineStr">
        <is>
          <t>Assurances matériel de transpo</t>
        </is>
      </c>
      <c r="C217" s="1187" t="n">
        <v>0</v>
      </c>
      <c r="D217" s="1187" t="n">
        <v>0</v>
      </c>
      <c r="E217" s="1187" t="n">
        <v>35850692</v>
      </c>
      <c r="F217" s="1187" t="n">
        <v>0</v>
      </c>
      <c r="G217" s="1187" t="n">
        <v>35850692</v>
      </c>
      <c r="H217" s="1187" t="n">
        <v>0</v>
      </c>
    </row>
    <row r="218" ht="14.45" customHeight="1" s="1225">
      <c r="A218" s="1436" t="inlineStr">
        <is>
          <t>625800</t>
        </is>
      </c>
      <c r="B218" s="1436" t="inlineStr">
        <is>
          <t>Autres primes d'assurances</t>
        </is>
      </c>
      <c r="C218" s="1187" t="n">
        <v>0</v>
      </c>
      <c r="D218" s="1187" t="n">
        <v>0</v>
      </c>
      <c r="E218" s="1187" t="n">
        <v>34052139</v>
      </c>
      <c r="F218" s="1187" t="n">
        <v>0</v>
      </c>
      <c r="G218" s="1187" t="n">
        <v>34052139</v>
      </c>
      <c r="H218" s="1187" t="n">
        <v>0</v>
      </c>
    </row>
    <row r="219" ht="14.45" customHeight="1" s="1225">
      <c r="A219" s="1436" t="inlineStr">
        <is>
          <t>626500</t>
        </is>
      </c>
      <c r="B219" s="1436" t="inlineStr">
        <is>
          <t>Documentation générale</t>
        </is>
      </c>
      <c r="C219" s="1187" t="n">
        <v>0</v>
      </c>
      <c r="D219" s="1187" t="n">
        <v>0</v>
      </c>
      <c r="E219" s="1187" t="n">
        <v>635000</v>
      </c>
      <c r="F219" s="1187" t="n">
        <v>0</v>
      </c>
      <c r="G219" s="1187" t="n">
        <v>635000</v>
      </c>
      <c r="H219" s="1187" t="n">
        <v>0</v>
      </c>
    </row>
    <row r="220" ht="14.45" customHeight="1" s="1225">
      <c r="A220" s="1436" t="inlineStr">
        <is>
          <t>626600</t>
        </is>
      </c>
      <c r="B220" s="1436" t="inlineStr">
        <is>
          <t>Documentation technique</t>
        </is>
      </c>
      <c r="C220" s="1187" t="n">
        <v>0</v>
      </c>
      <c r="D220" s="1187" t="n">
        <v>0</v>
      </c>
      <c r="E220" s="1187" t="n">
        <v>6538730</v>
      </c>
      <c r="F220" s="1187" t="n">
        <v>0</v>
      </c>
      <c r="G220" s="1187" t="n">
        <v>6538730</v>
      </c>
      <c r="H220" s="1187" t="n">
        <v>0</v>
      </c>
    </row>
    <row r="221" ht="14.45" customHeight="1" s="1225">
      <c r="A221" s="1436" t="inlineStr">
        <is>
          <t>627000</t>
        </is>
      </c>
      <c r="B221" s="1436" t="inlineStr">
        <is>
          <t>PUBLICITÉ, PUBLICATIONS, RELAT</t>
        </is>
      </c>
      <c r="C221" s="1187" t="n">
        <v>0</v>
      </c>
      <c r="D221" s="1187" t="n">
        <v>0</v>
      </c>
      <c r="E221" s="1187" t="n">
        <v>55139900</v>
      </c>
      <c r="F221" s="1187" t="n">
        <v>0</v>
      </c>
      <c r="G221" s="1187" t="n">
        <v>55139900</v>
      </c>
      <c r="H221" s="1187" t="n">
        <v>0</v>
      </c>
    </row>
    <row r="222" ht="14.45" customHeight="1" s="1225">
      <c r="A222" s="1436" t="inlineStr">
        <is>
          <t>627100</t>
        </is>
      </c>
      <c r="B222" s="1436" t="inlineStr">
        <is>
          <t>Annonces, insertions</t>
        </is>
      </c>
      <c r="C222" s="1187" t="n">
        <v>0</v>
      </c>
      <c r="D222" s="1187" t="n">
        <v>0</v>
      </c>
      <c r="E222" s="1187" t="n">
        <v>636950</v>
      </c>
      <c r="F222" s="1187" t="n">
        <v>0</v>
      </c>
      <c r="G222" s="1187" t="n">
        <v>636950</v>
      </c>
      <c r="H222" s="1187" t="n">
        <v>0</v>
      </c>
    </row>
    <row r="223" ht="14.45" customHeight="1" s="1225">
      <c r="A223" s="1436" t="inlineStr">
        <is>
          <t>627200</t>
        </is>
      </c>
      <c r="B223" s="1436" t="inlineStr">
        <is>
          <t>Catalogues, imprimés publicita</t>
        </is>
      </c>
      <c r="C223" s="1187" t="n">
        <v>0</v>
      </c>
      <c r="D223" s="1187" t="n">
        <v>0</v>
      </c>
      <c r="E223" s="1187" t="n">
        <v>1675000</v>
      </c>
      <c r="F223" s="1187" t="n">
        <v>0</v>
      </c>
      <c r="G223" s="1187" t="n">
        <v>1675000</v>
      </c>
      <c r="H223" s="1187" t="n">
        <v>0</v>
      </c>
    </row>
    <row r="224" ht="14.45" customHeight="1" s="1225">
      <c r="A224" s="1436" t="inlineStr">
        <is>
          <t>627800</t>
        </is>
      </c>
      <c r="B224" s="1436" t="inlineStr">
        <is>
          <t>Autres charges de publicité et</t>
        </is>
      </c>
      <c r="C224" s="1187" t="n">
        <v>0</v>
      </c>
      <c r="D224" s="1187" t="n">
        <v>0</v>
      </c>
      <c r="E224" s="1187" t="n">
        <v>874000</v>
      </c>
      <c r="F224" s="1187" t="n">
        <v>0</v>
      </c>
      <c r="G224" s="1187" t="n">
        <v>874000</v>
      </c>
      <c r="H224" s="1187" t="n">
        <v>0</v>
      </c>
    </row>
    <row r="225" ht="14.45" customHeight="1" s="1225">
      <c r="A225" s="1436" t="inlineStr">
        <is>
          <t>627801</t>
        </is>
      </c>
      <c r="B225" s="1436" t="inlineStr">
        <is>
          <t>RELATIONS PUBLIQUES</t>
        </is>
      </c>
      <c r="C225" s="1187" t="n">
        <v>0</v>
      </c>
      <c r="D225" s="1187" t="n">
        <v>0</v>
      </c>
      <c r="E225" s="1187" t="n">
        <v>46470481</v>
      </c>
      <c r="F225" s="1187" t="n">
        <v>0</v>
      </c>
      <c r="G225" s="1187" t="n">
        <v>46470481</v>
      </c>
      <c r="H225" s="1187" t="n">
        <v>0</v>
      </c>
    </row>
    <row r="226" ht="14.45" customHeight="1" s="1225">
      <c r="A226" s="1436" t="inlineStr">
        <is>
          <t>628000</t>
        </is>
      </c>
      <c r="B226" s="1436" t="inlineStr">
        <is>
          <t>FRAIS DE TÉLÉCOM -INTERNET</t>
        </is>
      </c>
      <c r="C226" s="1187" t="n">
        <v>0</v>
      </c>
      <c r="D226" s="1187" t="n">
        <v>0</v>
      </c>
      <c r="E226" s="1187" t="n">
        <v>28875720</v>
      </c>
      <c r="F226" s="1187" t="n">
        <v>0</v>
      </c>
      <c r="G226" s="1187" t="n">
        <v>28875720</v>
      </c>
      <c r="H226" s="1187" t="n">
        <v>0</v>
      </c>
    </row>
    <row r="227" ht="14.45" customHeight="1" s="1225">
      <c r="A227" s="1436" t="inlineStr">
        <is>
          <t>628100</t>
        </is>
      </c>
      <c r="B227" s="1436" t="inlineStr">
        <is>
          <t>FRAIS DE TÉLÉCOM -TELEPHONE</t>
        </is>
      </c>
      <c r="C227" s="1187" t="n">
        <v>0</v>
      </c>
      <c r="D227" s="1187" t="n">
        <v>0</v>
      </c>
      <c r="E227" s="1187" t="n">
        <v>20227001</v>
      </c>
      <c r="F227" s="1187" t="n">
        <v>0</v>
      </c>
      <c r="G227" s="1187" t="n">
        <v>20227001</v>
      </c>
      <c r="H227" s="1187" t="n">
        <v>0</v>
      </c>
    </row>
    <row r="228" ht="14.45" customHeight="1" s="1225">
      <c r="A228" s="1436" t="inlineStr">
        <is>
          <t>631000</t>
        </is>
      </c>
      <c r="B228" s="1436" t="inlineStr">
        <is>
          <t>FRAIS BANCAIRES</t>
        </is>
      </c>
      <c r="C228" s="1187" t="n">
        <v>0</v>
      </c>
      <c r="D228" s="1187" t="n">
        <v>0</v>
      </c>
      <c r="E228" s="1187" t="n">
        <v>18571448</v>
      </c>
      <c r="F228" s="1187" t="n">
        <v>240661</v>
      </c>
      <c r="G228" s="1187" t="n">
        <v>18330787</v>
      </c>
      <c r="H228" s="1187" t="n">
        <v>0</v>
      </c>
    </row>
    <row r="229" ht="14.45" customHeight="1" s="1225">
      <c r="A229" s="1436" t="inlineStr">
        <is>
          <t>631100</t>
        </is>
      </c>
      <c r="B229" s="1436" t="inlineStr">
        <is>
          <t>Frais sur titres (achat, vente</t>
        </is>
      </c>
      <c r="C229" s="1187" t="n">
        <v>0</v>
      </c>
      <c r="D229" s="1187" t="n">
        <v>0</v>
      </c>
      <c r="E229" s="1187" t="n">
        <v>53659414</v>
      </c>
      <c r="F229" s="1187" t="n">
        <v>266767</v>
      </c>
      <c r="G229" s="1187" t="n">
        <v>53392647</v>
      </c>
      <c r="H229" s="1187" t="n">
        <v>0</v>
      </c>
    </row>
    <row r="230" ht="14.45" customHeight="1" s="1225">
      <c r="A230" s="1436" t="inlineStr">
        <is>
          <t>631800</t>
        </is>
      </c>
      <c r="B230" s="1436" t="inlineStr">
        <is>
          <t>Autres frais bancaires</t>
        </is>
      </c>
      <c r="C230" s="1187" t="n">
        <v>0</v>
      </c>
      <c r="D230" s="1187" t="n">
        <v>0</v>
      </c>
      <c r="E230" s="1187" t="n">
        <v>151650006</v>
      </c>
      <c r="F230" s="1187" t="n">
        <v>43889649</v>
      </c>
      <c r="G230" s="1187" t="n">
        <v>107760357</v>
      </c>
      <c r="H230" s="1187" t="n">
        <v>0</v>
      </c>
    </row>
    <row r="231" ht="14.45" customHeight="1" s="1225">
      <c r="A231" s="1436" t="inlineStr">
        <is>
          <t>631803</t>
        </is>
      </c>
      <c r="B231" s="1436" t="inlineStr">
        <is>
          <t>COMMISSION NIVELLEMENT</t>
        </is>
      </c>
      <c r="C231" s="1187" t="n">
        <v>0</v>
      </c>
      <c r="D231" s="1187" t="n">
        <v>0</v>
      </c>
      <c r="E231" s="1187" t="n">
        <v>285188</v>
      </c>
      <c r="F231" s="1187" t="n">
        <v>0</v>
      </c>
      <c r="G231" s="1187" t="n">
        <v>285188</v>
      </c>
      <c r="H231" s="1187" t="n">
        <v>0</v>
      </c>
    </row>
    <row r="232" ht="14.45" customHeight="1" s="1225">
      <c r="A232" s="1436" t="inlineStr">
        <is>
          <t>631804</t>
        </is>
      </c>
      <c r="B232" s="1436" t="inlineStr">
        <is>
          <t>FRAIS DE TENUE DE COMPTE</t>
        </is>
      </c>
      <c r="C232" s="1187" t="n">
        <v>0</v>
      </c>
      <c r="D232" s="1187" t="n">
        <v>0</v>
      </c>
      <c r="E232" s="1187" t="n">
        <v>20000</v>
      </c>
      <c r="F232" s="1187" t="n">
        <v>0</v>
      </c>
      <c r="G232" s="1187" t="n">
        <v>20000</v>
      </c>
      <c r="H232" s="1187" t="n">
        <v>0</v>
      </c>
    </row>
    <row r="233" ht="14.45" customHeight="1" s="1225">
      <c r="A233" s="1436" t="inlineStr">
        <is>
          <t>631805</t>
        </is>
      </c>
      <c r="B233" s="1436" t="inlineStr">
        <is>
          <t>FRAIS VIREMENT SALAIRES ET FRS</t>
        </is>
      </c>
      <c r="C233" s="1187" t="n">
        <v>0</v>
      </c>
      <c r="D233" s="1187" t="n">
        <v>0</v>
      </c>
      <c r="E233" s="1187" t="n">
        <v>15000</v>
      </c>
      <c r="F233" s="1187" t="n">
        <v>0</v>
      </c>
      <c r="G233" s="1187" t="n">
        <v>15000</v>
      </c>
      <c r="H233" s="1187" t="n">
        <v>0</v>
      </c>
    </row>
    <row r="234" ht="14.45" customHeight="1" s="1225">
      <c r="A234" s="1436" t="inlineStr">
        <is>
          <t>632400</t>
        </is>
      </c>
      <c r="B234" s="1436" t="inlineStr">
        <is>
          <t>Honoraires des professions règ</t>
        </is>
      </c>
      <c r="C234" s="1187" t="n">
        <v>0</v>
      </c>
      <c r="D234" s="1187" t="n">
        <v>0</v>
      </c>
      <c r="E234" s="1187" t="n">
        <v>91228363</v>
      </c>
      <c r="F234" s="1187" t="n">
        <v>3902944</v>
      </c>
      <c r="G234" s="1187" t="n">
        <v>87325419</v>
      </c>
      <c r="H234" s="1187" t="n">
        <v>0</v>
      </c>
    </row>
    <row r="235" ht="14.45" customHeight="1" s="1225">
      <c r="A235" s="1178" t="inlineStr">
        <is>
          <t>632700</t>
        </is>
      </c>
      <c r="B235" s="1178" t="inlineStr">
        <is>
          <t>Rémunérations des autres prest</t>
        </is>
      </c>
      <c r="C235" s="1179" t="n">
        <v>0</v>
      </c>
      <c r="D235" s="1179" t="n">
        <v>0</v>
      </c>
      <c r="E235" s="1179" t="n">
        <v>45322119</v>
      </c>
      <c r="F235" s="1179" t="n">
        <v>0</v>
      </c>
      <c r="G235" s="1179" t="n">
        <v>45322119</v>
      </c>
      <c r="H235" s="1179" t="n">
        <v>0</v>
      </c>
    </row>
    <row r="236" ht="14.45" customHeight="1" s="1225">
      <c r="A236" s="1436" t="inlineStr">
        <is>
          <t>632800</t>
        </is>
      </c>
      <c r="B236" s="1436" t="inlineStr">
        <is>
          <t>Divers frais</t>
        </is>
      </c>
      <c r="C236" s="1187" t="n">
        <v>0</v>
      </c>
      <c r="D236" s="1187" t="n">
        <v>0</v>
      </c>
      <c r="E236" s="1187" t="n">
        <v>501750</v>
      </c>
      <c r="F236" s="1187" t="n">
        <v>0</v>
      </c>
      <c r="G236" s="1187" t="n">
        <v>501750</v>
      </c>
      <c r="H236" s="1187" t="n">
        <v>0</v>
      </c>
    </row>
    <row r="237" ht="14.45" customHeight="1" s="1225">
      <c r="A237" s="1436" t="inlineStr">
        <is>
          <t>635100</t>
        </is>
      </c>
      <c r="B237" s="1436" t="inlineStr">
        <is>
          <t>Cotisations</t>
        </is>
      </c>
      <c r="C237" s="1187" t="n">
        <v>0</v>
      </c>
      <c r="D237" s="1187" t="n">
        <v>0</v>
      </c>
      <c r="E237" s="1187" t="n">
        <v>7000000</v>
      </c>
      <c r="F237" s="1187" t="n">
        <v>0</v>
      </c>
      <c r="G237" s="1187" t="n">
        <v>7000000</v>
      </c>
      <c r="H237" s="1187" t="n">
        <v>0</v>
      </c>
    </row>
    <row r="238" ht="14.45" customHeight="1" s="1225">
      <c r="A238" s="1436" t="inlineStr">
        <is>
          <t>638300</t>
        </is>
      </c>
      <c r="B238" s="1436" t="inlineStr">
        <is>
          <t>Réceptions</t>
        </is>
      </c>
      <c r="C238" s="1187" t="n">
        <v>0</v>
      </c>
      <c r="D238" s="1187" t="n">
        <v>0</v>
      </c>
      <c r="E238" s="1187" t="n">
        <v>321250</v>
      </c>
      <c r="F238" s="1187" t="n">
        <v>0</v>
      </c>
      <c r="G238" s="1187" t="n">
        <v>321250</v>
      </c>
      <c r="H238" s="1187" t="n">
        <v>0</v>
      </c>
    </row>
    <row r="239" ht="14.45" customHeight="1" s="1225">
      <c r="A239" s="1436" t="inlineStr">
        <is>
          <t>638310</t>
        </is>
      </c>
      <c r="B239" s="1436" t="inlineStr">
        <is>
          <t>HEBERGEMENT</t>
        </is>
      </c>
      <c r="C239" s="1187" t="n">
        <v>0</v>
      </c>
      <c r="D239" s="1187" t="n">
        <v>0</v>
      </c>
      <c r="E239" s="1187" t="n">
        <v>597140</v>
      </c>
      <c r="F239" s="1187" t="n">
        <v>597140</v>
      </c>
      <c r="G239" s="1187" t="n">
        <v>0</v>
      </c>
      <c r="H239" s="1187" t="n">
        <v>0</v>
      </c>
    </row>
    <row r="240" ht="14.45" customHeight="1" s="1225">
      <c r="A240" s="1436" t="inlineStr">
        <is>
          <t>638400</t>
        </is>
      </c>
      <c r="B240" s="1436" t="inlineStr">
        <is>
          <t>Missions</t>
        </is>
      </c>
      <c r="C240" s="1187" t="n">
        <v>0</v>
      </c>
      <c r="D240" s="1187" t="n">
        <v>0</v>
      </c>
      <c r="E240" s="1187" t="n">
        <v>46185500</v>
      </c>
      <c r="F240" s="1187" t="n">
        <v>0</v>
      </c>
      <c r="G240" s="1187" t="n">
        <v>46185500</v>
      </c>
      <c r="H240" s="1187" t="n">
        <v>0</v>
      </c>
    </row>
    <row r="241" ht="14.45" customHeight="1" s="1225">
      <c r="A241" s="1436" t="inlineStr">
        <is>
          <t>638410</t>
        </is>
      </c>
      <c r="B241" s="1436" t="inlineStr">
        <is>
          <t>MISSION HEBERGEMENT</t>
        </is>
      </c>
      <c r="C241" s="1187" t="n">
        <v>0</v>
      </c>
      <c r="D241" s="1187" t="n">
        <v>0</v>
      </c>
      <c r="E241" s="1187" t="n">
        <v>11372527</v>
      </c>
      <c r="F241" s="1187" t="n">
        <v>0</v>
      </c>
      <c r="G241" s="1187" t="n">
        <v>11372527</v>
      </c>
      <c r="H241" s="1187" t="n">
        <v>0</v>
      </c>
    </row>
    <row r="242" ht="14.45" customHeight="1" s="1225">
      <c r="A242" s="1436" t="inlineStr">
        <is>
          <t>638420</t>
        </is>
      </c>
      <c r="B242" s="1436" t="inlineStr">
        <is>
          <t>MISSION RESTAURATION</t>
        </is>
      </c>
      <c r="C242" s="1187" t="n">
        <v>0</v>
      </c>
      <c r="D242" s="1187" t="n">
        <v>0</v>
      </c>
      <c r="E242" s="1187" t="n">
        <v>189500</v>
      </c>
      <c r="F242" s="1187" t="n">
        <v>0</v>
      </c>
      <c r="G242" s="1187" t="n">
        <v>189500</v>
      </c>
      <c r="H242" s="1187" t="n">
        <v>0</v>
      </c>
    </row>
    <row r="243" ht="14.45" customHeight="1" s="1225">
      <c r="A243" s="1436" t="inlineStr">
        <is>
          <t>641200</t>
        </is>
      </c>
      <c r="B243" s="1436" t="inlineStr">
        <is>
          <t>Patentes, licences et taxes an</t>
        </is>
      </c>
      <c r="C243" s="1187" t="n">
        <v>0</v>
      </c>
      <c r="D243" s="1187" t="n">
        <v>0</v>
      </c>
      <c r="E243" s="1187" t="n">
        <v>141892</v>
      </c>
      <c r="F243" s="1187" t="n">
        <v>0</v>
      </c>
      <c r="G243" s="1187" t="n">
        <v>141892</v>
      </c>
      <c r="H243" s="1187" t="n">
        <v>0</v>
      </c>
    </row>
    <row r="244" ht="14.45" customHeight="1" s="1225">
      <c r="A244" s="1436" t="inlineStr">
        <is>
          <t>641400</t>
        </is>
      </c>
      <c r="B244" s="1436" t="inlineStr">
        <is>
          <t>Taxes d'apprentissage</t>
        </is>
      </c>
      <c r="C244" s="1187" t="n">
        <v>0</v>
      </c>
      <c r="D244" s="1187" t="n">
        <v>0</v>
      </c>
      <c r="E244" s="1187" t="n">
        <v>16971537</v>
      </c>
      <c r="F244" s="1187" t="n">
        <v>0</v>
      </c>
      <c r="G244" s="1187" t="n">
        <v>16971537</v>
      </c>
      <c r="H244" s="1187" t="n">
        <v>0</v>
      </c>
    </row>
    <row r="245" ht="14.45" customHeight="1" s="1225">
      <c r="A245" s="1436" t="inlineStr">
        <is>
          <t>641800</t>
        </is>
      </c>
      <c r="B245" s="1436" t="inlineStr">
        <is>
          <t>Autres impôts et taxes directs</t>
        </is>
      </c>
      <c r="C245" s="1187" t="n">
        <v>0</v>
      </c>
      <c r="D245" s="1187" t="n">
        <v>0</v>
      </c>
      <c r="E245" s="1187" t="n">
        <v>128751800</v>
      </c>
      <c r="F245" s="1187" t="n">
        <v>0</v>
      </c>
      <c r="G245" s="1187" t="n">
        <v>128751800</v>
      </c>
      <c r="H245" s="1187" t="n">
        <v>0</v>
      </c>
    </row>
    <row r="246" ht="14.45" customHeight="1" s="1225">
      <c r="A246" s="1436" t="inlineStr">
        <is>
          <t>646200</t>
        </is>
      </c>
      <c r="B246" s="1436" t="inlineStr">
        <is>
          <t>Droits de timbre</t>
        </is>
      </c>
      <c r="C246" s="1187" t="n">
        <v>0</v>
      </c>
      <c r="D246" s="1187" t="n">
        <v>0</v>
      </c>
      <c r="E246" s="1187" t="n">
        <v>260592</v>
      </c>
      <c r="F246" s="1187" t="n">
        <v>0</v>
      </c>
      <c r="G246" s="1187" t="n">
        <v>260592</v>
      </c>
      <c r="H246" s="1187" t="n">
        <v>0</v>
      </c>
    </row>
    <row r="247" ht="14.45" customHeight="1" s="1225">
      <c r="A247" s="1436" t="inlineStr">
        <is>
          <t>650000</t>
        </is>
      </c>
      <c r="B247" s="1436" t="inlineStr">
        <is>
          <t>AUTRES CHARGES</t>
        </is>
      </c>
      <c r="C247" s="1187" t="n">
        <v>0</v>
      </c>
      <c r="D247" s="1187" t="n">
        <v>0</v>
      </c>
      <c r="E247" s="1187" t="n">
        <v>3520500</v>
      </c>
      <c r="F247" s="1187" t="n">
        <v>0</v>
      </c>
      <c r="G247" s="1187" t="n">
        <v>3520500</v>
      </c>
      <c r="H247" s="1187" t="n">
        <v>0</v>
      </c>
    </row>
    <row r="248" ht="14.45" customHeight="1" s="1225">
      <c r="A248" s="1436" t="inlineStr">
        <is>
          <t>651500</t>
        </is>
      </c>
      <c r="B248" s="1436" t="inlineStr">
        <is>
          <t>Autres débiteurs</t>
        </is>
      </c>
      <c r="C248" s="1187" t="n">
        <v>0</v>
      </c>
      <c r="D248" s="1187" t="n">
        <v>0</v>
      </c>
      <c r="E248" s="1187" t="n">
        <v>12120000</v>
      </c>
      <c r="F248" s="1187" t="n">
        <v>-9000</v>
      </c>
      <c r="G248" s="1187" t="n">
        <v>12129000</v>
      </c>
      <c r="H248" s="1187" t="n">
        <v>0</v>
      </c>
    </row>
    <row r="249" ht="14.45" customHeight="1" s="1225">
      <c r="A249" s="1436" t="inlineStr">
        <is>
          <t>657000</t>
        </is>
      </c>
      <c r="B249" s="1436" t="inlineStr">
        <is>
          <t>PENALITES ET AMENDES PENALES</t>
        </is>
      </c>
      <c r="C249" s="1187" t="n">
        <v>0</v>
      </c>
      <c r="D249" s="1187" t="n">
        <v>0</v>
      </c>
      <c r="E249" s="1187" t="n">
        <v>25000</v>
      </c>
      <c r="F249" s="1187" t="n">
        <v>0</v>
      </c>
      <c r="G249" s="1187" t="n">
        <v>25000</v>
      </c>
      <c r="H249" s="1187" t="n">
        <v>0</v>
      </c>
    </row>
    <row r="250" ht="14.45" customHeight="1" s="1225">
      <c r="A250" s="1436" t="inlineStr">
        <is>
          <t>658000</t>
        </is>
      </c>
      <c r="B250" s="1436" t="inlineStr">
        <is>
          <t>CHARGES DIVERSES</t>
        </is>
      </c>
      <c r="C250" s="1187" t="n">
        <v>0</v>
      </c>
      <c r="D250" s="1187" t="n">
        <v>0</v>
      </c>
      <c r="E250" s="1187" t="n">
        <v>1729750</v>
      </c>
      <c r="F250" s="1187" t="n">
        <v>0</v>
      </c>
      <c r="G250" s="1187" t="n">
        <v>1729750</v>
      </c>
      <c r="H250" s="1187" t="n">
        <v>0</v>
      </c>
    </row>
    <row r="251" ht="14.45" customHeight="1" s="1225">
      <c r="A251" s="1436" t="inlineStr">
        <is>
          <t>658200</t>
        </is>
      </c>
      <c r="B251" s="1436" t="inlineStr">
        <is>
          <t>Dons</t>
        </is>
      </c>
      <c r="C251" s="1187" t="n">
        <v>0</v>
      </c>
      <c r="D251" s="1187" t="n">
        <v>0</v>
      </c>
      <c r="E251" s="1187" t="n">
        <v>10484400</v>
      </c>
      <c r="F251" s="1187" t="n">
        <v>0</v>
      </c>
      <c r="G251" s="1187" t="n">
        <v>10484400</v>
      </c>
      <c r="H251" s="1187" t="n">
        <v>0</v>
      </c>
    </row>
    <row r="252" ht="14.45" customHeight="1" s="1225">
      <c r="A252" s="1436" t="inlineStr">
        <is>
          <t>658800</t>
        </is>
      </c>
      <c r="B252" s="1436" t="inlineStr">
        <is>
          <t>Autres charges diverses</t>
        </is>
      </c>
      <c r="C252" s="1187" t="n">
        <v>0</v>
      </c>
      <c r="D252" s="1187" t="n">
        <v>0</v>
      </c>
      <c r="E252" s="1187" t="n">
        <v>982760</v>
      </c>
      <c r="F252" s="1187" t="n">
        <v>0</v>
      </c>
      <c r="G252" s="1187" t="n">
        <v>982760</v>
      </c>
      <c r="H252" s="1187" t="n">
        <v>0</v>
      </c>
    </row>
    <row r="253" ht="14.45" customHeight="1" s="1225">
      <c r="A253" s="1436" t="inlineStr">
        <is>
          <t>661100</t>
        </is>
      </c>
      <c r="B253" s="1436" t="inlineStr">
        <is>
          <t>Appointements salaires et comm</t>
        </is>
      </c>
      <c r="C253" s="1187" t="n">
        <v>0</v>
      </c>
      <c r="D253" s="1187" t="n">
        <v>0</v>
      </c>
      <c r="E253" s="1187" t="n">
        <v>326068314</v>
      </c>
      <c r="F253" s="1187" t="n">
        <v>0</v>
      </c>
      <c r="G253" s="1187" t="n">
        <v>326068314</v>
      </c>
      <c r="H253" s="1187" t="n">
        <v>0</v>
      </c>
    </row>
    <row r="254" ht="14.45" customHeight="1" s="1225">
      <c r="A254" s="1436" t="inlineStr">
        <is>
          <t>661200</t>
        </is>
      </c>
      <c r="B254" s="1436" t="inlineStr">
        <is>
          <t>Primes et gratifications</t>
        </is>
      </c>
      <c r="C254" s="1187" t="n">
        <v>0</v>
      </c>
      <c r="D254" s="1187" t="n">
        <v>0</v>
      </c>
      <c r="E254" s="1187" t="n">
        <v>1710279</v>
      </c>
      <c r="F254" s="1187" t="n">
        <v>0</v>
      </c>
      <c r="G254" s="1187" t="n">
        <v>1710279</v>
      </c>
      <c r="H254" s="1187" t="n">
        <v>0</v>
      </c>
    </row>
    <row r="255" ht="14.45" customHeight="1" s="1225">
      <c r="A255" s="1436" t="inlineStr">
        <is>
          <t>661300</t>
        </is>
      </c>
      <c r="B255" s="1436" t="inlineStr">
        <is>
          <t>CONGES PAYES DES NATIONAUX</t>
        </is>
      </c>
      <c r="C255" s="1187" t="n">
        <v>0</v>
      </c>
      <c r="D255" s="1187" t="n">
        <v>0</v>
      </c>
      <c r="E255" s="1187" t="n">
        <v>1819585</v>
      </c>
      <c r="F255" s="1187" t="n">
        <v>0</v>
      </c>
      <c r="G255" s="1187" t="n">
        <v>1819585</v>
      </c>
      <c r="H255" s="1187" t="n">
        <v>0</v>
      </c>
    </row>
    <row r="256" ht="14.45" customHeight="1" s="1225">
      <c r="A256" s="1436" t="inlineStr">
        <is>
          <t>661400</t>
        </is>
      </c>
      <c r="B256" s="1436" t="inlineStr">
        <is>
          <t>Indemnités de préavis, de lice</t>
        </is>
      </c>
      <c r="C256" s="1187" t="n">
        <v>0</v>
      </c>
      <c r="D256" s="1187" t="n">
        <v>0</v>
      </c>
      <c r="E256" s="1187" t="n">
        <v>1773795</v>
      </c>
      <c r="F256" s="1187" t="n">
        <v>0</v>
      </c>
      <c r="G256" s="1187" t="n">
        <v>1773795</v>
      </c>
      <c r="H256" s="1187" t="n">
        <v>0</v>
      </c>
    </row>
    <row r="257" ht="14.45" customHeight="1" s="1225">
      <c r="A257" s="1436" t="inlineStr">
        <is>
          <t>661700</t>
        </is>
      </c>
      <c r="B257" s="1436" t="inlineStr">
        <is>
          <t>Avantages en nature</t>
        </is>
      </c>
      <c r="C257" s="1187" t="n">
        <v>0</v>
      </c>
      <c r="D257" s="1187" t="n">
        <v>0</v>
      </c>
      <c r="E257" s="1187" t="n">
        <v>68333</v>
      </c>
      <c r="F257" s="1187" t="n">
        <v>0</v>
      </c>
      <c r="G257" s="1187" t="n">
        <v>68333</v>
      </c>
      <c r="H257" s="1187" t="n">
        <v>0</v>
      </c>
    </row>
    <row r="258" ht="14.45" customHeight="1" s="1225">
      <c r="A258" s="1436" t="inlineStr">
        <is>
          <t>661800</t>
        </is>
      </c>
      <c r="B258" s="1436" t="inlineStr">
        <is>
          <t>Autres rémunérations directes</t>
        </is>
      </c>
      <c r="C258" s="1187" t="n">
        <v>0</v>
      </c>
      <c r="D258" s="1187" t="n">
        <v>0</v>
      </c>
      <c r="E258" s="1187" t="n">
        <v>225000</v>
      </c>
      <c r="F258" s="1187" t="n">
        <v>0</v>
      </c>
      <c r="G258" s="1187" t="n">
        <v>225000</v>
      </c>
      <c r="H258" s="1187" t="n">
        <v>0</v>
      </c>
    </row>
    <row r="259" ht="14.45" customHeight="1" s="1225">
      <c r="A259" s="1436" t="inlineStr">
        <is>
          <t>661801</t>
        </is>
      </c>
      <c r="B259" s="1436" t="inlineStr">
        <is>
          <t>INDEMNITE DE STAGE</t>
        </is>
      </c>
      <c r="C259" s="1187" t="n">
        <v>0</v>
      </c>
      <c r="D259" s="1187" t="n">
        <v>0</v>
      </c>
      <c r="E259" s="1187" t="n">
        <v>3758333</v>
      </c>
      <c r="F259" s="1187" t="n">
        <v>0</v>
      </c>
      <c r="G259" s="1187" t="n">
        <v>3758333</v>
      </c>
      <c r="H259" s="1187" t="n">
        <v>0</v>
      </c>
    </row>
    <row r="260" ht="14.45" customHeight="1" s="1225">
      <c r="A260" s="1436" t="inlineStr">
        <is>
          <t>662000</t>
        </is>
      </c>
      <c r="B260" s="1436" t="inlineStr">
        <is>
          <t>RÉMUNÉRATIONS DIRECTES VERSÉES</t>
        </is>
      </c>
      <c r="C260" s="1187" t="n">
        <v>0</v>
      </c>
      <c r="D260" s="1187" t="n">
        <v>0</v>
      </c>
      <c r="E260" s="1187" t="n">
        <v>175000</v>
      </c>
      <c r="F260" s="1187" t="n">
        <v>0</v>
      </c>
      <c r="G260" s="1187" t="n">
        <v>175000</v>
      </c>
      <c r="H260" s="1187" t="n">
        <v>0</v>
      </c>
    </row>
    <row r="261" ht="14.45" customHeight="1" s="1225">
      <c r="A261" s="1436" t="inlineStr">
        <is>
          <t>662300</t>
        </is>
      </c>
      <c r="B261" s="1436" t="inlineStr">
        <is>
          <t>CONGES PAYES NON NATIONAUX</t>
        </is>
      </c>
      <c r="C261" s="1187" t="n">
        <v>0</v>
      </c>
      <c r="D261" s="1187" t="n">
        <v>0</v>
      </c>
      <c r="E261" s="1187" t="n">
        <v>450000</v>
      </c>
      <c r="F261" s="1187" t="n">
        <v>0</v>
      </c>
      <c r="G261" s="1187" t="n">
        <v>450000</v>
      </c>
      <c r="H261" s="1187" t="n">
        <v>0</v>
      </c>
    </row>
    <row r="262" ht="14.45" customHeight="1" s="1225">
      <c r="A262" s="1436" t="inlineStr">
        <is>
          <t>662500</t>
        </is>
      </c>
      <c r="B262" s="1436" t="inlineStr">
        <is>
          <t>Indemnités de maladie versées</t>
        </is>
      </c>
      <c r="C262" s="1187" t="n">
        <v>0</v>
      </c>
      <c r="D262" s="1187" t="n">
        <v>0</v>
      </c>
      <c r="E262" s="1187" t="n">
        <v>725000</v>
      </c>
      <c r="F262" s="1187" t="n">
        <v>0</v>
      </c>
      <c r="G262" s="1187" t="n">
        <v>725000</v>
      </c>
      <c r="H262" s="1187" t="n">
        <v>0</v>
      </c>
    </row>
    <row r="263" ht="14.45" customHeight="1" s="1225">
      <c r="A263" s="1436" t="inlineStr">
        <is>
          <t>662700</t>
        </is>
      </c>
      <c r="B263" s="1436" t="inlineStr">
        <is>
          <t>Avantages en nature</t>
        </is>
      </c>
      <c r="C263" s="1187" t="n">
        <v>0</v>
      </c>
      <c r="D263" s="1187" t="n">
        <v>0</v>
      </c>
      <c r="E263" s="1187" t="n">
        <v>285000</v>
      </c>
      <c r="F263" s="1187" t="n">
        <v>0</v>
      </c>
      <c r="G263" s="1187" t="n">
        <v>285000</v>
      </c>
      <c r="H263" s="1187" t="n">
        <v>0</v>
      </c>
    </row>
    <row r="264" ht="14.45" customHeight="1" s="1225">
      <c r="A264" s="1436" t="inlineStr">
        <is>
          <t>663100</t>
        </is>
      </c>
      <c r="B264" s="1436" t="inlineStr">
        <is>
          <t>Indemnités de logement</t>
        </is>
      </c>
      <c r="C264" s="1187" t="n">
        <v>0</v>
      </c>
      <c r="D264" s="1187" t="n">
        <v>0</v>
      </c>
      <c r="E264" s="1187" t="n">
        <v>41770000</v>
      </c>
      <c r="F264" s="1187" t="n">
        <v>0</v>
      </c>
      <c r="G264" s="1187" t="n">
        <v>41770000</v>
      </c>
      <c r="H264" s="1187" t="n">
        <v>0</v>
      </c>
    </row>
    <row r="265" ht="14.45" customHeight="1" s="1225">
      <c r="A265" s="1436" t="inlineStr">
        <is>
          <t>663200</t>
        </is>
      </c>
      <c r="B265" s="1436" t="inlineStr">
        <is>
          <t>Indemnités de représentation</t>
        </is>
      </c>
      <c r="C265" s="1187" t="n">
        <v>0</v>
      </c>
      <c r="D265" s="1187" t="n">
        <v>0</v>
      </c>
      <c r="E265" s="1187" t="n">
        <v>26170000</v>
      </c>
      <c r="F265" s="1187" t="n">
        <v>0</v>
      </c>
      <c r="G265" s="1187" t="n">
        <v>26170000</v>
      </c>
      <c r="H265" s="1187" t="n">
        <v>0</v>
      </c>
    </row>
    <row r="266" ht="14.45" customHeight="1" s="1225">
      <c r="A266" s="1436" t="inlineStr">
        <is>
          <t>663400</t>
        </is>
      </c>
      <c r="B266" s="1436" t="inlineStr">
        <is>
          <t>Indemnités de transport</t>
        </is>
      </c>
      <c r="C266" s="1187" t="n">
        <v>0</v>
      </c>
      <c r="D266" s="1187" t="n">
        <v>0</v>
      </c>
      <c r="E266" s="1187" t="n">
        <v>24650000</v>
      </c>
      <c r="F266" s="1187" t="n">
        <v>0</v>
      </c>
      <c r="G266" s="1187" t="n">
        <v>24650000</v>
      </c>
      <c r="H266" s="1187" t="n">
        <v>0</v>
      </c>
    </row>
    <row r="267" ht="14.45" customHeight="1" s="1225">
      <c r="A267" s="1436" t="inlineStr">
        <is>
          <t>663800</t>
        </is>
      </c>
      <c r="B267" s="1436" t="inlineStr">
        <is>
          <t>Autres indemnités et avantages</t>
        </is>
      </c>
      <c r="C267" s="1187" t="n">
        <v>0</v>
      </c>
      <c r="D267" s="1187" t="n">
        <v>0</v>
      </c>
      <c r="E267" s="1187" t="n">
        <v>968155</v>
      </c>
      <c r="F267" s="1187" t="n">
        <v>0</v>
      </c>
      <c r="G267" s="1187" t="n">
        <v>968155</v>
      </c>
      <c r="H267" s="1187" t="n">
        <v>0</v>
      </c>
    </row>
    <row r="268" ht="14.45" customHeight="1" s="1225">
      <c r="A268" s="1436" t="inlineStr">
        <is>
          <t>664100</t>
        </is>
      </c>
      <c r="B268" s="1436" t="inlineStr">
        <is>
          <t>Charges sociales sur rémunérat</t>
        </is>
      </c>
      <c r="C268" s="1187" t="n">
        <v>0</v>
      </c>
      <c r="D268" s="1187" t="n">
        <v>0</v>
      </c>
      <c r="E268" s="1187" t="n">
        <v>47135475</v>
      </c>
      <c r="F268" s="1187" t="n">
        <v>0</v>
      </c>
      <c r="G268" s="1187" t="n">
        <v>47135475</v>
      </c>
      <c r="H268" s="1187" t="n">
        <v>0</v>
      </c>
    </row>
    <row r="269" ht="14.45" customHeight="1" s="1225">
      <c r="A269" s="1436" t="inlineStr">
        <is>
          <t>667000</t>
        </is>
      </c>
      <c r="B269" s="1436" t="inlineStr">
        <is>
          <t>RÉMUNÉRATION TRANSFÉRÉE DE PER</t>
        </is>
      </c>
      <c r="C269" s="1187" t="n">
        <v>0</v>
      </c>
      <c r="D269" s="1187" t="n">
        <v>0</v>
      </c>
      <c r="E269" s="1187" t="n">
        <v>150000</v>
      </c>
      <c r="F269" s="1187" t="n">
        <v>0</v>
      </c>
      <c r="G269" s="1187" t="n">
        <v>150000</v>
      </c>
      <c r="H269" s="1187" t="n">
        <v>0</v>
      </c>
    </row>
    <row r="270" ht="14.45" customHeight="1" s="1225">
      <c r="A270" s="1436" t="inlineStr">
        <is>
          <t>667200</t>
        </is>
      </c>
      <c r="B270" s="1436" t="inlineStr">
        <is>
          <t>Personnel détaché ou prêté à l</t>
        </is>
      </c>
      <c r="C270" s="1187" t="n">
        <v>0</v>
      </c>
      <c r="D270" s="1187" t="n">
        <v>0</v>
      </c>
      <c r="E270" s="1187" t="n">
        <v>0</v>
      </c>
      <c r="F270" s="1187" t="n">
        <v>-220667627</v>
      </c>
      <c r="G270" s="1187" t="n">
        <v>220667627</v>
      </c>
      <c r="H270" s="1187" t="n">
        <v>0</v>
      </c>
    </row>
    <row r="271" ht="14.45" customHeight="1" s="1225">
      <c r="A271" s="1436" t="inlineStr">
        <is>
          <t>668400</t>
        </is>
      </c>
      <c r="B271" s="1436" t="inlineStr">
        <is>
          <t>Médecine du travail et pharmac</t>
        </is>
      </c>
      <c r="C271" s="1187" t="n">
        <v>0</v>
      </c>
      <c r="D271" s="1187" t="n">
        <v>0</v>
      </c>
      <c r="E271" s="1187" t="n">
        <v>619961</v>
      </c>
      <c r="F271" s="1187" t="n">
        <v>0</v>
      </c>
      <c r="G271" s="1187" t="n">
        <v>619961</v>
      </c>
      <c r="H271" s="1187" t="n">
        <v>0</v>
      </c>
    </row>
    <row r="272" ht="14.45" customHeight="1" s="1225">
      <c r="A272" s="1436" t="inlineStr">
        <is>
          <t>671000</t>
        </is>
      </c>
      <c r="B272" s="1436" t="inlineStr">
        <is>
          <t>INTÉRÊTS DES EMPRUNTS</t>
        </is>
      </c>
      <c r="C272" s="1187" t="n">
        <v>0</v>
      </c>
      <c r="D272" s="1187" t="n">
        <v>0</v>
      </c>
      <c r="E272" s="1187" t="n">
        <v>235497231</v>
      </c>
      <c r="F272" s="1187" t="n">
        <v>0</v>
      </c>
      <c r="G272" s="1187" t="n">
        <v>235497231</v>
      </c>
      <c r="H272" s="1187" t="n">
        <v>0</v>
      </c>
    </row>
    <row r="273" ht="14.45" customHeight="1" s="1225">
      <c r="A273" s="1436" t="inlineStr">
        <is>
          <t>674500</t>
        </is>
      </c>
      <c r="B273" s="1436" t="inlineStr">
        <is>
          <t>Intérêts bancaires et sur opér</t>
        </is>
      </c>
      <c r="C273" s="1187" t="n">
        <v>0</v>
      </c>
      <c r="D273" s="1187" t="n">
        <v>0</v>
      </c>
      <c r="E273" s="1187" t="n">
        <v>9622000.999999998</v>
      </c>
      <c r="F273" s="1187" t="n">
        <v>0</v>
      </c>
      <c r="G273" s="1187" t="n">
        <v>9622000.999999998</v>
      </c>
      <c r="H273" s="1187" t="n">
        <v>0</v>
      </c>
    </row>
    <row r="274" ht="14.45" customHeight="1" s="1225">
      <c r="A274" s="1436" t="inlineStr">
        <is>
          <t>678200</t>
        </is>
      </c>
      <c r="B274" s="1436" t="inlineStr">
        <is>
          <t>sur opérations financières</t>
        </is>
      </c>
      <c r="C274" s="1187" t="n">
        <v>0</v>
      </c>
      <c r="D274" s="1187" t="n">
        <v>0</v>
      </c>
      <c r="E274" s="1187" t="n">
        <v>25104283</v>
      </c>
      <c r="F274" s="1187" t="n">
        <v>0</v>
      </c>
      <c r="G274" s="1187" t="n">
        <v>25104283</v>
      </c>
      <c r="H274" s="1187" t="n">
        <v>0</v>
      </c>
    </row>
    <row r="275" ht="14.45" customHeight="1" s="1225">
      <c r="A275" s="1436" t="inlineStr">
        <is>
          <t>681200</t>
        </is>
      </c>
      <c r="B275" s="1436" t="inlineStr">
        <is>
          <t>Dotations aux amortissements d</t>
        </is>
      </c>
      <c r="C275" s="1187" t="n">
        <v>0</v>
      </c>
      <c r="D275" s="1187" t="n">
        <v>0</v>
      </c>
      <c r="E275" s="1187" t="n">
        <v>16230977</v>
      </c>
      <c r="F275" s="1187" t="n">
        <v>0</v>
      </c>
      <c r="G275" s="1187" t="n">
        <v>16230977</v>
      </c>
      <c r="H275" s="1187" t="n">
        <v>0</v>
      </c>
    </row>
    <row r="276" ht="14.45" customHeight="1" s="1225">
      <c r="A276" s="1436" t="inlineStr">
        <is>
          <t>681300</t>
        </is>
      </c>
      <c r="B276" s="1436" t="inlineStr">
        <is>
          <t>DOTATION AMMORT CORPORELS</t>
        </is>
      </c>
      <c r="C276" s="1187" t="n">
        <v>0</v>
      </c>
      <c r="D276" s="1187" t="n">
        <v>0</v>
      </c>
      <c r="E276" s="1187" t="n">
        <v>1157530230.98</v>
      </c>
      <c r="F276" s="1187" t="n">
        <v>0</v>
      </c>
      <c r="G276" s="1187" t="n">
        <v>1157530230.98</v>
      </c>
      <c r="H276" s="1187" t="n">
        <v>0</v>
      </c>
    </row>
    <row r="277" ht="14.45" customHeight="1" s="1225">
      <c r="A277" s="1436" t="inlineStr">
        <is>
          <t>702100</t>
        </is>
      </c>
      <c r="B277" s="1436" t="inlineStr">
        <is>
          <t>VENTE DE PRODUIT FINI</t>
        </is>
      </c>
      <c r="C277" s="1187" t="n">
        <v>0</v>
      </c>
      <c r="D277" s="1187" t="n">
        <v>0</v>
      </c>
      <c r="E277" s="1187" t="n">
        <v>0</v>
      </c>
      <c r="F277" s="1187" t="n">
        <v>99584970</v>
      </c>
      <c r="G277" s="1187" t="n">
        <v>0</v>
      </c>
      <c r="H277" s="1187" t="n">
        <v>99584970</v>
      </c>
    </row>
    <row r="278" ht="14.45" customHeight="1" s="1225">
      <c r="A278" s="1436" t="inlineStr">
        <is>
          <t>702101</t>
        </is>
      </c>
      <c r="B278" s="1436" t="inlineStr">
        <is>
          <t>VENTE DE PRODUIT FINI (CPA)</t>
        </is>
      </c>
      <c r="C278" s="1187" t="n">
        <v>0</v>
      </c>
      <c r="D278" s="1187" t="n">
        <v>0</v>
      </c>
      <c r="E278" s="1187" t="n">
        <v>83631142</v>
      </c>
      <c r="F278" s="1187" t="n">
        <v>16721128819</v>
      </c>
      <c r="G278" s="1187" t="n">
        <v>0</v>
      </c>
      <c r="H278" s="1187" t="n">
        <v>16637497677</v>
      </c>
    </row>
    <row r="279" ht="14.45" customHeight="1" s="1225">
      <c r="A279" s="1436" t="inlineStr">
        <is>
          <t>702102</t>
        </is>
      </c>
      <c r="B279" s="1436" t="inlineStr">
        <is>
          <t>VENTE DE PRODUIT FINI (CPJ)</t>
        </is>
      </c>
      <c r="C279" s="1187" t="n">
        <v>0</v>
      </c>
      <c r="D279" s="1187" t="n">
        <v>0</v>
      </c>
      <c r="E279" s="1187" t="n">
        <v>0</v>
      </c>
      <c r="F279" s="1187" t="n">
        <v>8497754664</v>
      </c>
      <c r="G279" s="1187" t="n">
        <v>0</v>
      </c>
      <c r="H279" s="1187" t="n">
        <v>8497754664</v>
      </c>
    </row>
    <row r="280" ht="14.45" customHeight="1" s="1225">
      <c r="A280" s="1436" t="inlineStr">
        <is>
          <t>702900</t>
        </is>
      </c>
      <c r="B280" s="1436" t="inlineStr">
        <is>
          <t>Rabais, remises, ristournes ac</t>
        </is>
      </c>
      <c r="C280" s="1187" t="n">
        <v>0</v>
      </c>
      <c r="D280" s="1187" t="n">
        <v>0</v>
      </c>
      <c r="E280" s="1187" t="n">
        <v>1052512750</v>
      </c>
      <c r="F280" s="1187" t="n">
        <v>0</v>
      </c>
      <c r="G280" s="1187" t="n">
        <v>1052512750</v>
      </c>
      <c r="H280" s="1187" t="n">
        <v>0</v>
      </c>
    </row>
    <row r="281" ht="14.45" customHeight="1" s="1225">
      <c r="A281" s="1436" t="inlineStr">
        <is>
          <t>736000</t>
        </is>
      </c>
      <c r="B281" s="1436" t="inlineStr">
        <is>
          <t>VARIATIONS DES STOCKS DE PRODU</t>
        </is>
      </c>
      <c r="C281" s="1187" t="n">
        <v>0</v>
      </c>
      <c r="D281" s="1187" t="n">
        <v>0</v>
      </c>
      <c r="E281" s="1187" t="n">
        <v>0</v>
      </c>
      <c r="F281" s="1187" t="n">
        <v>115491800</v>
      </c>
      <c r="G281" s="1187" t="n">
        <v>0</v>
      </c>
      <c r="H281" s="1187" t="n">
        <v>115491800</v>
      </c>
    </row>
    <row r="282" ht="14.45" customHeight="1" s="1225">
      <c r="A282" s="1436" t="inlineStr">
        <is>
          <t>758000</t>
        </is>
      </c>
      <c r="B282" s="1436" t="inlineStr">
        <is>
          <t>PRODUITS DIVERS</t>
        </is>
      </c>
      <c r="C282" s="1187" t="n">
        <v>0</v>
      </c>
      <c r="D282" s="1187" t="n">
        <v>0</v>
      </c>
      <c r="E282" s="1187" t="n">
        <v>0</v>
      </c>
      <c r="F282" s="1187" t="n">
        <v>1622597</v>
      </c>
      <c r="G282" s="1187" t="n">
        <v>0</v>
      </c>
      <c r="H282" s="1187" t="n">
        <v>1622597</v>
      </c>
    </row>
    <row r="283" ht="14.45" customHeight="1" s="1225">
      <c r="A283" s="1436" t="inlineStr">
        <is>
          <t>770000</t>
        </is>
      </c>
      <c r="B283" s="1436" t="inlineStr">
        <is>
          <t>REVENUS FINANCIERS ET PRODUITS</t>
        </is>
      </c>
      <c r="C283" s="1187" t="n">
        <v>0</v>
      </c>
      <c r="D283" s="1187" t="n">
        <v>0</v>
      </c>
      <c r="E283" s="1187" t="n">
        <v>3519604</v>
      </c>
      <c r="F283" s="1187" t="n">
        <v>16741536</v>
      </c>
      <c r="G283" s="1187" t="n">
        <v>0</v>
      </c>
      <c r="H283" s="1187" t="n">
        <v>13221932</v>
      </c>
    </row>
    <row r="284" ht="14.45" customHeight="1" s="1225">
      <c r="A284" s="1436" t="inlineStr">
        <is>
          <t>771300</t>
        </is>
      </c>
      <c r="B284" s="1436" t="inlineStr">
        <is>
          <t>Intérêts sur créances diverses</t>
        </is>
      </c>
      <c r="C284" s="1187" t="n">
        <v>0</v>
      </c>
      <c r="D284" s="1187" t="n">
        <v>0</v>
      </c>
      <c r="E284" s="1187" t="n">
        <v>0</v>
      </c>
      <c r="F284" s="1187" t="n">
        <v>135738374</v>
      </c>
      <c r="G284" s="1187" t="n">
        <v>0</v>
      </c>
      <c r="H284" s="1187" t="n">
        <v>135738374</v>
      </c>
    </row>
    <row r="285" ht="14.45" customHeight="1" s="1225">
      <c r="A285" s="1436" t="inlineStr">
        <is>
          <t>776000</t>
        </is>
      </c>
      <c r="B285" s="1436" t="inlineStr">
        <is>
          <t>GAINS DE CHANGE FINANCIERS</t>
        </is>
      </c>
      <c r="C285" s="1187" t="n">
        <v>0</v>
      </c>
      <c r="D285" s="1187" t="n">
        <v>0</v>
      </c>
      <c r="E285" s="1187" t="n">
        <v>0</v>
      </c>
      <c r="F285" s="1187" t="n">
        <v>646450</v>
      </c>
      <c r="G285" s="1187" t="n">
        <v>0</v>
      </c>
      <c r="H285" s="1187" t="n">
        <v>646450</v>
      </c>
    </row>
    <row r="286" ht="14.45" customHeight="1" s="1225">
      <c r="A286" s="1436" t="inlineStr">
        <is>
          <t>779000</t>
        </is>
      </c>
      <c r="B286" s="1436" t="inlineStr">
        <is>
          <t>REPRISES DE CHARGES POUR DEPRE</t>
        </is>
      </c>
      <c r="C286" s="1187" t="n">
        <v>0</v>
      </c>
      <c r="D286" s="1187" t="n">
        <v>0</v>
      </c>
      <c r="E286" s="1187" t="n">
        <v>0</v>
      </c>
      <c r="F286" s="1187" t="n">
        <v>925930</v>
      </c>
      <c r="G286" s="1187" t="n">
        <v>0</v>
      </c>
      <c r="H286" s="1187" t="n">
        <v>925930</v>
      </c>
    </row>
    <row r="287" ht="14.45" customHeight="1" s="1225">
      <c r="A287" s="1436" t="inlineStr">
        <is>
          <t>Total bilan</t>
        </is>
      </c>
      <c r="C287" s="1187" t="n">
        <v>0</v>
      </c>
      <c r="D287" s="1187" t="n">
        <v>3.0517578125e-07</v>
      </c>
      <c r="E287" s="1187" t="n">
        <v>217572759705.6</v>
      </c>
      <c r="F287" s="1187" t="n">
        <v>217046611076.58</v>
      </c>
      <c r="G287" s="1187" t="n">
        <v>526148629.02</v>
      </c>
      <c r="H287" s="1187" t="n">
        <v>0</v>
      </c>
    </row>
    <row r="288" ht="12.75" customHeight="1" s="1225">
      <c r="A288" s="1436" t="inlineStr">
        <is>
          <t>Total  gestion</t>
        </is>
      </c>
      <c r="C288" s="1187" t="n">
        <v>0</v>
      </c>
      <c r="D288" s="1187" t="n">
        <v>0</v>
      </c>
      <c r="E288" s="1187" t="n">
        <v>30379781302.98</v>
      </c>
      <c r="F288" s="1187" t="n">
        <v>30905929932</v>
      </c>
      <c r="G288" s="1187" t="n">
        <v>0</v>
      </c>
      <c r="H288" s="1187" t="n">
        <v>526148629.02</v>
      </c>
    </row>
    <row r="289" ht="12.75" customHeight="1" s="1225">
      <c r="A289" s="1436" t="inlineStr">
        <is>
          <t>Total hors-bilan</t>
        </is>
      </c>
      <c r="C289" s="1187" t="n">
        <v>0</v>
      </c>
      <c r="D289" s="1187" t="n">
        <v>0</v>
      </c>
      <c r="E289" s="1187" t="n">
        <v>0</v>
      </c>
      <c r="F289" s="1187" t="n">
        <v>0</v>
      </c>
      <c r="G289" s="1187" t="n">
        <v>0</v>
      </c>
      <c r="H289" s="1187" t="n">
        <v>0</v>
      </c>
    </row>
    <row r="290" ht="12.75" customHeight="1" s="1225">
      <c r="A290" s="1436" t="inlineStr">
        <is>
          <t>TOTAL SOCIETE</t>
        </is>
      </c>
      <c r="C290" s="1187" t="n">
        <v>0</v>
      </c>
      <c r="D290" s="1187" t="n">
        <v>3.0517578125e-07</v>
      </c>
      <c r="E290" s="1187" t="n">
        <v>247952541008.58</v>
      </c>
      <c r="F290" s="1187" t="n">
        <v>247952541008.58</v>
      </c>
      <c r="G290" s="1187" t="n">
        <v>0</v>
      </c>
      <c r="H290" s="1187" t="n">
        <v>0</v>
      </c>
    </row>
    <row r="292" ht="12.75" customHeight="1" s="1225">
      <c r="D292" s="1187">
        <f>SUM(D2:D291)</f>
        <v/>
      </c>
      <c r="E292" s="1187">
        <f>SUM(E2:E291)</f>
        <v/>
      </c>
    </row>
  </sheetData>
  <pageMargins left="0.7" right="0.7" top="0.75" bottom="0.75" header="0.3" footer="0.3"/>
  <pageSetup orientation="portrait" paperSize="9" scale="58"/>
</worksheet>
</file>

<file path=xl/worksheets/sheet70.xml><?xml version="1.0" encoding="utf-8"?>
<worksheet xmlns="http://schemas.openxmlformats.org/spreadsheetml/2006/main">
  <sheetPr>
    <tabColor theme="4" tint="0.5999938962981048"/>
    <outlinePr summaryBelow="1" summaryRight="1"/>
    <pageSetUpPr/>
  </sheetPr>
  <dimension ref="A1:L277"/>
  <sheetViews>
    <sheetView showGridLines="0" topLeftCell="A291" zoomScale="140" zoomScaleNormal="140" workbookViewId="0">
      <selection activeCell="B14" sqref="B14"/>
    </sheetView>
  </sheetViews>
  <sheetFormatPr baseColWidth="10" defaultRowHeight="15"/>
  <cols>
    <col width="8.85546875" customWidth="1" style="1225" min="1" max="1"/>
    <col width="16.42578125" customWidth="1" style="1225" min="2" max="2"/>
    <col width="10" customWidth="1" style="1225" min="3" max="4"/>
    <col width="8.28515625" customWidth="1" style="1225" min="5" max="5"/>
    <col width="5.85546875" customWidth="1" style="1225" min="6" max="6"/>
    <col width="13.140625" customWidth="1" style="1225" min="7" max="7"/>
    <col width="11.7109375" customWidth="1" style="1225" min="8" max="8"/>
    <col width="14" customWidth="1" style="1225" min="9" max="9"/>
    <col width="16.7109375" customWidth="1" style="1225" min="10" max="10"/>
    <col width="16" bestFit="1" customWidth="1" style="1225" min="11" max="11"/>
  </cols>
  <sheetData>
    <row r="1">
      <c r="A1" s="1889" t="inlineStr">
        <is>
          <t>SYSTEME NORMAL</t>
        </is>
      </c>
      <c r="B1" s="1873" t="n"/>
      <c r="C1" s="440" t="n"/>
      <c r="D1" s="1879" t="inlineStr">
        <is>
          <t>- 25 -</t>
        </is>
      </c>
      <c r="G1" s="1880" t="n"/>
      <c r="H1" s="1871" t="inlineStr">
        <is>
          <t xml:space="preserve">ETAT SUPPLEMENTAIRE N°1 </t>
        </is>
      </c>
      <c r="I1" s="1872" t="n"/>
      <c r="J1" s="1873" t="n"/>
    </row>
    <row r="2">
      <c r="A2" s="1333" t="inlineStr">
        <is>
          <t>Dénomination sociale de l'entité :</t>
        </is>
      </c>
      <c r="B2" s="369" t="n"/>
      <c r="C2" s="1874">
        <f>'Liste ETATS SUPPL DGI'!C3</f>
        <v/>
      </c>
      <c r="D2" s="1875" t="n"/>
      <c r="E2" s="1875" t="n"/>
      <c r="F2" s="1875" t="n"/>
      <c r="G2" s="1875" t="n"/>
      <c r="H2" s="1875" t="n"/>
      <c r="I2" s="1875" t="n"/>
      <c r="J2" s="1875" t="n"/>
    </row>
    <row r="3">
      <c r="A3" s="1333" t="inlineStr">
        <is>
          <t>Adresse :</t>
        </is>
      </c>
      <c r="B3" s="1874">
        <f>'Liste ETATS SUPPL DGI'!B4</f>
        <v/>
      </c>
      <c r="C3" s="1875" t="n"/>
      <c r="D3" s="1875" t="n"/>
      <c r="E3" s="1875" t="n"/>
      <c r="F3" s="1875" t="n"/>
      <c r="G3" s="1875" t="n"/>
      <c r="H3" s="1875" t="n"/>
      <c r="I3" s="114" t="inlineStr">
        <is>
          <t>Sigle usuel :</t>
        </is>
      </c>
      <c r="J3" s="1874">
        <f>'NOTE 38'!I4</f>
        <v/>
      </c>
    </row>
    <row r="4">
      <c r="A4" s="1451" t="inlineStr">
        <is>
          <t>N° IFU :</t>
        </is>
      </c>
      <c r="B4" s="1451" t="n"/>
      <c r="C4" s="1874">
        <f>'Liste ETATS SUPPL DGI'!C5</f>
        <v/>
      </c>
      <c r="D4" s="1875" t="n"/>
      <c r="E4" s="442" t="n"/>
      <c r="F4" s="442" t="n"/>
      <c r="G4" s="114" t="inlineStr">
        <is>
          <t>Exercice clos le :</t>
        </is>
      </c>
      <c r="H4" s="1089">
        <f>'Liste ETATS SUPPL DGI'!F5</f>
        <v/>
      </c>
      <c r="I4" s="114" t="inlineStr">
        <is>
          <t>Durée (en mois) :</t>
        </is>
      </c>
      <c r="J4" s="441">
        <f>'NOTE 38'!I5</f>
        <v/>
      </c>
    </row>
    <row r="5">
      <c r="A5" s="259" t="inlineStr">
        <is>
          <t xml:space="preserve">N° de télédéclarant (NES): </t>
        </is>
      </c>
      <c r="B5" s="1451" t="n"/>
      <c r="C5" s="1874">
        <f>'Liste ETATS SUPPL DGI'!C6</f>
        <v/>
      </c>
      <c r="D5" s="1875" t="n"/>
      <c r="E5" s="1875" t="n"/>
      <c r="F5" s="1875" t="n"/>
      <c r="G5" s="443" t="n"/>
      <c r="H5" s="441" t="n"/>
      <c r="I5" s="442" t="n"/>
      <c r="J5" s="442" t="n"/>
    </row>
    <row r="6" ht="5.25" customHeight="1" s="1225">
      <c r="A6" s="1451" t="n"/>
      <c r="B6" s="1451" t="n"/>
      <c r="C6" s="2030" t="n"/>
      <c r="D6" s="2030" t="n"/>
      <c r="E6" s="1589" t="n"/>
      <c r="F6" s="236" t="n"/>
      <c r="G6" s="1589" t="n"/>
      <c r="H6" s="2030" t="n"/>
      <c r="I6" s="48" t="n"/>
      <c r="J6" s="48" t="n"/>
    </row>
    <row r="7">
      <c r="A7" s="1887" t="inlineStr">
        <is>
          <t>ETAT SUPPLEMENTAIRE DIRECTION GENERALE DES IMPOTS/COMPTABILITE NATIONALE</t>
        </is>
      </c>
      <c r="B7" s="1872" t="n"/>
      <c r="C7" s="1872" t="n"/>
      <c r="D7" s="1872" t="n"/>
      <c r="E7" s="1872" t="n"/>
      <c r="F7" s="1872" t="n"/>
      <c r="G7" s="1872" t="n"/>
      <c r="H7" s="1872" t="n"/>
      <c r="I7" s="1872" t="n"/>
      <c r="J7" s="1873" t="n"/>
    </row>
    <row r="8" ht="5.25" customHeight="1" s="1225">
      <c r="A8" s="48" t="n"/>
      <c r="B8" s="48" t="n"/>
      <c r="C8" s="48" t="n"/>
      <c r="D8" s="48" t="n"/>
      <c r="E8" s="48" t="n"/>
      <c r="F8" s="48" t="n"/>
      <c r="G8" s="48" t="n"/>
      <c r="H8" s="48" t="n"/>
      <c r="I8" s="48" t="n"/>
      <c r="J8" s="48" t="n"/>
    </row>
    <row r="9">
      <c r="A9" s="1890" t="inlineStr">
        <is>
          <t>DETAIL DES CHARGES EN FCFA</t>
        </is>
      </c>
      <c r="B9" s="1884" t="n"/>
      <c r="C9" s="1884" t="n"/>
      <c r="D9" s="1884" t="n"/>
      <c r="E9" s="1884" t="n"/>
      <c r="F9" s="1884" t="n"/>
      <c r="G9" s="1876" t="inlineStr">
        <is>
          <t>Exercice N</t>
        </is>
      </c>
      <c r="H9" s="1888" t="inlineStr">
        <is>
          <t>Exercice N-1</t>
        </is>
      </c>
      <c r="I9" s="1876" t="inlineStr">
        <is>
          <t>Variation N/N-1</t>
        </is>
      </c>
      <c r="J9" s="1877" t="n"/>
    </row>
    <row r="10">
      <c r="A10" s="1891" t="n"/>
      <c r="G10" s="1878" t="n"/>
      <c r="H10" s="1885" t="n"/>
      <c r="I10" s="1881" t="inlineStr">
        <is>
          <t>En valeur</t>
        </is>
      </c>
      <c r="J10" s="1883" t="inlineStr">
        <is>
          <t>En %</t>
        </is>
      </c>
    </row>
    <row r="11" ht="13.15" customHeight="1" s="1225">
      <c r="A11" s="446" t="n">
        <v>6011</v>
      </c>
      <c r="B11" s="447" t="inlineStr">
        <is>
          <t>Achats de marchandises dans la région</t>
        </is>
      </c>
      <c r="C11" s="448" t="n"/>
      <c r="D11" s="448" t="n"/>
      <c r="E11" s="448" t="n"/>
      <c r="F11" s="449" t="n"/>
      <c r="G11" s="450" t="n"/>
      <c r="H11" s="451" t="n"/>
      <c r="I11" s="452">
        <f>G11-H11</f>
        <v/>
      </c>
      <c r="J11" s="453">
        <f>IF(H11,(G11-H11)/H11,IF(ISBLANK(H11),"",IF(G11,IF( G11 &gt; 0,1,-1),"")))</f>
        <v/>
      </c>
    </row>
    <row r="12" ht="13.15" customHeight="1" s="1225">
      <c r="A12" s="454" t="n">
        <v>6012</v>
      </c>
      <c r="B12" s="455" t="inlineStr">
        <is>
          <t>Achats de marchandises hors région</t>
        </is>
      </c>
      <c r="C12" s="1333" t="n"/>
      <c r="D12" s="1333" t="n"/>
      <c r="E12" s="1333" t="n"/>
      <c r="F12" s="456" t="n"/>
      <c r="G12" s="457" t="n"/>
      <c r="H12" s="457" t="n"/>
      <c r="I12" s="458">
        <f>G12-H12</f>
        <v/>
      </c>
      <c r="J12" s="459">
        <f>IF(H12,(G12-H12)/H12,IF(ISBLANK(H12),"",IF(G12,IF( G12 &gt; 0,1,-1),"")))</f>
        <v/>
      </c>
    </row>
    <row r="13" ht="13.15" customHeight="1" s="1225">
      <c r="A13" s="454" t="n">
        <v>6013</v>
      </c>
      <c r="B13" s="455" t="inlineStr">
        <is>
          <t>Achats de marchandises aux entités du groupe dans la région</t>
        </is>
      </c>
      <c r="C13" s="1333" t="n"/>
      <c r="D13" s="1333" t="n"/>
      <c r="E13" s="1333" t="n"/>
      <c r="F13" s="456" t="n"/>
      <c r="G13" s="457" t="n"/>
      <c r="H13" s="457" t="n"/>
      <c r="I13" s="458">
        <f>G13-H13</f>
        <v/>
      </c>
      <c r="J13" s="459">
        <f>IF(H13,(G13-H13)/H13,IF(ISBLANK(H13),"",IF(G13,IF( G13 &gt; 0,1,-1),"")))</f>
        <v/>
      </c>
    </row>
    <row r="14" ht="13.15" customHeight="1" s="1225">
      <c r="A14" s="454" t="n">
        <v>6014</v>
      </c>
      <c r="B14" s="455" t="inlineStr">
        <is>
          <t>Achats de marchandises aux entités du groupe hors région</t>
        </is>
      </c>
      <c r="C14" s="1333" t="n"/>
      <c r="D14" s="1333" t="n"/>
      <c r="E14" s="1333" t="n"/>
      <c r="F14" s="456" t="n"/>
      <c r="G14" s="457" t="n"/>
      <c r="H14" s="457" t="n"/>
      <c r="I14" s="458">
        <f>G14-H14</f>
        <v/>
      </c>
      <c r="J14" s="459">
        <f>IF(H14,(G14-H14)/H14,IF(ISBLANK(H14),"",IF(G14,IF( G14 &gt; 0,1,-1),"")))</f>
        <v/>
      </c>
    </row>
    <row r="15" ht="13.15" customHeight="1" s="1225">
      <c r="A15" s="454" t="n">
        <v>6015</v>
      </c>
      <c r="B15" s="455" t="inlineStr">
        <is>
          <t>Frais sur achats</t>
        </is>
      </c>
      <c r="C15" s="1333" t="n"/>
      <c r="D15" s="1333" t="n"/>
      <c r="E15" s="1333" t="n"/>
      <c r="F15" s="456" t="n"/>
      <c r="G15" s="457" t="n"/>
      <c r="H15" s="457" t="n"/>
      <c r="I15" s="458">
        <f>G15-H15</f>
        <v/>
      </c>
      <c r="J15" s="459">
        <f>IF(H15,(G15-H15)/H15,IF(ISBLANK(H15),"",IF(G15,IF( G15 &gt; 0,1,-1),"")))</f>
        <v/>
      </c>
    </row>
    <row r="16" ht="13.15" customHeight="1" s="1225" thickBot="1">
      <c r="A16" s="454" t="n">
        <v>6019</v>
      </c>
      <c r="B16" s="455" t="inlineStr">
        <is>
          <t>Rabais, remises et ristournes obtenus (non ventilés)</t>
        </is>
      </c>
      <c r="C16" s="1333" t="n"/>
      <c r="D16" s="1333" t="n"/>
      <c r="E16" s="1333" t="n"/>
      <c r="F16" s="456" t="n"/>
      <c r="G16" s="451" t="n"/>
      <c r="H16" s="451" t="n"/>
      <c r="I16" s="452">
        <f>G16-H16</f>
        <v/>
      </c>
      <c r="J16" s="453">
        <f>IF(H16,(G16-H16)/H16,IF(ISBLANK(H16),"",IF(G16,IF( G16 &gt; 0,1,-1),"")))</f>
        <v/>
      </c>
    </row>
    <row r="17" ht="13.15" customHeight="1" s="1225" thickBot="1" thickTop="1">
      <c r="A17" s="460" t="inlineStr">
        <is>
          <t>RA</t>
        </is>
      </c>
      <c r="B17" s="461" t="n"/>
      <c r="C17" s="372" t="inlineStr">
        <is>
          <t>Achats de marchandises</t>
        </is>
      </c>
      <c r="D17" s="1333" t="n"/>
      <c r="E17" s="1333" t="n"/>
      <c r="F17" s="456" t="n"/>
      <c r="G17" s="462" t="n">
        <v>0</v>
      </c>
      <c r="H17" s="462">
        <f>SUM(H11:H16)</f>
        <v/>
      </c>
      <c r="I17" s="462">
        <f>G17-H17</f>
        <v/>
      </c>
      <c r="J17" s="500">
        <f>IF(H17,(G17-H17)/H17,IF(ISBLANK(H17),"",IF(G17,IF( G17 &gt; 0,1,-1),"")))</f>
        <v/>
      </c>
    </row>
    <row r="18" ht="13.15" customHeight="1" s="1225" thickBot="1" thickTop="1">
      <c r="A18" s="454" t="n">
        <v>6031</v>
      </c>
      <c r="B18" s="455" t="inlineStr">
        <is>
          <t>Variation des stocks de marchandises</t>
        </is>
      </c>
      <c r="C18" s="1333" t="n"/>
      <c r="D18" s="1333" t="n"/>
      <c r="E18" s="1333" t="n"/>
      <c r="F18" s="456" t="n"/>
      <c r="G18" s="463" t="n"/>
      <c r="H18" s="463" t="n"/>
      <c r="I18" s="464">
        <f>G18-H18</f>
        <v/>
      </c>
      <c r="J18" s="500">
        <f>IF(H18,(G18-H18)/H18,IF(ISBLANK(H18),"",IF(G18,IF( G18 &gt; 0,1,-1),"")))</f>
        <v/>
      </c>
    </row>
    <row r="19" ht="13.15" customHeight="1" s="1225" thickBot="1" thickTop="1">
      <c r="A19" s="460" t="inlineStr">
        <is>
          <t>RB</t>
        </is>
      </c>
      <c r="B19" s="461" t="n"/>
      <c r="C19" s="372" t="inlineStr">
        <is>
          <t>Variation de stocks</t>
        </is>
      </c>
      <c r="D19" s="1333" t="n"/>
      <c r="E19" s="1333" t="n"/>
      <c r="F19" s="456" t="n"/>
      <c r="G19" s="462" t="n">
        <v>0</v>
      </c>
      <c r="H19" s="462">
        <f>H18</f>
        <v/>
      </c>
      <c r="I19" s="462">
        <f>G19-H19</f>
        <v/>
      </c>
      <c r="J19" s="500">
        <f>IF(H19,(G19-H19)/H19,IF(ISBLANK(H19),"",IF(G19,IF( G19 &gt; 0,1,-1),"")))</f>
        <v/>
      </c>
    </row>
    <row r="20" ht="13.15" customHeight="1" s="1225" thickTop="1">
      <c r="A20" s="454" t="n">
        <v>6021</v>
      </c>
      <c r="B20" s="455" t="inlineStr">
        <is>
          <t>Achats de matières premières et fournitures liées dans la région</t>
        </is>
      </c>
      <c r="C20" s="1333" t="n"/>
      <c r="D20" s="1333" t="n"/>
      <c r="E20" s="1333" t="n"/>
      <c r="F20" s="456" t="n"/>
      <c r="G20" s="451" t="n"/>
      <c r="H20" s="451" t="n"/>
      <c r="I20" s="452" t="n"/>
      <c r="J20" s="453" t="n"/>
    </row>
    <row r="21" ht="13.15" customHeight="1" s="1225">
      <c r="A21" s="454" t="n">
        <v>6022</v>
      </c>
      <c r="B21" s="455" t="inlineStr">
        <is>
          <t>Achats de matières premières et fournitures liées hors région</t>
        </is>
      </c>
      <c r="C21" s="1333" t="n"/>
      <c r="D21" s="1333" t="n"/>
      <c r="E21" s="1333" t="n"/>
      <c r="F21" s="456" t="n"/>
      <c r="G21" s="457" t="n"/>
      <c r="H21" s="457" t="n"/>
      <c r="I21" s="458" t="n"/>
      <c r="J21" s="459" t="n"/>
    </row>
    <row r="22" ht="13.15" customHeight="1" s="1225">
      <c r="A22" s="454" t="n">
        <v>6023</v>
      </c>
      <c r="B22" s="455" t="inlineStr">
        <is>
          <t>Achats de matières premières et fournitures liées aux entités du groupe dans la région</t>
        </is>
      </c>
      <c r="C22" s="1333" t="n"/>
      <c r="D22" s="1333" t="n"/>
      <c r="E22" s="1333" t="n"/>
      <c r="F22" s="456" t="n"/>
      <c r="G22" s="457" t="n"/>
      <c r="H22" s="457" t="n"/>
      <c r="I22" s="458" t="n"/>
      <c r="J22" s="459" t="n"/>
    </row>
    <row r="23" ht="13.15" customHeight="1" s="1225">
      <c r="A23" s="454" t="n">
        <v>6024</v>
      </c>
      <c r="B23" s="455" t="inlineStr">
        <is>
          <t>Achats de matières premières et fournitures liées aux entités du groupe hors région</t>
        </is>
      </c>
      <c r="C23" s="1333" t="n"/>
      <c r="D23" s="1333" t="n"/>
      <c r="E23" s="1333" t="n"/>
      <c r="F23" s="456" t="n"/>
      <c r="G23" s="457" t="n"/>
      <c r="H23" s="457" t="n"/>
      <c r="I23" s="458" t="n"/>
      <c r="J23" s="459" t="n"/>
    </row>
    <row r="24" ht="13.15" customHeight="1" s="1225">
      <c r="A24" s="454" t="n">
        <v>6025</v>
      </c>
      <c r="B24" s="455" t="inlineStr">
        <is>
          <t>Frais sur achats</t>
        </is>
      </c>
      <c r="C24" s="1333" t="n"/>
      <c r="D24" s="1333" t="n"/>
      <c r="E24" s="1333" t="n"/>
      <c r="F24" s="456" t="n"/>
      <c r="G24" s="457" t="n"/>
      <c r="H24" s="457" t="n"/>
      <c r="I24" s="458" t="n"/>
      <c r="J24" s="459" t="n"/>
    </row>
    <row r="25" ht="13.15" customHeight="1" s="1225" thickBot="1">
      <c r="A25" s="454" t="n">
        <v>6029</v>
      </c>
      <c r="B25" s="455" t="inlineStr">
        <is>
          <t>Rabais, remises et ristournes obtenus (non ventilés)</t>
        </is>
      </c>
      <c r="C25" s="1333" t="n"/>
      <c r="D25" s="1333" t="n"/>
      <c r="E25" s="1333" t="n"/>
      <c r="F25" s="456" t="n"/>
      <c r="G25" s="451" t="n"/>
      <c r="H25" s="451" t="n"/>
      <c r="I25" s="452" t="n"/>
      <c r="J25" s="453" t="n"/>
    </row>
    <row r="26" ht="13.15" customHeight="1" s="1225" thickBot="1" thickTop="1">
      <c r="A26" s="460" t="inlineStr">
        <is>
          <t>RC</t>
        </is>
      </c>
      <c r="B26" s="461" t="n"/>
      <c r="C26" s="372" t="inlineStr">
        <is>
          <t>Achats de matières premières et fournitures liées</t>
        </is>
      </c>
      <c r="D26" s="1333" t="n"/>
      <c r="E26" s="1333" t="n"/>
      <c r="F26" s="456" t="n"/>
      <c r="G26" s="462" t="n"/>
      <c r="H26" s="462" t="n"/>
      <c r="I26" s="462" t="n"/>
      <c r="J26" s="500" t="n"/>
    </row>
    <row r="27" ht="13.15" customHeight="1" s="1225" thickBot="1" thickTop="1">
      <c r="A27" s="454" t="n">
        <v>6032</v>
      </c>
      <c r="B27" s="455" t="inlineStr">
        <is>
          <t>Variation des stocks de matières premières et fournitures liées</t>
        </is>
      </c>
      <c r="C27" s="1333" t="n"/>
      <c r="D27" s="1333" t="n"/>
      <c r="E27" s="1333" t="n"/>
      <c r="F27" s="456" t="n"/>
      <c r="G27" s="463" t="n"/>
      <c r="H27" s="463" t="n"/>
      <c r="I27" s="464" t="n"/>
      <c r="J27" s="500" t="n"/>
    </row>
    <row r="28" ht="13.15" customHeight="1" s="1225" thickBot="1" thickTop="1">
      <c r="A28" s="460" t="inlineStr">
        <is>
          <t>RD</t>
        </is>
      </c>
      <c r="B28" s="461" t="n"/>
      <c r="C28" s="372" t="inlineStr">
        <is>
          <t>Variation de stocks de matières premières</t>
        </is>
      </c>
      <c r="D28" s="1333" t="n"/>
      <c r="E28" s="1333" t="n"/>
      <c r="F28" s="456" t="n"/>
      <c r="G28" s="462" t="n"/>
      <c r="H28" s="462" t="n"/>
      <c r="I28" s="462" t="n"/>
      <c r="J28" s="500" t="n"/>
    </row>
    <row r="29" ht="13.15" customHeight="1" s="1225" thickTop="1">
      <c r="A29" s="454" t="n">
        <v>6041</v>
      </c>
      <c r="B29" s="455" t="inlineStr">
        <is>
          <t>Matières consommables</t>
        </is>
      </c>
      <c r="C29" s="1333" t="n"/>
      <c r="D29" s="1333" t="n"/>
      <c r="E29" s="1333" t="n"/>
      <c r="F29" s="456" t="n"/>
      <c r="G29" s="451" t="n"/>
      <c r="H29" s="451" t="n"/>
      <c r="I29" s="452" t="n"/>
      <c r="J29" s="453" t="n"/>
    </row>
    <row r="30" ht="13.15" customHeight="1" s="1225">
      <c r="A30" s="454" t="n">
        <v>6042</v>
      </c>
      <c r="B30" s="455" t="inlineStr">
        <is>
          <t>Matières combustibles</t>
        </is>
      </c>
      <c r="C30" s="1333" t="n"/>
      <c r="D30" s="1333" t="n"/>
      <c r="E30" s="1333" t="n"/>
      <c r="F30" s="456" t="n"/>
      <c r="G30" s="457" t="n"/>
      <c r="H30" s="457" t="n"/>
      <c r="I30" s="458" t="n"/>
      <c r="J30" s="459" t="n"/>
    </row>
    <row r="31" ht="13.15" customHeight="1" s="1225">
      <c r="A31" s="454" t="n">
        <v>6043</v>
      </c>
      <c r="B31" s="455" t="inlineStr">
        <is>
          <t>Produits d'entretien</t>
        </is>
      </c>
      <c r="C31" s="1333" t="n"/>
      <c r="D31" s="1333" t="n"/>
      <c r="E31" s="1333" t="n"/>
      <c r="F31" s="456" t="n"/>
      <c r="G31" s="457" t="n"/>
      <c r="H31" s="457" t="n"/>
      <c r="I31" s="458" t="n"/>
      <c r="J31" s="459" t="n"/>
    </row>
    <row r="32" ht="13.15" customHeight="1" s="1225">
      <c r="A32" s="454" t="n">
        <v>6044</v>
      </c>
      <c r="B32" s="455" t="inlineStr">
        <is>
          <t>Fournitures d'atelier et d'usine</t>
        </is>
      </c>
      <c r="C32" s="1333" t="n"/>
      <c r="D32" s="1333" t="n"/>
      <c r="E32" s="1333" t="n"/>
      <c r="F32" s="456" t="n"/>
      <c r="G32" s="457" t="n"/>
      <c r="H32" s="457" t="n"/>
      <c r="I32" s="458" t="n"/>
      <c r="J32" s="459" t="n"/>
    </row>
    <row r="33" ht="13.15" customHeight="1" s="1225">
      <c r="A33" s="454" t="n">
        <v>6045</v>
      </c>
      <c r="B33" s="455" t="inlineStr">
        <is>
          <t>Frais sur achats</t>
        </is>
      </c>
      <c r="C33" s="1333" t="n"/>
      <c r="D33" s="1333" t="n"/>
      <c r="E33" s="1333" t="n"/>
      <c r="F33" s="456" t="n"/>
      <c r="G33" s="457" t="n"/>
      <c r="H33" s="457" t="n"/>
      <c r="I33" s="458" t="n"/>
      <c r="J33" s="459" t="n"/>
    </row>
    <row r="34" ht="13.15" customHeight="1" s="1225">
      <c r="A34" s="454" t="n">
        <v>6046</v>
      </c>
      <c r="B34" s="455" t="inlineStr">
        <is>
          <t>Fournitures de magasin</t>
        </is>
      </c>
      <c r="C34" s="1333" t="n"/>
      <c r="D34" s="1333" t="n"/>
      <c r="E34" s="1333" t="n"/>
      <c r="F34" s="456" t="n"/>
      <c r="G34" s="457" t="n"/>
      <c r="H34" s="457" t="n"/>
      <c r="I34" s="458" t="n"/>
      <c r="J34" s="459" t="n"/>
    </row>
    <row r="35" ht="13.15" customHeight="1" s="1225">
      <c r="A35" s="454" t="n">
        <v>6047</v>
      </c>
      <c r="B35" s="455" t="inlineStr">
        <is>
          <t>Fournitures de bureau</t>
        </is>
      </c>
      <c r="C35" s="1333" t="n"/>
      <c r="D35" s="1333" t="n"/>
      <c r="E35" s="1333" t="n"/>
      <c r="F35" s="456" t="n"/>
      <c r="G35" s="457" t="n"/>
      <c r="H35" s="457" t="n"/>
      <c r="I35" s="458" t="n"/>
      <c r="J35" s="459" t="n"/>
    </row>
    <row r="36" ht="13.15" customHeight="1" s="1225">
      <c r="A36" s="454" t="n">
        <v>6049</v>
      </c>
      <c r="B36" s="455" t="inlineStr">
        <is>
          <t>Rabais, remises et ristournes obtenus (non ventilés)</t>
        </is>
      </c>
      <c r="C36" s="1333" t="n"/>
      <c r="D36" s="1333" t="n"/>
      <c r="E36" s="1333" t="n"/>
      <c r="F36" s="456" t="n"/>
      <c r="G36" s="457" t="n"/>
      <c r="H36" s="457" t="n"/>
      <c r="I36" s="458" t="n"/>
      <c r="J36" s="459" t="n"/>
    </row>
    <row r="37" ht="13.15" customHeight="1" s="1225">
      <c r="A37" s="454" t="n">
        <v>6051</v>
      </c>
      <c r="B37" s="455" t="inlineStr">
        <is>
          <t>Fournitures non stockables-Eau</t>
        </is>
      </c>
      <c r="C37" s="1333" t="n"/>
      <c r="D37" s="1333" t="n"/>
      <c r="E37" s="1333" t="n"/>
      <c r="F37" s="456" t="n"/>
      <c r="G37" s="457" t="n"/>
      <c r="H37" s="457" t="n"/>
      <c r="I37" s="458" t="n"/>
      <c r="J37" s="459" t="n"/>
    </row>
    <row r="38" ht="13.15" customHeight="1" s="1225">
      <c r="A38" s="454" t="n">
        <v>6052</v>
      </c>
      <c r="B38" s="455" t="inlineStr">
        <is>
          <t>Fournitures non stockables-Electricité</t>
        </is>
      </c>
      <c r="C38" s="1333" t="n"/>
      <c r="D38" s="1333" t="n"/>
      <c r="E38" s="1333" t="n"/>
      <c r="F38" s="456" t="n"/>
      <c r="G38" s="457" t="n"/>
      <c r="H38" s="457" t="n"/>
      <c r="I38" s="458" t="n"/>
      <c r="J38" s="459" t="n"/>
    </row>
    <row r="39" ht="13.15" customHeight="1" s="1225">
      <c r="A39" s="454" t="n">
        <v>6053</v>
      </c>
      <c r="B39" s="455" t="inlineStr">
        <is>
          <t>Fournitures non stockables-Autres énergies</t>
        </is>
      </c>
      <c r="C39" s="1333" t="n"/>
      <c r="D39" s="1333" t="n"/>
      <c r="E39" s="1333" t="n"/>
      <c r="F39" s="456" t="n"/>
      <c r="G39" s="457" t="n"/>
      <c r="H39" s="457" t="n"/>
      <c r="I39" s="458" t="n"/>
      <c r="J39" s="459" t="n"/>
    </row>
    <row r="40" ht="13.15" customHeight="1" s="1225">
      <c r="A40" s="454" t="n">
        <v>6054</v>
      </c>
      <c r="B40" s="455" t="inlineStr">
        <is>
          <t>Fournitures d'entretien non stockables</t>
        </is>
      </c>
      <c r="C40" s="1333" t="n"/>
      <c r="D40" s="1333" t="n"/>
      <c r="E40" s="1333" t="n"/>
      <c r="F40" s="456" t="n"/>
      <c r="G40" s="457" t="n"/>
      <c r="H40" s="457" t="n"/>
      <c r="I40" s="458" t="n"/>
      <c r="J40" s="459" t="n"/>
    </row>
    <row r="41" ht="13.15" customHeight="1" s="1225">
      <c r="A41" s="454" t="n">
        <v>6055</v>
      </c>
      <c r="B41" s="455" t="inlineStr">
        <is>
          <t>Fournitures de bureau non stockables</t>
        </is>
      </c>
      <c r="C41" s="1333" t="n"/>
      <c r="D41" s="1333" t="n"/>
      <c r="E41" s="1333" t="n"/>
      <c r="F41" s="456" t="n"/>
      <c r="G41" s="457" t="n"/>
      <c r="H41" s="457" t="n"/>
      <c r="I41" s="458" t="n"/>
      <c r="J41" s="459" t="n"/>
    </row>
    <row r="42" ht="13.15" customHeight="1" s="1225">
      <c r="A42" s="454" t="n">
        <v>6056</v>
      </c>
      <c r="B42" s="455" t="inlineStr">
        <is>
          <t>Achats de petit matériel et outillage</t>
        </is>
      </c>
      <c r="C42" s="1333" t="n"/>
      <c r="D42" s="1333" t="n"/>
      <c r="E42" s="1333" t="n"/>
      <c r="F42" s="456" t="n"/>
      <c r="G42" s="457" t="n"/>
      <c r="H42" s="457" t="n"/>
      <c r="I42" s="458" t="n"/>
      <c r="J42" s="459" t="n"/>
    </row>
    <row r="43" ht="13.15" customHeight="1" s="1225">
      <c r="A43" s="454" t="n">
        <v>6057</v>
      </c>
      <c r="B43" s="455" t="inlineStr">
        <is>
          <t>Achats d'études et prestations de services</t>
        </is>
      </c>
      <c r="C43" s="1333" t="n"/>
      <c r="D43" s="1333" t="n"/>
      <c r="E43" s="1333" t="n"/>
      <c r="F43" s="456" t="n"/>
      <c r="G43" s="457" t="n"/>
      <c r="H43" s="457" t="n"/>
      <c r="I43" s="458" t="n"/>
      <c r="J43" s="459" t="n"/>
    </row>
    <row r="44" ht="13.15" customHeight="1" s="1225">
      <c r="A44" s="454" t="n">
        <v>6058</v>
      </c>
      <c r="B44" s="455" t="inlineStr">
        <is>
          <t>Achats de travaux, matériels et équipements</t>
        </is>
      </c>
      <c r="C44" s="1333" t="n"/>
      <c r="D44" s="1333" t="n"/>
      <c r="E44" s="1333" t="n"/>
      <c r="F44" s="456" t="n"/>
      <c r="G44" s="457" t="n"/>
      <c r="H44" s="457" t="n"/>
      <c r="I44" s="458" t="n"/>
      <c r="J44" s="459" t="n"/>
    </row>
    <row r="45" ht="13.15" customHeight="1" s="1225">
      <c r="A45" s="454" t="n">
        <v>6059</v>
      </c>
      <c r="B45" s="455" t="inlineStr">
        <is>
          <t>Rabais, remises et ristournes obtenus (non ventilés)</t>
        </is>
      </c>
      <c r="C45" s="1333" t="n"/>
      <c r="D45" s="1333" t="n"/>
      <c r="E45" s="1333" t="n"/>
      <c r="F45" s="456" t="n"/>
      <c r="G45" s="457" t="n"/>
      <c r="H45" s="457" t="n"/>
      <c r="I45" s="458" t="n"/>
      <c r="J45" s="459" t="n"/>
    </row>
    <row r="46" ht="13.15" customHeight="1" s="1225">
      <c r="A46" s="454" t="n">
        <v>6081</v>
      </c>
      <c r="B46" s="455" t="inlineStr">
        <is>
          <t>Emballages perdus</t>
        </is>
      </c>
      <c r="C46" s="1333" t="n"/>
      <c r="D46" s="1333" t="n"/>
      <c r="E46" s="1333" t="n"/>
      <c r="F46" s="456" t="n"/>
      <c r="G46" s="457" t="n"/>
      <c r="H46" s="457" t="n"/>
      <c r="I46" s="458" t="n"/>
      <c r="J46" s="459" t="n"/>
    </row>
    <row r="47" ht="13.15" customHeight="1" s="1225">
      <c r="A47" s="454" t="n">
        <v>6082</v>
      </c>
      <c r="B47" s="455" t="inlineStr">
        <is>
          <t>Emballages récupérables non identifiables</t>
        </is>
      </c>
      <c r="C47" s="1333" t="n"/>
      <c r="D47" s="1333" t="n"/>
      <c r="E47" s="1333" t="n"/>
      <c r="F47" s="456" t="n"/>
      <c r="G47" s="457" t="n"/>
      <c r="H47" s="457" t="n"/>
      <c r="I47" s="458" t="n"/>
      <c r="J47" s="459" t="n"/>
    </row>
    <row r="48" ht="13.15" customHeight="1" s="1225">
      <c r="A48" s="454" t="n">
        <v>6083</v>
      </c>
      <c r="B48" s="455" t="inlineStr">
        <is>
          <t>Emballages à usage mixte</t>
        </is>
      </c>
      <c r="C48" s="1333" t="n"/>
      <c r="D48" s="1333" t="n"/>
      <c r="E48" s="1333" t="n"/>
      <c r="F48" s="456" t="n"/>
      <c r="G48" s="457" t="n"/>
      <c r="H48" s="457" t="n"/>
      <c r="I48" s="458" t="n"/>
      <c r="J48" s="459" t="n"/>
    </row>
    <row r="49" ht="13.15" customHeight="1" s="1225">
      <c r="A49" s="454" t="n">
        <v>6085</v>
      </c>
      <c r="B49" s="455" t="inlineStr">
        <is>
          <t>Frais sur achats</t>
        </is>
      </c>
      <c r="C49" s="1333" t="n"/>
      <c r="D49" s="1333" t="n"/>
      <c r="E49" s="1333" t="n"/>
      <c r="F49" s="456" t="n"/>
      <c r="G49" s="457" t="n"/>
      <c r="H49" s="457" t="n"/>
      <c r="I49" s="458" t="n"/>
      <c r="J49" s="459" t="n"/>
    </row>
    <row r="50" ht="13.15" customHeight="1" s="1225" thickBot="1">
      <c r="A50" s="454" t="n">
        <v>6089</v>
      </c>
      <c r="B50" s="455" t="inlineStr">
        <is>
          <t>Rabais, remises et ristournes obtenus (non ventilés)</t>
        </is>
      </c>
      <c r="C50" s="1333" t="n"/>
      <c r="D50" s="1333" t="n"/>
      <c r="E50" s="1333" t="n"/>
      <c r="F50" s="456" t="n"/>
      <c r="G50" s="451" t="n"/>
      <c r="H50" s="451" t="n"/>
      <c r="I50" s="452" t="n"/>
      <c r="J50" s="453" t="n"/>
    </row>
    <row r="51" ht="13.15" customHeight="1" s="1225" thickBot="1" thickTop="1">
      <c r="A51" s="460" t="inlineStr">
        <is>
          <t>RE</t>
        </is>
      </c>
      <c r="B51" s="461" t="n"/>
      <c r="C51" s="372" t="inlineStr">
        <is>
          <t>Autres achats</t>
        </is>
      </c>
      <c r="D51" s="1333" t="n"/>
      <c r="E51" s="1333" t="n"/>
      <c r="F51" s="456" t="n"/>
      <c r="G51" s="462" t="n"/>
      <c r="H51" s="462" t="n"/>
      <c r="I51" s="462" t="n"/>
      <c r="J51" s="500" t="n"/>
      <c r="L51" s="1992" t="n"/>
    </row>
    <row r="52" ht="13.15" customHeight="1" s="1225" thickBot="1" thickTop="1">
      <c r="A52" s="454" t="n">
        <v>6033</v>
      </c>
      <c r="B52" s="455" t="inlineStr">
        <is>
          <t>Variation des stocks d'autres approvisionnements</t>
        </is>
      </c>
      <c r="C52" s="1333" t="n"/>
      <c r="D52" s="1333" t="n"/>
      <c r="E52" s="1333" t="n"/>
      <c r="F52" s="456" t="n"/>
      <c r="G52" s="463" t="n"/>
      <c r="H52" s="463" t="n"/>
      <c r="I52" s="464" t="n"/>
      <c r="J52" s="500" t="n"/>
    </row>
    <row r="53" ht="13.15" customHeight="1" s="1225" thickBot="1" thickTop="1">
      <c r="A53" s="460" t="inlineStr">
        <is>
          <t>RF</t>
        </is>
      </c>
      <c r="B53" s="461" t="n"/>
      <c r="C53" s="372" t="inlineStr">
        <is>
          <t>Variation de stocks d'autres approvisionnements</t>
        </is>
      </c>
      <c r="D53" s="1333" t="n"/>
      <c r="E53" s="1333" t="n"/>
      <c r="F53" s="456" t="n"/>
      <c r="G53" s="462" t="n"/>
      <c r="H53" s="462" t="n"/>
      <c r="I53" s="462" t="n"/>
      <c r="J53" s="500" t="n"/>
    </row>
    <row r="54" ht="13.15" customHeight="1" s="1225" thickTop="1">
      <c r="A54" s="454" t="n">
        <v>612</v>
      </c>
      <c r="B54" s="455" t="inlineStr">
        <is>
          <t>Transports sur ventes</t>
        </is>
      </c>
      <c r="C54" s="1333" t="n"/>
      <c r="D54" s="1333" t="n"/>
      <c r="E54" s="1333" t="n"/>
      <c r="F54" s="456" t="n"/>
      <c r="G54" s="451" t="n"/>
      <c r="H54" s="451" t="n"/>
      <c r="I54" s="452" t="n"/>
      <c r="J54" s="453" t="n"/>
    </row>
    <row r="55" ht="13.15" customHeight="1" s="1225">
      <c r="A55" s="454" t="n">
        <v>613</v>
      </c>
      <c r="B55" s="455" t="inlineStr">
        <is>
          <t>Transports pour le compte de tiers</t>
        </is>
      </c>
      <c r="C55" s="1333" t="n"/>
      <c r="D55" s="1333" t="n"/>
      <c r="E55" s="1333" t="n"/>
      <c r="F55" s="456" t="n"/>
      <c r="G55" s="457" t="n"/>
      <c r="H55" s="457" t="n"/>
      <c r="I55" s="458" t="n"/>
      <c r="J55" s="459" t="n"/>
    </row>
    <row r="56" ht="13.15" customHeight="1" s="1225">
      <c r="A56" s="454" t="n">
        <v>614</v>
      </c>
      <c r="B56" s="455" t="inlineStr">
        <is>
          <t>Transports du personnel</t>
        </is>
      </c>
      <c r="C56" s="1333" t="n"/>
      <c r="D56" s="1333" t="n"/>
      <c r="E56" s="1333" t="n"/>
      <c r="F56" s="456" t="n"/>
      <c r="G56" s="457" t="n"/>
      <c r="H56" s="457" t="n"/>
      <c r="I56" s="458" t="n"/>
      <c r="J56" s="459" t="n"/>
    </row>
    <row r="57" ht="13.15" customHeight="1" s="1225">
      <c r="A57" s="454" t="n">
        <v>616</v>
      </c>
      <c r="B57" s="455" t="inlineStr">
        <is>
          <t>Transports de plis</t>
        </is>
      </c>
      <c r="C57" s="1333" t="n"/>
      <c r="D57" s="1333" t="n"/>
      <c r="E57" s="1333" t="n"/>
      <c r="F57" s="456" t="n"/>
      <c r="G57" s="457" t="n"/>
      <c r="H57" s="457" t="n"/>
      <c r="I57" s="458" t="n"/>
      <c r="J57" s="459" t="n"/>
    </row>
    <row r="58" ht="13.15" customHeight="1" s="1225">
      <c r="A58" s="454" t="n">
        <v>6181</v>
      </c>
      <c r="B58" s="455" t="inlineStr">
        <is>
          <t>Voyages et déplacements</t>
        </is>
      </c>
      <c r="C58" s="1333" t="n"/>
      <c r="D58" s="1333" t="n"/>
      <c r="E58" s="1333" t="n"/>
      <c r="F58" s="456" t="n"/>
      <c r="G58" s="457" t="n"/>
      <c r="H58" s="457" t="n"/>
      <c r="I58" s="458" t="n"/>
      <c r="J58" s="459" t="n"/>
    </row>
    <row r="59" ht="13.15" customHeight="1" s="1225">
      <c r="A59" s="454" t="n">
        <v>6182</v>
      </c>
      <c r="B59" s="455" t="inlineStr">
        <is>
          <t>Transports entre établissements et chantiers</t>
        </is>
      </c>
      <c r="C59" s="1333" t="n"/>
      <c r="D59" s="1333" t="n"/>
      <c r="E59" s="1333" t="n"/>
      <c r="F59" s="456" t="n"/>
      <c r="G59" s="457" t="n"/>
      <c r="H59" s="457" t="n"/>
      <c r="I59" s="458" t="n"/>
      <c r="J59" s="459" t="n"/>
    </row>
    <row r="60" ht="13.15" customHeight="1" s="1225">
      <c r="A60" s="454" t="n">
        <v>6183</v>
      </c>
      <c r="B60" s="455" t="inlineStr">
        <is>
          <t>Transports administratifs</t>
        </is>
      </c>
      <c r="C60" s="1333" t="n"/>
      <c r="D60" s="1333" t="n"/>
      <c r="E60" s="1333" t="n"/>
      <c r="F60" s="456" t="n"/>
      <c r="G60" s="457" t="n"/>
      <c r="H60" s="457" t="n"/>
      <c r="I60" s="458" t="n"/>
      <c r="J60" s="459" t="n"/>
    </row>
    <row r="61" ht="13.15" customHeight="1" s="1225" thickBot="1">
      <c r="A61" s="454" t="n">
        <v>619</v>
      </c>
      <c r="B61" s="455" t="inlineStr">
        <is>
          <t>Rabais, remises et ristournes obtenus (non ventilés)</t>
        </is>
      </c>
      <c r="C61" s="163" t="n"/>
      <c r="D61" s="163" t="n"/>
      <c r="E61" s="163" t="n"/>
      <c r="F61" s="575" t="n"/>
      <c r="G61" s="576" t="n"/>
      <c r="H61" s="576" t="n"/>
      <c r="I61" s="577" t="n"/>
      <c r="J61" s="459" t="n"/>
    </row>
    <row r="62" ht="13.15" customHeight="1" s="1225" thickBot="1" thickTop="1">
      <c r="A62" s="460" t="inlineStr">
        <is>
          <t>RG</t>
        </is>
      </c>
      <c r="B62" s="461" t="n"/>
      <c r="C62" s="372" t="inlineStr">
        <is>
          <t>Transports</t>
        </is>
      </c>
      <c r="D62" s="1333" t="n"/>
      <c r="E62" s="1333" t="n"/>
      <c r="F62" s="456" t="n"/>
      <c r="G62" s="462" t="n"/>
      <c r="H62" s="462" t="n"/>
      <c r="I62" s="462" t="n"/>
      <c r="J62" s="500" t="n"/>
    </row>
    <row r="63" ht="13.15" customHeight="1" s="1225" thickTop="1">
      <c r="A63" s="454" t="n">
        <v>621</v>
      </c>
      <c r="B63" s="455" t="inlineStr">
        <is>
          <t>Sous-traitance générale</t>
        </is>
      </c>
      <c r="C63" s="1333" t="n"/>
      <c r="D63" s="1333" t="n"/>
      <c r="E63" s="1333" t="n"/>
      <c r="F63" s="456" t="n"/>
      <c r="G63" s="451" t="n"/>
      <c r="H63" s="451" t="n"/>
      <c r="I63" s="452" t="n"/>
      <c r="J63" s="453" t="n"/>
    </row>
    <row r="64" ht="13.15" customHeight="1" s="1225">
      <c r="A64" s="454" t="n">
        <v>6221</v>
      </c>
      <c r="B64" s="455" t="inlineStr">
        <is>
          <t>Location de terrains</t>
        </is>
      </c>
      <c r="C64" s="1333" t="n"/>
      <c r="D64" s="1333" t="n"/>
      <c r="E64" s="1333" t="n"/>
      <c r="F64" s="456" t="n"/>
      <c r="G64" s="457" t="n"/>
      <c r="H64" s="457" t="n"/>
      <c r="I64" s="458" t="n"/>
      <c r="J64" s="459" t="n"/>
    </row>
    <row r="65" ht="13.15" customHeight="1" s="1225">
      <c r="A65" s="454" t="n">
        <v>6222</v>
      </c>
      <c r="B65" s="455" t="inlineStr">
        <is>
          <t>Location de bâtiments</t>
        </is>
      </c>
      <c r="C65" s="1333" t="n"/>
      <c r="D65" s="1333" t="n"/>
      <c r="E65" s="1333" t="n"/>
      <c r="F65" s="456" t="n"/>
      <c r="G65" s="457" t="n"/>
      <c r="H65" s="457" t="n"/>
      <c r="I65" s="458" t="n"/>
      <c r="J65" s="459" t="n"/>
    </row>
    <row r="66" ht="13.15" customHeight="1" s="1225">
      <c r="A66" s="454" t="n">
        <v>6223</v>
      </c>
      <c r="B66" s="455" t="inlineStr">
        <is>
          <t>Location de matériels et outillages</t>
        </is>
      </c>
      <c r="C66" s="1333" t="n"/>
      <c r="D66" s="1333" t="n"/>
      <c r="E66" s="1333" t="n"/>
      <c r="F66" s="456" t="n"/>
      <c r="G66" s="457" t="n"/>
      <c r="H66" s="457" t="n"/>
      <c r="I66" s="458" t="n"/>
      <c r="J66" s="459" t="n"/>
    </row>
    <row r="67" ht="13.15" customHeight="1" s="1225">
      <c r="A67" s="454" t="n">
        <v>6224</v>
      </c>
      <c r="B67" s="455" t="inlineStr">
        <is>
          <t>Malis sur emballages</t>
        </is>
      </c>
      <c r="C67" s="1333" t="n"/>
      <c r="D67" s="1333" t="n"/>
      <c r="E67" s="1333" t="n"/>
      <c r="F67" s="456" t="n"/>
      <c r="G67" s="457" t="n"/>
      <c r="H67" s="457" t="n"/>
      <c r="I67" s="458" t="n"/>
      <c r="J67" s="459" t="n"/>
    </row>
    <row r="68" ht="13.15" customHeight="1" s="1225">
      <c r="A68" s="454" t="n">
        <v>6225</v>
      </c>
      <c r="B68" s="455" t="inlineStr">
        <is>
          <t>Locations d'emballages</t>
        </is>
      </c>
      <c r="C68" s="1333" t="n"/>
      <c r="D68" s="1333" t="n"/>
      <c r="E68" s="1333" t="n"/>
      <c r="F68" s="456" t="n"/>
      <c r="G68" s="457" t="n"/>
      <c r="H68" s="457" t="n"/>
      <c r="I68" s="458" t="n"/>
      <c r="J68" s="459" t="n"/>
    </row>
    <row r="69" ht="13.15" customHeight="1" s="1225">
      <c r="A69" s="454" t="n">
        <v>6226</v>
      </c>
      <c r="B69" s="455" t="inlineStr">
        <is>
          <t>Fermages et loyers du foncier</t>
        </is>
      </c>
      <c r="C69" s="1333" t="n"/>
      <c r="D69" s="1333" t="n"/>
      <c r="E69" s="1333" t="n"/>
      <c r="F69" s="456" t="n"/>
      <c r="G69" s="457" t="n"/>
      <c r="H69" s="457" t="n"/>
      <c r="I69" s="458" t="n"/>
      <c r="J69" s="459" t="n"/>
    </row>
    <row r="70" ht="13.15" customHeight="1" s="1225">
      <c r="A70" s="454" t="n">
        <v>6228</v>
      </c>
      <c r="B70" s="455" t="inlineStr">
        <is>
          <t>Locations  et charges locatives diverses</t>
        </is>
      </c>
      <c r="C70" s="1333" t="n"/>
      <c r="D70" s="1333" t="n"/>
      <c r="E70" s="1333" t="n"/>
      <c r="F70" s="456" t="n"/>
      <c r="G70" s="457" t="n"/>
      <c r="H70" s="457" t="n"/>
      <c r="I70" s="458" t="n"/>
      <c r="J70" s="459" t="n"/>
    </row>
    <row r="71" ht="13.15" customHeight="1" s="1225">
      <c r="A71" s="454" t="n">
        <v>6232</v>
      </c>
      <c r="B71" s="455" t="inlineStr">
        <is>
          <t>Crédit-bail immobilier</t>
        </is>
      </c>
      <c r="C71" s="1333" t="n"/>
      <c r="D71" s="1333" t="n"/>
      <c r="E71" s="1333" t="n"/>
      <c r="F71" s="456" t="n"/>
      <c r="G71" s="451" t="n"/>
      <c r="H71" s="451" t="n"/>
      <c r="I71" s="458" t="n"/>
      <c r="J71" s="459" t="n"/>
    </row>
    <row r="72" ht="13.15" customHeight="1" s="1225">
      <c r="A72" s="454" t="n">
        <v>6233</v>
      </c>
      <c r="B72" s="455" t="inlineStr">
        <is>
          <t>Crédit-bail mobilier</t>
        </is>
      </c>
      <c r="C72" s="1333" t="n"/>
      <c r="D72" s="1333" t="n"/>
      <c r="E72" s="1333" t="n"/>
      <c r="F72" s="456" t="n"/>
      <c r="G72" s="457" t="n"/>
      <c r="H72" s="457" t="n"/>
      <c r="I72" s="458" t="n"/>
      <c r="J72" s="459" t="n"/>
    </row>
    <row r="73" ht="13.15" customHeight="1" s="1225">
      <c r="A73" s="465" t="n">
        <v>6234</v>
      </c>
      <c r="B73" s="466" t="inlineStr">
        <is>
          <t>Location-vente</t>
        </is>
      </c>
      <c r="C73" s="467" t="n"/>
      <c r="D73" s="467" t="n"/>
      <c r="E73" s="467" t="n"/>
      <c r="F73" s="468" t="n"/>
      <c r="G73" s="469" t="n"/>
      <c r="H73" s="470" t="n"/>
      <c r="I73" s="471" t="n"/>
      <c r="J73" s="472" t="n"/>
    </row>
    <row r="74" ht="14.1" customHeight="1" s="1225">
      <c r="A74" s="473" t="n"/>
      <c r="B74" s="370" t="n"/>
      <c r="C74" s="1333" t="n"/>
      <c r="D74" s="1333" t="n"/>
      <c r="E74" s="1333" t="n"/>
      <c r="F74" s="1333" t="n"/>
      <c r="G74" s="474" t="n"/>
      <c r="H74" s="474" t="n"/>
      <c r="I74" s="474" t="n"/>
      <c r="J74" s="475" t="n"/>
    </row>
    <row r="75" ht="15" customHeight="1" s="1225">
      <c r="A75" s="1889" t="inlineStr">
        <is>
          <t>SYSTEME NORMAL</t>
        </is>
      </c>
      <c r="B75" s="1873" t="n"/>
      <c r="C75" s="440" t="n"/>
      <c r="D75" s="1879" t="inlineStr">
        <is>
          <t>- 26 -</t>
        </is>
      </c>
      <c r="G75" s="1880" t="n"/>
      <c r="H75" s="1871" t="inlineStr">
        <is>
          <t xml:space="preserve">ETAT SUPPLEMENTAIRE N°1 </t>
        </is>
      </c>
      <c r="I75" s="1872" t="n"/>
      <c r="J75" s="1873" t="n"/>
    </row>
    <row r="76">
      <c r="A76" s="1333" t="inlineStr">
        <is>
          <t>Dénomination sociale de l'entité :</t>
        </is>
      </c>
      <c r="B76" s="369" t="n"/>
      <c r="C76" s="1874">
        <f>C2</f>
        <v/>
      </c>
      <c r="D76" s="1875" t="n"/>
      <c r="E76" s="1875" t="n"/>
      <c r="F76" s="1875" t="n"/>
      <c r="G76" s="1875" t="n"/>
      <c r="H76" s="1875" t="n"/>
      <c r="I76" s="1875" t="n"/>
      <c r="J76" s="1875" t="n"/>
    </row>
    <row r="77">
      <c r="A77" s="1333" t="inlineStr">
        <is>
          <t>Adresse :</t>
        </is>
      </c>
      <c r="B77" s="1874">
        <f>B3</f>
        <v/>
      </c>
      <c r="C77" s="1875" t="n"/>
      <c r="D77" s="1875" t="n"/>
      <c r="E77" s="1875" t="n"/>
      <c r="F77" s="1875" t="n"/>
      <c r="G77" s="1875" t="n"/>
      <c r="H77" s="1875" t="n"/>
      <c r="I77" s="114" t="inlineStr">
        <is>
          <t>Sigle usuel :</t>
        </is>
      </c>
      <c r="J77" s="1874">
        <f>J3</f>
        <v/>
      </c>
    </row>
    <row r="78">
      <c r="A78" s="1451" t="inlineStr">
        <is>
          <t>N° IFU :</t>
        </is>
      </c>
      <c r="B78" s="1333" t="n"/>
      <c r="C78" s="1874">
        <f>C4</f>
        <v/>
      </c>
      <c r="D78" s="1875" t="n"/>
      <c r="E78" s="442" t="n"/>
      <c r="F78" s="442" t="n"/>
      <c r="G78" s="114" t="inlineStr">
        <is>
          <t>Exercice clos le :</t>
        </is>
      </c>
      <c r="H78" s="1092">
        <f>H4</f>
        <v/>
      </c>
      <c r="I78" s="114" t="inlineStr">
        <is>
          <t>Durée (en mois) :</t>
        </is>
      </c>
      <c r="J78" s="441">
        <f>J4</f>
        <v/>
      </c>
    </row>
    <row r="79">
      <c r="A79" s="259" t="inlineStr">
        <is>
          <t xml:space="preserve">N° de télédéclarant (NES): </t>
        </is>
      </c>
      <c r="B79" s="1333" t="n"/>
      <c r="C79" s="1874">
        <f>C5</f>
        <v/>
      </c>
      <c r="D79" s="1875" t="n"/>
      <c r="E79" s="1875" t="n"/>
      <c r="F79" s="1875" t="n"/>
      <c r="G79" s="443" t="n"/>
      <c r="H79" s="441" t="n"/>
      <c r="I79" s="442" t="n"/>
      <c r="J79" s="442" t="n"/>
    </row>
    <row r="80" ht="5.25" customHeight="1" s="1225">
      <c r="A80" s="1451" t="n"/>
      <c r="B80" s="1451" t="n"/>
      <c r="C80" s="2030" t="n"/>
      <c r="D80" s="2030" t="n"/>
      <c r="E80" s="1589" t="n"/>
      <c r="F80" s="236" t="n"/>
      <c r="G80" s="1589" t="n"/>
      <c r="H80" s="2030" t="n"/>
      <c r="I80" s="48" t="n"/>
      <c r="J80" s="48" t="n"/>
    </row>
    <row r="81">
      <c r="A81" s="1887" t="inlineStr">
        <is>
          <t>ETAT COMPLEMENTAIRE DIRECTION GENERALE DES IMPOTS/COMPTABILITE NATIONALE</t>
        </is>
      </c>
      <c r="B81" s="1872" t="n"/>
      <c r="C81" s="1872" t="n"/>
      <c r="D81" s="1872" t="n"/>
      <c r="E81" s="1872" t="n"/>
      <c r="F81" s="1872" t="n"/>
      <c r="G81" s="1872" t="n"/>
      <c r="H81" s="1872" t="n"/>
      <c r="I81" s="1872" t="n"/>
      <c r="J81" s="1873" t="n"/>
    </row>
    <row r="82" ht="5.25" customHeight="1" s="1225">
      <c r="A82" s="48" t="n"/>
      <c r="B82" s="48" t="n"/>
      <c r="C82" s="48" t="n"/>
      <c r="D82" s="48" t="n"/>
      <c r="E82" s="48" t="n"/>
      <c r="F82" s="48" t="n"/>
      <c r="G82" s="48" t="n"/>
      <c r="H82" s="48" t="n"/>
      <c r="I82" s="48" t="n"/>
      <c r="J82" s="48" t="n"/>
    </row>
    <row r="83">
      <c r="A83" s="1881" t="inlineStr">
        <is>
          <t>DETAIL DES CHARGES EN FCFA</t>
        </is>
      </c>
      <c r="B83" s="1884" t="n"/>
      <c r="C83" s="1884" t="n"/>
      <c r="D83" s="1884" t="n"/>
      <c r="E83" s="1884" t="n"/>
      <c r="F83" s="1884" t="n"/>
      <c r="G83" s="1881" t="inlineStr">
        <is>
          <t>Exercice N</t>
        </is>
      </c>
      <c r="H83" s="1881" t="inlineStr">
        <is>
          <t>Exercice N-1</t>
        </is>
      </c>
      <c r="I83" s="1876" t="inlineStr">
        <is>
          <t>Variation N/N-1</t>
        </is>
      </c>
      <c r="J83" s="1877" t="n"/>
    </row>
    <row r="84">
      <c r="A84" s="1882" t="n"/>
      <c r="B84" s="1885" t="n"/>
      <c r="C84" s="1885" t="n"/>
      <c r="D84" s="1885" t="n"/>
      <c r="E84" s="1885" t="n"/>
      <c r="F84" s="1885" t="n"/>
      <c r="G84" s="1882" t="n"/>
      <c r="H84" s="1882" t="n"/>
      <c r="I84" s="1881" t="inlineStr">
        <is>
          <t>En valeur</t>
        </is>
      </c>
      <c r="J84" s="1883" t="inlineStr">
        <is>
          <t>En %</t>
        </is>
      </c>
    </row>
    <row r="85" ht="11.45" customHeight="1" s="1225">
      <c r="A85" s="454" t="n">
        <v>6238</v>
      </c>
      <c r="B85" s="455" t="inlineStr">
        <is>
          <t>Autres contrats de location-acquisition</t>
        </is>
      </c>
      <c r="C85" s="1333" t="n"/>
      <c r="D85" s="1333" t="n"/>
      <c r="E85" s="1333" t="n"/>
      <c r="F85" s="456" t="n"/>
      <c r="G85" s="457" t="n"/>
      <c r="H85" s="457" t="n">
        <v>0</v>
      </c>
      <c r="I85" s="458">
        <f>G85-H85</f>
        <v/>
      </c>
      <c r="J85" s="459">
        <f>IF(H85,(G85-H85)/H85,IF(ISBLANK(H85),"",IF(G85,IF( G85 &gt; 0,1,-1),"")))</f>
        <v/>
      </c>
    </row>
    <row r="86" ht="11.45" customHeight="1" s="1225">
      <c r="A86" s="454" t="n">
        <v>6241</v>
      </c>
      <c r="B86" s="455" t="inlineStr">
        <is>
          <t>Entretien et réparation des biens immobiliers</t>
        </is>
      </c>
      <c r="C86" s="1333" t="n"/>
      <c r="D86" s="1333" t="n"/>
      <c r="E86" s="1333" t="n"/>
      <c r="F86" s="456" t="n"/>
      <c r="G86" s="457" t="n"/>
      <c r="H86" s="457" t="n"/>
      <c r="I86" s="458" t="n"/>
      <c r="J86" s="459" t="n"/>
    </row>
    <row r="87" ht="11.45" customHeight="1" s="1225">
      <c r="A87" s="454" t="n">
        <v>6242</v>
      </c>
      <c r="B87" s="455" t="inlineStr">
        <is>
          <t>Entretien et réparation des biens mobiliers</t>
        </is>
      </c>
      <c r="C87" s="1333" t="n"/>
      <c r="D87" s="1333" t="n"/>
      <c r="E87" s="1333" t="n"/>
      <c r="F87" s="456" t="n"/>
      <c r="G87" s="457" t="n"/>
      <c r="H87" s="457" t="n"/>
      <c r="I87" s="458" t="n"/>
      <c r="J87" s="459" t="n"/>
    </row>
    <row r="88" ht="11.45" customHeight="1" s="1225">
      <c r="A88" s="454" t="n">
        <v>6243</v>
      </c>
      <c r="B88" s="455" t="inlineStr">
        <is>
          <t>Maintenance</t>
        </is>
      </c>
      <c r="C88" s="1333" t="n"/>
      <c r="D88" s="1333" t="n"/>
      <c r="E88" s="1333" t="n"/>
      <c r="F88" s="456" t="n"/>
      <c r="G88" s="457" t="n"/>
      <c r="H88" s="457" t="n"/>
      <c r="I88" s="458" t="n"/>
      <c r="J88" s="459" t="n"/>
    </row>
    <row r="89" ht="11.45" customHeight="1" s="1225">
      <c r="A89" s="454" t="n">
        <v>6244</v>
      </c>
      <c r="B89" s="455" t="inlineStr">
        <is>
          <t>Charges de démentellement et remise en état</t>
        </is>
      </c>
      <c r="C89" s="1333" t="n"/>
      <c r="D89" s="1333" t="n"/>
      <c r="E89" s="1333" t="n"/>
      <c r="F89" s="456" t="n"/>
      <c r="G89" s="457" t="n"/>
      <c r="H89" s="457" t="n"/>
      <c r="I89" s="458" t="n"/>
      <c r="J89" s="459" t="n"/>
    </row>
    <row r="90" ht="11.45" customHeight="1" s="1225">
      <c r="A90" s="454" t="n">
        <v>6248</v>
      </c>
      <c r="B90" s="455" t="inlineStr">
        <is>
          <t>Autre entretiens et réparation</t>
        </is>
      </c>
      <c r="C90" s="1333" t="n"/>
      <c r="D90" s="1333" t="n"/>
      <c r="E90" s="1333" t="n"/>
      <c r="F90" s="456" t="n"/>
      <c r="G90" s="457" t="n"/>
      <c r="H90" s="457" t="n"/>
      <c r="I90" s="458" t="n"/>
      <c r="J90" s="459" t="n"/>
    </row>
    <row r="91" ht="11.45" customHeight="1" s="1225">
      <c r="A91" s="454" t="n">
        <v>6251</v>
      </c>
      <c r="B91" s="455" t="inlineStr">
        <is>
          <t xml:space="preserve">Assurances multirisques </t>
        </is>
      </c>
      <c r="C91" s="1333" t="n"/>
      <c r="D91" s="1333" t="n"/>
      <c r="E91" s="1333" t="n"/>
      <c r="F91" s="456" t="n"/>
      <c r="G91" s="457" t="n"/>
      <c r="H91" s="457" t="n"/>
      <c r="I91" s="458" t="n"/>
      <c r="J91" s="459" t="n"/>
    </row>
    <row r="92" ht="11.45" customHeight="1" s="1225">
      <c r="A92" s="454" t="n">
        <v>6252</v>
      </c>
      <c r="B92" s="455" t="inlineStr">
        <is>
          <t>Assurances matériels de transport</t>
        </is>
      </c>
      <c r="C92" s="1333" t="n"/>
      <c r="D92" s="1333" t="n"/>
      <c r="E92" s="1333" t="n"/>
      <c r="F92" s="456" t="n"/>
      <c r="G92" s="457" t="n"/>
      <c r="H92" s="457" t="n"/>
      <c r="I92" s="458" t="n"/>
      <c r="J92" s="459" t="n"/>
    </row>
    <row r="93" ht="11.45" customHeight="1" s="1225">
      <c r="A93" s="454" t="n">
        <v>6253</v>
      </c>
      <c r="B93" s="455" t="inlineStr">
        <is>
          <t>Assurances risques d'exploitation</t>
        </is>
      </c>
      <c r="C93" s="1333" t="n"/>
      <c r="D93" s="1333" t="n"/>
      <c r="E93" s="1333" t="n"/>
      <c r="F93" s="456" t="n"/>
      <c r="G93" s="457" t="n"/>
      <c r="H93" s="457" t="n"/>
      <c r="I93" s="458" t="n"/>
      <c r="J93" s="459" t="n"/>
    </row>
    <row r="94" ht="11.45" customHeight="1" s="1225">
      <c r="A94" s="454" t="n">
        <v>6254</v>
      </c>
      <c r="B94" s="455" t="inlineStr">
        <is>
          <t>Assurances responsabilité du producteur</t>
        </is>
      </c>
      <c r="C94" s="1333" t="n"/>
      <c r="D94" s="1333" t="n"/>
      <c r="E94" s="1333" t="n"/>
      <c r="F94" s="456" t="n"/>
      <c r="G94" s="457" t="n"/>
      <c r="H94" s="457" t="n"/>
      <c r="I94" s="458" t="n"/>
      <c r="J94" s="459" t="n"/>
    </row>
    <row r="95" ht="11.45" customHeight="1" s="1225">
      <c r="A95" s="454" t="n">
        <v>6255</v>
      </c>
      <c r="B95" s="455" t="inlineStr">
        <is>
          <t>Assurances insolvabilité clients</t>
        </is>
      </c>
      <c r="C95" s="1333" t="n"/>
      <c r="D95" s="1333" t="n"/>
      <c r="E95" s="1333" t="n"/>
      <c r="F95" s="456" t="n"/>
      <c r="G95" s="457" t="n"/>
      <c r="H95" s="457" t="n"/>
      <c r="I95" s="458" t="n"/>
      <c r="J95" s="459" t="n"/>
    </row>
    <row r="96" ht="11.45" customHeight="1" s="1225">
      <c r="A96" s="454" t="n">
        <v>6257</v>
      </c>
      <c r="B96" s="455" t="inlineStr">
        <is>
          <t>Assurances transport sur ventes</t>
        </is>
      </c>
      <c r="C96" s="1333" t="n"/>
      <c r="D96" s="1333" t="n"/>
      <c r="E96" s="1333" t="n"/>
      <c r="F96" s="456" t="n"/>
      <c r="G96" s="457" t="n"/>
      <c r="H96" s="457" t="n"/>
      <c r="I96" s="458" t="n"/>
      <c r="J96" s="459" t="n"/>
    </row>
    <row r="97" ht="11.45" customHeight="1" s="1225">
      <c r="A97" s="454" t="n">
        <v>6258</v>
      </c>
      <c r="B97" s="455" t="inlineStr">
        <is>
          <t>Autres primes d'assurances</t>
        </is>
      </c>
      <c r="C97" s="1333" t="n"/>
      <c r="D97" s="1333" t="n"/>
      <c r="E97" s="1333" t="n"/>
      <c r="F97" s="456" t="n"/>
      <c r="G97" s="457" t="n"/>
      <c r="H97" s="457" t="n"/>
      <c r="I97" s="458" t="n"/>
      <c r="J97" s="459" t="n"/>
    </row>
    <row r="98" ht="11.45" customHeight="1" s="1225">
      <c r="A98" s="454" t="n">
        <v>6261</v>
      </c>
      <c r="B98" s="455" t="inlineStr">
        <is>
          <t>Etudes et recherches</t>
        </is>
      </c>
      <c r="C98" s="1333" t="n"/>
      <c r="D98" s="1333" t="n"/>
      <c r="E98" s="1333" t="n"/>
      <c r="F98" s="456" t="n"/>
      <c r="G98" s="457" t="n"/>
      <c r="H98" s="457" t="n"/>
      <c r="I98" s="458" t="n"/>
      <c r="J98" s="459" t="n"/>
    </row>
    <row r="99" ht="11.45" customHeight="1" s="1225">
      <c r="A99" s="454" t="n">
        <v>6265</v>
      </c>
      <c r="B99" s="455" t="inlineStr">
        <is>
          <t>Documentation générale</t>
        </is>
      </c>
      <c r="C99" s="1333" t="n"/>
      <c r="D99" s="1333" t="n"/>
      <c r="E99" s="1333" t="n"/>
      <c r="F99" s="456" t="n"/>
      <c r="G99" s="457" t="n"/>
      <c r="H99" s="457" t="n"/>
      <c r="I99" s="458" t="n"/>
      <c r="J99" s="459" t="n"/>
    </row>
    <row r="100" ht="11.45" customHeight="1" s="1225">
      <c r="A100" s="454" t="n">
        <v>6266</v>
      </c>
      <c r="B100" s="455" t="inlineStr">
        <is>
          <t>Documentation technique</t>
        </is>
      </c>
      <c r="C100" s="1333" t="n"/>
      <c r="D100" s="1333" t="n"/>
      <c r="E100" s="1333" t="n"/>
      <c r="F100" s="456" t="n"/>
      <c r="G100" s="457" t="n"/>
      <c r="H100" s="457" t="n"/>
      <c r="I100" s="458" t="n"/>
      <c r="J100" s="459" t="n"/>
    </row>
    <row r="101" ht="11.45" customHeight="1" s="1225">
      <c r="A101" s="454" t="n">
        <v>6271</v>
      </c>
      <c r="B101" s="455" t="inlineStr">
        <is>
          <t>Annonces, insertions</t>
        </is>
      </c>
      <c r="C101" s="1333" t="n"/>
      <c r="D101" s="1333" t="n"/>
      <c r="E101" s="1333" t="n"/>
      <c r="F101" s="456" t="n"/>
      <c r="G101" s="457" t="n"/>
      <c r="H101" s="457" t="n"/>
      <c r="I101" s="458" t="n"/>
      <c r="J101" s="459" t="n"/>
    </row>
    <row r="102" ht="11.45" customHeight="1" s="1225">
      <c r="A102" s="454" t="n">
        <v>6272</v>
      </c>
      <c r="B102" s="455" t="inlineStr">
        <is>
          <t>Catalogues, imprimés publicitaires</t>
        </is>
      </c>
      <c r="C102" s="1333" t="n"/>
      <c r="D102" s="1333" t="n"/>
      <c r="E102" s="1333" t="n"/>
      <c r="F102" s="456" t="n"/>
      <c r="G102" s="457" t="n"/>
      <c r="H102" s="457" t="n"/>
      <c r="I102" s="458" t="n"/>
      <c r="J102" s="459" t="n"/>
    </row>
    <row r="103" ht="11.45" customHeight="1" s="1225">
      <c r="A103" s="454" t="n">
        <v>6273</v>
      </c>
      <c r="B103" s="455" t="inlineStr">
        <is>
          <t>Échantillons</t>
        </is>
      </c>
      <c r="C103" s="1333" t="n"/>
      <c r="D103" s="1333" t="n"/>
      <c r="E103" s="1333" t="n"/>
      <c r="F103" s="456" t="n"/>
      <c r="G103" s="457" t="n"/>
      <c r="H103" s="457" t="n"/>
      <c r="I103" s="458" t="n"/>
      <c r="J103" s="459" t="n"/>
    </row>
    <row r="104" ht="11.45" customHeight="1" s="1225">
      <c r="A104" s="454" t="n">
        <v>6274</v>
      </c>
      <c r="B104" s="455" t="inlineStr">
        <is>
          <t>Foires et expositions</t>
        </is>
      </c>
      <c r="C104" s="1333" t="n"/>
      <c r="D104" s="1333" t="n"/>
      <c r="E104" s="1333" t="n"/>
      <c r="F104" s="456" t="n"/>
      <c r="G104" s="457" t="n"/>
      <c r="H104" s="457" t="n"/>
      <c r="I104" s="458" t="n"/>
      <c r="J104" s="459" t="n"/>
    </row>
    <row r="105" ht="11.45" customHeight="1" s="1225">
      <c r="A105" s="454" t="n">
        <v>6275</v>
      </c>
      <c r="B105" s="455" t="inlineStr">
        <is>
          <t>Publications</t>
        </is>
      </c>
      <c r="C105" s="1333" t="n"/>
      <c r="D105" s="1333" t="n"/>
      <c r="E105" s="1333" t="n"/>
      <c r="F105" s="456" t="n"/>
      <c r="G105" s="457" t="n"/>
      <c r="H105" s="457" t="n"/>
      <c r="I105" s="458" t="n"/>
      <c r="J105" s="459" t="n"/>
    </row>
    <row r="106" ht="11.45" customHeight="1" s="1225">
      <c r="A106" s="454" t="n">
        <v>6276</v>
      </c>
      <c r="B106" s="455" t="inlineStr">
        <is>
          <t>Cadeaux à la clientèle</t>
        </is>
      </c>
      <c r="C106" s="1333" t="n"/>
      <c r="D106" s="1333" t="n"/>
      <c r="E106" s="1333" t="n"/>
      <c r="F106" s="456" t="n"/>
      <c r="G106" s="457" t="n"/>
      <c r="H106" s="457" t="n"/>
      <c r="I106" s="458" t="n"/>
      <c r="J106" s="459" t="n"/>
    </row>
    <row r="107" ht="11.45" customHeight="1" s="1225">
      <c r="A107" s="454" t="n">
        <v>6277</v>
      </c>
      <c r="B107" s="455" t="inlineStr">
        <is>
          <t>Frais de colloques, séminaires, conférences</t>
        </is>
      </c>
      <c r="C107" s="1333" t="n"/>
      <c r="D107" s="1333" t="n"/>
      <c r="E107" s="1333" t="n"/>
      <c r="F107" s="456" t="n"/>
      <c r="G107" s="457" t="n"/>
      <c r="H107" s="457" t="n"/>
      <c r="I107" s="458" t="n"/>
      <c r="J107" s="459" t="n"/>
    </row>
    <row r="108" ht="11.45" customHeight="1" s="1225">
      <c r="A108" s="454" t="n">
        <v>6278</v>
      </c>
      <c r="B108" s="455" t="inlineStr">
        <is>
          <t>Autres charges de publicité et relations publiques</t>
        </is>
      </c>
      <c r="C108" s="1333" t="n"/>
      <c r="D108" s="1333" t="n"/>
      <c r="E108" s="1333" t="n"/>
      <c r="F108" s="456" t="n"/>
      <c r="G108" s="457" t="n"/>
      <c r="H108" s="457" t="n"/>
      <c r="I108" s="458" t="n"/>
      <c r="J108" s="459" t="n"/>
    </row>
    <row r="109" ht="11.45" customHeight="1" s="1225">
      <c r="A109" s="454" t="n">
        <v>6281</v>
      </c>
      <c r="B109" s="455" t="inlineStr">
        <is>
          <t>Frais de téléphone</t>
        </is>
      </c>
      <c r="C109" s="1333" t="n"/>
      <c r="D109" s="1333" t="n"/>
      <c r="E109" s="1333" t="n"/>
      <c r="F109" s="456" t="n"/>
      <c r="G109" s="457" t="n"/>
      <c r="H109" s="457" t="n"/>
      <c r="I109" s="458" t="n"/>
      <c r="J109" s="459" t="n"/>
    </row>
    <row r="110" ht="11.45" customHeight="1" s="1225">
      <c r="A110" s="454" t="n">
        <v>6282</v>
      </c>
      <c r="B110" s="455" t="inlineStr">
        <is>
          <t>Frais de télex</t>
        </is>
      </c>
      <c r="C110" s="1333" t="n"/>
      <c r="D110" s="1333" t="n"/>
      <c r="E110" s="1333" t="n"/>
      <c r="F110" s="456" t="n"/>
      <c r="G110" s="457" t="n"/>
      <c r="H110" s="457" t="n"/>
      <c r="I110" s="458" t="n"/>
      <c r="J110" s="459" t="n"/>
    </row>
    <row r="111" ht="11.45" customHeight="1" s="1225">
      <c r="A111" s="454" t="n">
        <v>6283</v>
      </c>
      <c r="B111" s="455" t="inlineStr">
        <is>
          <t>Frais de télécopie</t>
        </is>
      </c>
      <c r="C111" s="1333" t="n"/>
      <c r="D111" s="1333" t="n"/>
      <c r="E111" s="1333" t="n"/>
      <c r="F111" s="456" t="n"/>
      <c r="G111" s="457" t="n"/>
      <c r="H111" s="457" t="n"/>
      <c r="I111" s="458" t="n"/>
      <c r="J111" s="459" t="n"/>
    </row>
    <row r="112" ht="11.45" customFormat="1" customHeight="1" s="553">
      <c r="A112" s="454" t="n">
        <v>6284</v>
      </c>
      <c r="B112" s="455" t="inlineStr">
        <is>
          <t>Frais d'internet</t>
        </is>
      </c>
      <c r="C112" s="163" t="n"/>
      <c r="D112" s="163" t="n"/>
      <c r="E112" s="163" t="n"/>
      <c r="F112" s="575" t="n"/>
      <c r="G112" s="579" t="n"/>
      <c r="H112" s="579" t="n"/>
      <c r="I112" s="580" t="n"/>
      <c r="J112" s="578" t="n"/>
    </row>
    <row r="113" ht="11.45" customHeight="1" s="1225">
      <c r="A113" s="454" t="n">
        <v>6288</v>
      </c>
      <c r="B113" s="455" t="inlineStr">
        <is>
          <t>Autres frais de télécommunications</t>
        </is>
      </c>
      <c r="C113" s="1333" t="n"/>
      <c r="D113" s="1333" t="n"/>
      <c r="E113" s="1333" t="n"/>
      <c r="F113" s="456" t="n"/>
      <c r="G113" s="457" t="n"/>
      <c r="H113" s="457" t="n"/>
      <c r="I113" s="458" t="n"/>
      <c r="J113" s="459" t="n"/>
    </row>
    <row r="114" ht="11.45" customHeight="1" s="1225">
      <c r="A114" s="454" t="n">
        <v>6311</v>
      </c>
      <c r="B114" s="455" t="inlineStr">
        <is>
          <t>Frais sur titres (vente, garde)</t>
        </is>
      </c>
      <c r="C114" s="1333" t="n"/>
      <c r="D114" s="1333" t="n"/>
      <c r="E114" s="1333" t="n"/>
      <c r="F114" s="456" t="n"/>
      <c r="G114" s="457" t="n"/>
      <c r="H114" s="457" t="n"/>
      <c r="I114" s="458" t="n"/>
      <c r="J114" s="459" t="n"/>
    </row>
    <row r="115" ht="11.45" customHeight="1" s="1225">
      <c r="A115" s="454" t="n">
        <v>6312</v>
      </c>
      <c r="B115" s="455" t="inlineStr">
        <is>
          <t>Frais sur effets</t>
        </is>
      </c>
      <c r="C115" s="1333" t="n"/>
      <c r="D115" s="1333" t="n"/>
      <c r="E115" s="1333" t="n"/>
      <c r="F115" s="456" t="n"/>
      <c r="G115" s="457" t="n"/>
      <c r="H115" s="457" t="n"/>
      <c r="I115" s="458" t="n"/>
      <c r="J115" s="459" t="n"/>
    </row>
    <row r="116" ht="11.45" customHeight="1" s="1225">
      <c r="A116" s="454" t="n">
        <v>6313</v>
      </c>
      <c r="B116" s="455" t="inlineStr">
        <is>
          <t>Location de coffres</t>
        </is>
      </c>
      <c r="C116" s="1333" t="n"/>
      <c r="D116" s="1333" t="n"/>
      <c r="E116" s="1333" t="n"/>
      <c r="F116" s="456" t="n"/>
      <c r="G116" s="457" t="n"/>
      <c r="H116" s="457" t="n"/>
      <c r="I116" s="458" t="n"/>
      <c r="J116" s="459" t="n"/>
    </row>
    <row r="117" ht="11.45" customHeight="1" s="1225">
      <c r="A117" s="454" t="n">
        <v>6314</v>
      </c>
      <c r="B117" s="455" t="inlineStr">
        <is>
          <t>Commissions d'affacturage et de titrisation</t>
        </is>
      </c>
      <c r="C117" s="163" t="n"/>
      <c r="D117" s="163" t="n"/>
      <c r="E117" s="1333" t="n"/>
      <c r="F117" s="456" t="n"/>
      <c r="G117" s="457" t="n"/>
      <c r="H117" s="457" t="n"/>
      <c r="I117" s="458" t="n"/>
      <c r="J117" s="459" t="n"/>
    </row>
    <row r="118" ht="11.45" customHeight="1" s="1225">
      <c r="A118" s="454" t="n">
        <v>6315</v>
      </c>
      <c r="B118" s="455" t="inlineStr">
        <is>
          <t>Commissions sur cartes de crédit</t>
        </is>
      </c>
      <c r="C118" s="1333" t="n"/>
      <c r="D118" s="1333" t="n"/>
      <c r="E118" s="1333" t="n"/>
      <c r="F118" s="456" t="n"/>
      <c r="G118" s="457" t="n"/>
      <c r="H118" s="457" t="n"/>
      <c r="I118" s="458" t="n"/>
      <c r="J118" s="459" t="n"/>
    </row>
    <row r="119" ht="11.45" customHeight="1" s="1225">
      <c r="A119" s="454" t="n">
        <v>6316</v>
      </c>
      <c r="B119" s="455" t="inlineStr">
        <is>
          <t>Frais d'émission d'emprunts</t>
        </is>
      </c>
      <c r="C119" s="1333" t="n"/>
      <c r="D119" s="1333" t="n"/>
      <c r="E119" s="1333" t="n"/>
      <c r="F119" s="456" t="n"/>
      <c r="G119" s="457" t="n"/>
      <c r="H119" s="457" t="n"/>
      <c r="I119" s="458" t="n"/>
      <c r="J119" s="459" t="n"/>
    </row>
    <row r="120" ht="11.45" customHeight="1" s="1225">
      <c r="A120" s="454" t="n">
        <v>6317</v>
      </c>
      <c r="B120" s="455" t="inlineStr">
        <is>
          <t>Frais sur instruments monnaie électronique</t>
        </is>
      </c>
      <c r="C120" s="1333" t="n"/>
      <c r="D120" s="1333" t="n"/>
      <c r="E120" s="1333" t="n"/>
      <c r="F120" s="456" t="n"/>
      <c r="G120" s="457" t="n"/>
      <c r="H120" s="457" t="n"/>
      <c r="I120" s="458" t="n"/>
      <c r="J120" s="459" t="n"/>
    </row>
    <row r="121" ht="11.45" customHeight="1" s="1225">
      <c r="A121" s="454" t="n">
        <v>6318</v>
      </c>
      <c r="B121" s="455" t="inlineStr">
        <is>
          <t>Autres frais bancaires</t>
        </is>
      </c>
      <c r="C121" s="1333" t="n"/>
      <c r="D121" s="1333" t="n"/>
      <c r="E121" s="1333" t="n"/>
      <c r="F121" s="456" t="n"/>
      <c r="G121" s="457" t="n"/>
      <c r="H121" s="457" t="n"/>
      <c r="I121" s="458" t="n"/>
      <c r="J121" s="459" t="n"/>
    </row>
    <row r="122" ht="11.45" customHeight="1" s="1225">
      <c r="A122" s="454" t="n">
        <v>6322</v>
      </c>
      <c r="B122" s="455" t="inlineStr">
        <is>
          <t>Commissions et courtages sur ventes</t>
        </is>
      </c>
      <c r="C122" s="1333" t="n"/>
      <c r="D122" s="1333" t="n"/>
      <c r="E122" s="1333" t="n"/>
      <c r="F122" s="456" t="n"/>
      <c r="G122" s="457" t="n"/>
      <c r="H122" s="457" t="n"/>
      <c r="I122" s="458" t="n"/>
      <c r="J122" s="459" t="n"/>
    </row>
    <row r="123" ht="11.45" customHeight="1" s="1225">
      <c r="A123" s="454" t="n">
        <v>6324</v>
      </c>
      <c r="B123" s="455" t="inlineStr">
        <is>
          <t>Honoraires des professions règlementées</t>
        </is>
      </c>
      <c r="C123" s="1333" t="n"/>
      <c r="D123" s="1333" t="n"/>
      <c r="E123" s="1333" t="n"/>
      <c r="F123" s="456" t="n"/>
      <c r="G123" s="457" t="n"/>
      <c r="H123" s="457" t="n"/>
      <c r="I123" s="458" t="n"/>
      <c r="J123" s="459" t="n"/>
    </row>
    <row r="124" ht="11.45" customHeight="1" s="1225">
      <c r="A124" s="454" t="n">
        <v>6325</v>
      </c>
      <c r="B124" s="455" t="inlineStr">
        <is>
          <t>Frais d'actes et de contentieux</t>
        </is>
      </c>
      <c r="C124" s="1333" t="n"/>
      <c r="D124" s="1333" t="n"/>
      <c r="E124" s="1333" t="n"/>
      <c r="F124" s="456" t="n"/>
      <c r="G124" s="457" t="n"/>
      <c r="H124" s="457" t="n"/>
      <c r="I124" s="458" t="n"/>
      <c r="J124" s="459" t="n"/>
    </row>
    <row r="125" ht="11.45" customHeight="1" s="1225">
      <c r="A125" s="454" t="n">
        <v>6326</v>
      </c>
      <c r="B125" s="455" t="inlineStr">
        <is>
          <t>Rémunérations d'affacturage et de titrisation</t>
        </is>
      </c>
      <c r="C125" s="1333" t="n"/>
      <c r="D125" s="1333" t="n"/>
      <c r="E125" s="1333" t="n"/>
      <c r="F125" s="456" t="n"/>
      <c r="G125" s="457" t="n"/>
      <c r="H125" s="457" t="n"/>
      <c r="I125" s="458" t="n"/>
      <c r="J125" s="459" t="n"/>
    </row>
    <row r="126" ht="11.45" customHeight="1" s="1225">
      <c r="A126" s="454" t="n">
        <v>6327</v>
      </c>
      <c r="B126" s="455" t="inlineStr">
        <is>
          <t>Rémunérations des autres prestataires de services</t>
        </is>
      </c>
      <c r="C126" s="1333" t="n"/>
      <c r="D126" s="1333" t="n"/>
      <c r="E126" s="1333" t="n"/>
      <c r="F126" s="456" t="n"/>
      <c r="G126" s="457" t="n"/>
      <c r="H126" s="457" t="n"/>
      <c r="I126" s="458" t="n"/>
      <c r="J126" s="459" t="n"/>
    </row>
    <row r="127" ht="11.45" customHeight="1" s="1225">
      <c r="A127" s="454" t="n">
        <v>6328</v>
      </c>
      <c r="B127" s="455" t="inlineStr">
        <is>
          <t>Divers frais</t>
        </is>
      </c>
      <c r="C127" s="1333" t="n"/>
      <c r="D127" s="1333" t="n"/>
      <c r="E127" s="1333" t="n"/>
      <c r="F127" s="456" t="n"/>
      <c r="G127" s="457" t="n"/>
      <c r="H127" s="457" t="n"/>
      <c r="I127" s="458" t="n"/>
      <c r="J127" s="459" t="n"/>
    </row>
    <row r="128" ht="11.45" customHeight="1" s="1225">
      <c r="A128" s="454" t="n">
        <v>633</v>
      </c>
      <c r="B128" s="455" t="inlineStr">
        <is>
          <t>Frais de formation du personnel</t>
        </is>
      </c>
      <c r="C128" s="1333" t="n"/>
      <c r="D128" s="1333" t="n"/>
      <c r="E128" s="1333" t="n"/>
      <c r="F128" s="456" t="n"/>
      <c r="G128" s="457" t="n"/>
      <c r="H128" s="457" t="n"/>
      <c r="I128" s="458" t="n"/>
      <c r="J128" s="459" t="n"/>
    </row>
    <row r="129" ht="11.45" customHeight="1" s="1225">
      <c r="A129" s="454" t="n">
        <v>6342</v>
      </c>
      <c r="B129" s="455" t="inlineStr">
        <is>
          <t>Redevances pour brevets, licences</t>
        </is>
      </c>
      <c r="C129" s="1333" t="n"/>
      <c r="D129" s="1333" t="n"/>
      <c r="E129" s="1333" t="n"/>
      <c r="F129" s="456" t="n"/>
      <c r="G129" s="457" t="n"/>
      <c r="H129" s="457" t="n"/>
      <c r="I129" s="458" t="n"/>
      <c r="J129" s="459" t="n"/>
    </row>
    <row r="130" ht="11.45" customHeight="1" s="1225">
      <c r="A130" s="454" t="n">
        <v>6343</v>
      </c>
      <c r="B130" s="455" t="inlineStr">
        <is>
          <t>Redevances pour logiciels</t>
        </is>
      </c>
      <c r="C130" s="1333" t="n"/>
      <c r="D130" s="1333" t="n"/>
      <c r="E130" s="1333" t="n"/>
      <c r="F130" s="456" t="n"/>
      <c r="G130" s="457" t="n"/>
      <c r="H130" s="457" t="n"/>
      <c r="I130" s="458" t="n"/>
      <c r="J130" s="459" t="n"/>
    </row>
    <row r="131" ht="11.45" customHeight="1" s="1225">
      <c r="A131" s="454" t="n">
        <v>6344</v>
      </c>
      <c r="B131" s="455" t="inlineStr">
        <is>
          <t>Redevances pour marques</t>
        </is>
      </c>
      <c r="C131" s="1333" t="n"/>
      <c r="D131" s="1333" t="n"/>
      <c r="E131" s="1333" t="n"/>
      <c r="F131" s="456" t="n"/>
      <c r="G131" s="457" t="n"/>
      <c r="H131" s="457" t="n"/>
      <c r="I131" s="458" t="n"/>
      <c r="J131" s="459" t="n"/>
    </row>
    <row r="132" ht="11.45" customHeight="1" s="1225">
      <c r="A132" s="454" t="n">
        <v>6345</v>
      </c>
      <c r="B132" s="455" t="inlineStr">
        <is>
          <t>Redevances pour sites internet</t>
        </is>
      </c>
      <c r="C132" s="1333" t="n"/>
      <c r="D132" s="1333" t="n"/>
      <c r="E132" s="1333" t="n"/>
      <c r="F132" s="456" t="n"/>
      <c r="G132" s="457" t="n"/>
      <c r="H132" s="457" t="n"/>
      <c r="I132" s="458" t="n"/>
      <c r="J132" s="459" t="n"/>
    </row>
    <row r="133" ht="11.45" customHeight="1" s="1225">
      <c r="A133" s="454" t="n">
        <v>6346</v>
      </c>
      <c r="B133" s="455" t="inlineStr">
        <is>
          <t>Redevances pour concessions, droits et valeurs similaires</t>
        </is>
      </c>
      <c r="C133" s="1333" t="n"/>
      <c r="D133" s="1333" t="n"/>
      <c r="E133" s="1333" t="n"/>
      <c r="F133" s="456" t="n"/>
      <c r="G133" s="457" t="n"/>
      <c r="H133" s="457" t="n"/>
      <c r="I133" s="458" t="n"/>
      <c r="J133" s="459" t="n"/>
    </row>
    <row r="134" ht="11.45" customHeight="1" s="1225">
      <c r="A134" s="454" t="n">
        <v>6351</v>
      </c>
      <c r="B134" s="455" t="inlineStr">
        <is>
          <t>Cotisations</t>
        </is>
      </c>
      <c r="C134" s="1333" t="n"/>
      <c r="D134" s="1333" t="n"/>
      <c r="E134" s="1333" t="n"/>
      <c r="F134" s="456" t="n"/>
      <c r="G134" s="457" t="n"/>
      <c r="H134" s="457" t="n"/>
      <c r="I134" s="458" t="n"/>
      <c r="J134" s="459" t="n"/>
    </row>
    <row r="135" ht="11.45" customHeight="1" s="1225">
      <c r="A135" s="454" t="n">
        <v>6358</v>
      </c>
      <c r="B135" s="455" t="inlineStr">
        <is>
          <t>Concours divers</t>
        </is>
      </c>
      <c r="C135" s="1333" t="n"/>
      <c r="D135" s="1333" t="n"/>
      <c r="E135" s="1333" t="n"/>
      <c r="F135" s="456" t="n"/>
      <c r="G135" s="457" t="n"/>
      <c r="H135" s="457" t="n"/>
      <c r="I135" s="458" t="n"/>
      <c r="J135" s="459" t="n"/>
    </row>
    <row r="136" ht="11.45" customHeight="1" s="1225">
      <c r="A136" s="454" t="n">
        <v>6371</v>
      </c>
      <c r="B136" s="455" t="inlineStr">
        <is>
          <t>Personnel intérimaire</t>
        </is>
      </c>
      <c r="C136" s="1333" t="n"/>
      <c r="D136" s="1333" t="n"/>
      <c r="E136" s="1333" t="n"/>
      <c r="F136" s="456" t="n"/>
      <c r="G136" s="457" t="n"/>
      <c r="H136" s="457" t="n"/>
      <c r="I136" s="458" t="n"/>
      <c r="J136" s="459" t="n"/>
    </row>
    <row r="137" ht="11.45" customHeight="1" s="1225">
      <c r="A137" s="454" t="n">
        <v>6372</v>
      </c>
      <c r="B137" s="455" t="inlineStr">
        <is>
          <t>Personnel détaché ou prêté à l'entité</t>
        </is>
      </c>
      <c r="C137" s="1333" t="n"/>
      <c r="D137" s="1333" t="n"/>
      <c r="E137" s="1333" t="n"/>
      <c r="F137" s="456" t="n"/>
      <c r="G137" s="457" t="n"/>
      <c r="H137" s="457" t="n"/>
      <c r="I137" s="458" t="n"/>
      <c r="J137" s="459" t="n"/>
    </row>
    <row r="138" ht="11.45" customHeight="1" s="1225">
      <c r="A138" s="454" t="n">
        <v>6381</v>
      </c>
      <c r="B138" s="455" t="inlineStr">
        <is>
          <t>Frais de recrutement du personnel</t>
        </is>
      </c>
      <c r="C138" s="1333" t="n"/>
      <c r="D138" s="1333" t="n"/>
      <c r="E138" s="1333" t="n"/>
      <c r="F138" s="456" t="n"/>
      <c r="G138" s="457" t="n"/>
      <c r="H138" s="457" t="n"/>
      <c r="I138" s="458" t="n"/>
      <c r="J138" s="459" t="n"/>
    </row>
    <row r="139" ht="11.45" customHeight="1" s="1225">
      <c r="A139" s="454" t="n">
        <v>6382</v>
      </c>
      <c r="B139" s="455" t="inlineStr">
        <is>
          <t>Frais de déménagement</t>
        </is>
      </c>
      <c r="C139" s="1333" t="n"/>
      <c r="D139" s="1333" t="n"/>
      <c r="E139" s="1333" t="n"/>
      <c r="F139" s="456" t="n"/>
      <c r="G139" s="457" t="n"/>
      <c r="H139" s="457" t="n"/>
      <c r="I139" s="458" t="n"/>
      <c r="J139" s="459" t="n"/>
    </row>
    <row r="140" ht="11.45" customHeight="1" s="1225">
      <c r="A140" s="454" t="n">
        <v>6383</v>
      </c>
      <c r="B140" s="455" t="inlineStr">
        <is>
          <t>Réceptions</t>
        </is>
      </c>
      <c r="C140" s="1333" t="n"/>
      <c r="D140" s="1333" t="n"/>
      <c r="E140" s="1333" t="n"/>
      <c r="F140" s="456" t="n"/>
      <c r="G140" s="457" t="n"/>
      <c r="H140" s="457" t="n"/>
      <c r="I140" s="458" t="n"/>
      <c r="J140" s="459" t="n"/>
    </row>
    <row r="141" ht="11.45" customHeight="1" s="1225">
      <c r="A141" s="454" t="n">
        <v>6384</v>
      </c>
      <c r="B141" s="455" t="inlineStr">
        <is>
          <t>Missions</t>
        </is>
      </c>
      <c r="C141" s="1333" t="n"/>
      <c r="D141" s="1333" t="n"/>
      <c r="E141" s="1333" t="n"/>
      <c r="F141" s="456" t="n"/>
      <c r="G141" s="457" t="n"/>
      <c r="H141" s="457" t="n"/>
      <c r="I141" s="458" t="n"/>
      <c r="J141" s="459" t="n"/>
    </row>
    <row r="142" ht="11.45" customHeight="1" s="1225">
      <c r="A142" s="454" t="n">
        <v>6385</v>
      </c>
      <c r="B142" s="455" t="inlineStr">
        <is>
          <t>Charges de copropriété</t>
        </is>
      </c>
      <c r="C142" s="1333" t="n"/>
      <c r="D142" s="1333" t="n"/>
      <c r="E142" s="1333" t="n"/>
      <c r="F142" s="456" t="n"/>
      <c r="G142" s="457" t="n"/>
      <c r="H142" s="457" t="n"/>
      <c r="I142" s="458" t="n"/>
      <c r="J142" s="459" t="n"/>
    </row>
    <row r="143" ht="11.45" customFormat="1" customHeight="1" s="553" thickBot="1">
      <c r="A143" s="454" t="n">
        <v>6388</v>
      </c>
      <c r="B143" s="455" t="inlineStr">
        <is>
          <t>Charges externes diverses</t>
        </is>
      </c>
      <c r="C143" s="163" t="n"/>
      <c r="D143" s="163" t="n"/>
      <c r="E143" s="163" t="n"/>
      <c r="F143" s="575" t="n"/>
      <c r="G143" s="581" t="n"/>
      <c r="H143" s="581" t="n"/>
      <c r="I143" s="580" t="n"/>
      <c r="J143" s="459" t="n"/>
    </row>
    <row r="144" ht="11.45" customHeight="1" s="1225" thickBot="1" thickTop="1">
      <c r="A144" s="460" t="inlineStr">
        <is>
          <t>RH</t>
        </is>
      </c>
      <c r="B144" s="461" t="n"/>
      <c r="C144" s="372" t="inlineStr">
        <is>
          <t>Services extérieurs</t>
        </is>
      </c>
      <c r="D144" s="1333" t="n"/>
      <c r="E144" s="1333" t="n"/>
      <c r="F144" s="1333" t="n"/>
      <c r="G144" s="462" t="n"/>
      <c r="H144" s="462" t="n"/>
      <c r="I144" s="462" t="n"/>
      <c r="J144" s="500" t="n"/>
    </row>
    <row r="145" ht="11.45" customHeight="1" s="1225" thickTop="1">
      <c r="A145" s="454" t="n">
        <v>6411</v>
      </c>
      <c r="B145" s="455" t="inlineStr">
        <is>
          <t>Impôts fonciers et taxes annexes</t>
        </is>
      </c>
      <c r="C145" s="1333" t="n"/>
      <c r="D145" s="256" t="n"/>
      <c r="E145" s="256" t="n"/>
      <c r="F145" s="256" t="n"/>
      <c r="G145" s="476" t="n"/>
      <c r="H145" s="476" t="n"/>
      <c r="I145" s="477" t="n"/>
      <c r="J145" s="459" t="n"/>
    </row>
    <row r="146" ht="11.45" customHeight="1" s="1225">
      <c r="A146" s="454" t="n">
        <v>6412</v>
      </c>
      <c r="B146" s="455" t="inlineStr">
        <is>
          <t>Patentes, licences et taxes annexes</t>
        </is>
      </c>
      <c r="C146" s="1333" t="n"/>
      <c r="D146" s="256" t="n"/>
      <c r="E146" s="256" t="n"/>
      <c r="F146" s="256" t="n"/>
      <c r="G146" s="457" t="n"/>
      <c r="H146" s="457" t="n"/>
      <c r="I146" s="477" t="n"/>
      <c r="J146" s="459" t="n"/>
    </row>
    <row r="147" ht="11.45" customHeight="1" s="1225">
      <c r="A147" s="454" t="n">
        <v>6413</v>
      </c>
      <c r="B147" s="455" t="inlineStr">
        <is>
          <t>Taxe sur appointements et salaires</t>
        </is>
      </c>
      <c r="C147" s="1333" t="n"/>
      <c r="D147" s="256" t="n"/>
      <c r="E147" s="256" t="n"/>
      <c r="F147" s="478" t="n"/>
      <c r="G147" s="457" t="n"/>
      <c r="H147" s="457" t="n"/>
      <c r="I147" s="477" t="n"/>
      <c r="J147" s="459" t="n"/>
    </row>
    <row r="148" ht="11.45" customHeight="1" s="1225">
      <c r="A148" s="465" t="n">
        <v>6414</v>
      </c>
      <c r="B148" s="466" t="inlineStr">
        <is>
          <t>Taxes d'apprentissage</t>
        </is>
      </c>
      <c r="C148" s="479" t="n"/>
      <c r="D148" s="480" t="n"/>
      <c r="E148" s="480" t="n"/>
      <c r="F148" s="481" t="n"/>
      <c r="G148" s="1180" t="n"/>
      <c r="H148" s="457" t="n"/>
      <c r="I148" s="1181" t="n"/>
      <c r="J148" s="472" t="n"/>
    </row>
    <row r="149" ht="14.1" customHeight="1" s="1225">
      <c r="A149" s="484" t="n"/>
      <c r="B149" s="371" t="n"/>
      <c r="C149" s="372" t="n"/>
      <c r="D149" s="1333" t="n"/>
      <c r="E149" s="1333" t="n"/>
      <c r="F149" s="1333" t="n"/>
      <c r="G149" s="485" t="n"/>
      <c r="H149" s="485" t="n"/>
      <c r="I149" s="485" t="n"/>
      <c r="J149" s="486" t="n"/>
    </row>
    <row r="150" ht="15" customHeight="1" s="1225">
      <c r="A150" s="1889" t="inlineStr">
        <is>
          <t>SYSTEME NORMAL</t>
        </is>
      </c>
      <c r="B150" s="1873" t="n"/>
      <c r="C150" s="440" t="n"/>
      <c r="D150" s="1879" t="inlineStr">
        <is>
          <t>- 27 -</t>
        </is>
      </c>
      <c r="G150" s="1880" t="n"/>
      <c r="H150" s="1871" t="inlineStr">
        <is>
          <t xml:space="preserve">ETAT SUPPLEMENTAIRE N°1 </t>
        </is>
      </c>
      <c r="I150" s="1872" t="n"/>
      <c r="J150" s="1873" t="n"/>
    </row>
    <row r="151">
      <c r="A151" s="1333" t="inlineStr">
        <is>
          <t>Dénomination sociale de l'entité :</t>
        </is>
      </c>
      <c r="B151" s="369" t="n"/>
      <c r="C151" s="1874">
        <f>C2</f>
        <v/>
      </c>
      <c r="D151" s="1875" t="n"/>
      <c r="E151" s="1875" t="n"/>
      <c r="F151" s="1875" t="n"/>
      <c r="G151" s="1875" t="n"/>
      <c r="H151" s="1875" t="n"/>
      <c r="I151" s="1875" t="n"/>
      <c r="J151" s="1875" t="n"/>
    </row>
    <row r="152">
      <c r="A152" s="1333" t="inlineStr">
        <is>
          <t>Adresse :</t>
        </is>
      </c>
      <c r="B152" s="1874">
        <f>B3</f>
        <v/>
      </c>
      <c r="C152" s="1875" t="n"/>
      <c r="D152" s="1875" t="n"/>
      <c r="E152" s="1875" t="n"/>
      <c r="F152" s="1875" t="n"/>
      <c r="G152" s="1875" t="n"/>
      <c r="H152" s="1875" t="n"/>
      <c r="I152" s="114" t="inlineStr">
        <is>
          <t>Sigle usuel :</t>
        </is>
      </c>
      <c r="J152" s="1874">
        <f>J3</f>
        <v/>
      </c>
    </row>
    <row r="153">
      <c r="A153" s="1451" t="inlineStr">
        <is>
          <t>N° IFU :</t>
        </is>
      </c>
      <c r="B153" s="1451" t="n"/>
      <c r="C153" s="1874">
        <f>C4</f>
        <v/>
      </c>
      <c r="D153" s="1875" t="n"/>
      <c r="E153" s="442" t="n"/>
      <c r="F153" s="442" t="n"/>
      <c r="G153" s="114" t="inlineStr">
        <is>
          <t>Exercice clos le :</t>
        </is>
      </c>
      <c r="H153" s="1092">
        <f>H4</f>
        <v/>
      </c>
      <c r="I153" s="114" t="inlineStr">
        <is>
          <t>Durée (en mois) :</t>
        </is>
      </c>
      <c r="J153" s="441">
        <f>J4</f>
        <v/>
      </c>
    </row>
    <row r="154">
      <c r="A154" s="259" t="inlineStr">
        <is>
          <t xml:space="preserve">N° de télédéclarant (NES): </t>
        </is>
      </c>
      <c r="B154" s="1451" t="n"/>
      <c r="C154" s="1874">
        <f>C5</f>
        <v/>
      </c>
      <c r="D154" s="1875" t="n"/>
      <c r="E154" s="1875" t="n"/>
      <c r="F154" s="1875" t="n"/>
      <c r="G154" s="443" t="n"/>
      <c r="H154" s="441" t="n"/>
      <c r="I154" s="442" t="n"/>
      <c r="J154" s="442" t="n"/>
    </row>
    <row r="155" ht="5.25" customHeight="1" s="1225">
      <c r="A155" s="1451" t="n"/>
      <c r="B155" s="1451" t="n"/>
      <c r="C155" s="2030" t="n"/>
      <c r="D155" s="2030" t="n"/>
      <c r="E155" s="1589" t="n"/>
      <c r="F155" s="236" t="n"/>
      <c r="G155" s="1589" t="n"/>
      <c r="H155" s="2030" t="n"/>
      <c r="I155" s="48" t="n"/>
      <c r="J155" s="48" t="n"/>
    </row>
    <row r="156">
      <c r="A156" s="1887" t="inlineStr">
        <is>
          <t>ETAT COMPLEMENTAIRE DIRECTION GENERALE DES IMPOTS/COMPTABILITE NATIONALE</t>
        </is>
      </c>
      <c r="B156" s="1872" t="n"/>
      <c r="C156" s="1872" t="n"/>
      <c r="D156" s="1872" t="n"/>
      <c r="E156" s="1872" t="n"/>
      <c r="F156" s="1872" t="n"/>
      <c r="G156" s="1872" t="n"/>
      <c r="H156" s="1872" t="n"/>
      <c r="I156" s="1872" t="n"/>
      <c r="J156" s="1873" t="n"/>
    </row>
    <row r="157" ht="5.25" customHeight="1" s="1225">
      <c r="A157" s="48" t="n"/>
      <c r="B157" s="48" t="n"/>
      <c r="C157" s="48" t="n"/>
      <c r="D157" s="48" t="n"/>
      <c r="E157" s="48" t="n"/>
      <c r="F157" s="48" t="n"/>
      <c r="G157" s="48" t="n"/>
      <c r="H157" s="48" t="n"/>
      <c r="I157" s="48" t="n"/>
      <c r="J157" s="48" t="n"/>
    </row>
    <row r="158">
      <c r="A158" s="1881" t="inlineStr">
        <is>
          <t>DETAIL DES CHARGES EN FCFA</t>
        </is>
      </c>
      <c r="B158" s="1884" t="n"/>
      <c r="C158" s="1884" t="n"/>
      <c r="D158" s="1884" t="n"/>
      <c r="E158" s="1884" t="n"/>
      <c r="F158" s="1884" t="n"/>
      <c r="G158" s="1881" t="inlineStr">
        <is>
          <t>Exercice N</t>
        </is>
      </c>
      <c r="H158" s="1881" t="inlineStr">
        <is>
          <t>Exercice N-1</t>
        </is>
      </c>
      <c r="I158" s="1876" t="inlineStr">
        <is>
          <t>Variation N/N-1</t>
        </is>
      </c>
      <c r="J158" s="1877" t="n"/>
    </row>
    <row r="159">
      <c r="A159" s="1882" t="n"/>
      <c r="B159" s="1885" t="n"/>
      <c r="C159" s="1885" t="n"/>
      <c r="D159" s="1885" t="n"/>
      <c r="E159" s="1885" t="n"/>
      <c r="F159" s="1885" t="n"/>
      <c r="G159" s="1882" t="n"/>
      <c r="H159" s="1882" t="n"/>
      <c r="I159" s="1881" t="inlineStr">
        <is>
          <t>En valeur</t>
        </is>
      </c>
      <c r="J159" s="1883" t="inlineStr">
        <is>
          <t>En %</t>
        </is>
      </c>
    </row>
    <row r="160" ht="13.15" customHeight="1" s="1225">
      <c r="A160" s="454" t="n">
        <v>6415</v>
      </c>
      <c r="B160" s="455" t="inlineStr">
        <is>
          <t>Formation professionnelle continue</t>
        </is>
      </c>
      <c r="C160" s="1333" t="n"/>
      <c r="D160" s="1333" t="n"/>
      <c r="E160" s="1333" t="n"/>
      <c r="F160" s="456" t="n"/>
      <c r="G160" s="457" t="n"/>
      <c r="H160" s="457" t="n"/>
      <c r="I160" s="458">
        <f>G160-H160</f>
        <v/>
      </c>
      <c r="J160" s="459">
        <f>IF(H160,(G160-H160)/H160,IF(ISBLANK(H160),"",IF(G160,IF( G160 &gt; 0,1,-1),"")))</f>
        <v/>
      </c>
    </row>
    <row r="161" ht="13.15" customHeight="1" s="1225">
      <c r="A161" s="454" t="n">
        <v>6418</v>
      </c>
      <c r="B161" s="455" t="inlineStr">
        <is>
          <t>Autres impôts et taxes directs</t>
        </is>
      </c>
      <c r="C161" s="1333" t="n"/>
      <c r="D161" s="1333" t="n"/>
      <c r="E161" s="1333" t="n"/>
      <c r="F161" s="456" t="n"/>
      <c r="G161" s="457" t="n"/>
      <c r="H161" s="457" t="n"/>
      <c r="I161" s="458" t="n"/>
      <c r="J161" s="459" t="n"/>
    </row>
    <row r="162" ht="13.15" customHeight="1" s="1225">
      <c r="A162" s="454" t="n">
        <v>645</v>
      </c>
      <c r="B162" s="455" t="inlineStr">
        <is>
          <t>Impôts et taxes indirects</t>
        </is>
      </c>
      <c r="C162" s="1333" t="n"/>
      <c r="D162" s="1333" t="n"/>
      <c r="E162" s="1333" t="n"/>
      <c r="F162" s="456" t="n"/>
      <c r="G162" s="457" t="n"/>
      <c r="H162" s="457" t="n"/>
      <c r="I162" s="458" t="n"/>
      <c r="J162" s="459" t="n"/>
    </row>
    <row r="163" ht="13.15" customHeight="1" s="1225">
      <c r="A163" s="454" t="n">
        <v>6461</v>
      </c>
      <c r="B163" s="455" t="inlineStr">
        <is>
          <t>Droits de mutation</t>
        </is>
      </c>
      <c r="C163" s="1333" t="n"/>
      <c r="D163" s="1333" t="n"/>
      <c r="E163" s="1333" t="n"/>
      <c r="F163" s="456" t="n"/>
      <c r="G163" s="457" t="n"/>
      <c r="H163" s="457" t="n"/>
      <c r="I163" s="458" t="n"/>
      <c r="J163" s="459" t="n"/>
    </row>
    <row r="164" ht="13.15" customHeight="1" s="1225">
      <c r="A164" s="454" t="n">
        <v>6462</v>
      </c>
      <c r="B164" s="455" t="inlineStr">
        <is>
          <t>Droits de timbre</t>
        </is>
      </c>
      <c r="C164" s="1333" t="n"/>
      <c r="D164" s="1333" t="n"/>
      <c r="E164" s="1333" t="n"/>
      <c r="F164" s="456" t="n"/>
      <c r="G164" s="457" t="n"/>
      <c r="H164" s="457" t="n"/>
      <c r="I164" s="458" t="n"/>
      <c r="J164" s="459" t="n"/>
    </row>
    <row r="165" ht="13.15" customHeight="1" s="1225">
      <c r="A165" s="454" t="n">
        <v>6463</v>
      </c>
      <c r="B165" s="455" t="inlineStr">
        <is>
          <t>Taxes sur les véhicules de société</t>
        </is>
      </c>
      <c r="C165" s="1333" t="n"/>
      <c r="D165" s="1333" t="n"/>
      <c r="E165" s="1333" t="n"/>
      <c r="F165" s="456" t="n"/>
      <c r="G165" s="457" t="n"/>
      <c r="H165" s="457" t="n"/>
      <c r="I165" s="458" t="n"/>
      <c r="J165" s="459" t="n"/>
    </row>
    <row r="166" ht="13.15" customHeight="1" s="1225">
      <c r="A166" s="454" t="n">
        <v>6464</v>
      </c>
      <c r="B166" s="455" t="inlineStr">
        <is>
          <t>Vignettes</t>
        </is>
      </c>
      <c r="C166" s="1333" t="n"/>
      <c r="D166" s="1333" t="n"/>
      <c r="E166" s="1333" t="n"/>
      <c r="F166" s="456" t="n"/>
      <c r="G166" s="457" t="n"/>
      <c r="H166" s="457" t="n"/>
      <c r="I166" s="458" t="n"/>
      <c r="J166" s="459" t="n"/>
    </row>
    <row r="167" ht="13.15" customHeight="1" s="1225">
      <c r="A167" s="454" t="n">
        <v>6468</v>
      </c>
      <c r="B167" s="455" t="inlineStr">
        <is>
          <t>Autres droits d'enregistrement</t>
        </is>
      </c>
      <c r="C167" s="1333" t="n"/>
      <c r="D167" s="1333" t="n"/>
      <c r="E167" s="1333" t="n"/>
      <c r="F167" s="456" t="n"/>
      <c r="G167" s="457" t="n"/>
      <c r="H167" s="457" t="n"/>
      <c r="I167" s="458" t="n"/>
      <c r="J167" s="459" t="n"/>
    </row>
    <row r="168" ht="13.15" customHeight="1" s="1225">
      <c r="A168" s="454" t="n">
        <v>6471</v>
      </c>
      <c r="B168" s="455" t="inlineStr">
        <is>
          <t>Pénalités d'assiette, impôts directs</t>
        </is>
      </c>
      <c r="C168" s="1333" t="n"/>
      <c r="D168" s="1333" t="n"/>
      <c r="E168" s="1333" t="n"/>
      <c r="F168" s="456" t="n"/>
      <c r="G168" s="457" t="n"/>
      <c r="H168" s="457" t="n"/>
      <c r="I168" s="458" t="n"/>
      <c r="J168" s="459" t="n"/>
    </row>
    <row r="169" ht="13.15" customHeight="1" s="1225">
      <c r="A169" s="454" t="n">
        <v>6472</v>
      </c>
      <c r="B169" s="455" t="inlineStr">
        <is>
          <t>Pénalités d'assiette, impôts indirects</t>
        </is>
      </c>
      <c r="C169" s="1333" t="n"/>
      <c r="D169" s="1333" t="n"/>
      <c r="E169" s="1333" t="n"/>
      <c r="F169" s="456" t="n"/>
      <c r="G169" s="457" t="n"/>
      <c r="H169" s="457" t="n"/>
      <c r="I169" s="458" t="n"/>
      <c r="J169" s="459" t="n"/>
    </row>
    <row r="170" ht="13.15" customHeight="1" s="1225">
      <c r="A170" s="454" t="n">
        <v>6473</v>
      </c>
      <c r="B170" s="455" t="inlineStr">
        <is>
          <t>Pénalités de recouvrement, impôts directs</t>
        </is>
      </c>
      <c r="C170" s="1333" t="n"/>
      <c r="D170" s="1333" t="n"/>
      <c r="E170" s="1333" t="n"/>
      <c r="F170" s="456" t="n"/>
      <c r="G170" s="457" t="n"/>
      <c r="H170" s="457" t="n"/>
      <c r="I170" s="458" t="n"/>
      <c r="J170" s="459" t="n"/>
    </row>
    <row r="171" ht="13.15" customHeight="1" s="1225">
      <c r="A171" s="454" t="n">
        <v>6474</v>
      </c>
      <c r="B171" s="455" t="inlineStr">
        <is>
          <t>Pénalités de recouvrement, impôts indirects</t>
        </is>
      </c>
      <c r="C171" s="1333" t="n"/>
      <c r="D171" s="1333" t="n"/>
      <c r="E171" s="1333" t="n"/>
      <c r="F171" s="456" t="n"/>
      <c r="G171" s="457" t="n"/>
      <c r="H171" s="457" t="n"/>
      <c r="I171" s="458" t="n"/>
      <c r="J171" s="459" t="n"/>
    </row>
    <row r="172" ht="13.15" customHeight="1" s="1225">
      <c r="A172" s="454" t="n">
        <v>6478</v>
      </c>
      <c r="B172" s="455" t="inlineStr">
        <is>
          <t>Autres pénalités et amendes fiscales</t>
        </is>
      </c>
      <c r="C172" s="1333" t="n"/>
      <c r="D172" s="1333" t="n"/>
      <c r="E172" s="1333" t="n"/>
      <c r="F172" s="456" t="n"/>
      <c r="G172" s="457" t="n"/>
      <c r="H172" s="457" t="n"/>
      <c r="I172" s="458" t="n"/>
      <c r="J172" s="459" t="n"/>
    </row>
    <row r="173" ht="13.15" customHeight="1" s="1225" thickBot="1">
      <c r="A173" s="454" t="n">
        <v>648</v>
      </c>
      <c r="B173" s="487" t="inlineStr">
        <is>
          <t>Autres impôts et taxes</t>
        </is>
      </c>
      <c r="C173" s="1333" t="n"/>
      <c r="D173" s="1333" t="n"/>
      <c r="E173" s="1333" t="n"/>
      <c r="F173" s="456" t="n"/>
      <c r="G173" s="451" t="n"/>
      <c r="H173" s="451" t="n"/>
      <c r="I173" s="452" t="n"/>
      <c r="J173" s="459" t="n"/>
    </row>
    <row r="174" ht="13.15" customHeight="1" s="1225" thickBot="1" thickTop="1">
      <c r="A174" s="460" t="inlineStr">
        <is>
          <t>RI</t>
        </is>
      </c>
      <c r="B174" s="488" t="n"/>
      <c r="C174" s="372" t="inlineStr">
        <is>
          <t>Impôts et taxes</t>
        </is>
      </c>
      <c r="D174" s="1333" t="n"/>
      <c r="E174" s="1333" t="n"/>
      <c r="F174" s="456" t="n"/>
      <c r="G174" s="462" t="n"/>
      <c r="H174" s="462" t="n"/>
      <c r="I174" s="462" t="n"/>
      <c r="J174" s="500" t="n"/>
    </row>
    <row r="175" ht="13.15" customHeight="1" s="1225" thickTop="1">
      <c r="A175" s="454" t="n">
        <v>6511</v>
      </c>
      <c r="B175" s="455" t="inlineStr">
        <is>
          <t>Pertes sur créances clients</t>
        </is>
      </c>
      <c r="C175" s="1333" t="n"/>
      <c r="D175" s="1333" t="n"/>
      <c r="E175" s="1333" t="n"/>
      <c r="F175" s="456" t="n"/>
      <c r="G175" s="451" t="n"/>
      <c r="H175" s="451" t="n"/>
      <c r="I175" s="452" t="n"/>
      <c r="J175" s="459" t="n"/>
    </row>
    <row r="176" ht="13.15" customHeight="1" s="1225">
      <c r="A176" s="454" t="n">
        <v>6515</v>
      </c>
      <c r="B176" s="455" t="inlineStr">
        <is>
          <t>Pertes sur autres débiteurs</t>
        </is>
      </c>
      <c r="C176" s="1333" t="n"/>
      <c r="D176" s="1333" t="n"/>
      <c r="E176" s="1333" t="n"/>
      <c r="F176" s="456" t="n"/>
      <c r="G176" s="457" t="n"/>
      <c r="H176" s="457" t="n"/>
      <c r="I176" s="458" t="n"/>
      <c r="J176" s="459" t="n"/>
    </row>
    <row r="177" ht="13.15" customHeight="1" s="1225">
      <c r="A177" s="454" t="n">
        <v>6521</v>
      </c>
      <c r="B177" s="455" t="inlineStr">
        <is>
          <t>Quote-part transférée de bénéfices (comptabilité du gérant)</t>
        </is>
      </c>
      <c r="C177" s="1333" t="n"/>
      <c r="D177" s="1333" t="n"/>
      <c r="E177" s="1333" t="n"/>
      <c r="F177" s="456" t="n"/>
      <c r="G177" s="457" t="n"/>
      <c r="H177" s="457" t="n"/>
      <c r="I177" s="458" t="n"/>
      <c r="J177" s="459" t="n"/>
    </row>
    <row r="178" ht="13.15" customHeight="1" s="1225">
      <c r="A178" s="454" t="n">
        <v>6525</v>
      </c>
      <c r="B178" s="455" t="inlineStr">
        <is>
          <t>Pertes imputées par transfert (comptabilité des associés non gérants)</t>
        </is>
      </c>
      <c r="C178" s="1333" t="n"/>
      <c r="D178" s="1333" t="n"/>
      <c r="E178" s="1333" t="n"/>
      <c r="F178" s="456" t="n"/>
      <c r="G178" s="457" t="n"/>
      <c r="H178" s="457" t="n"/>
      <c r="I178" s="458" t="n"/>
      <c r="J178" s="459" t="n"/>
    </row>
    <row r="179" ht="13.15" customHeight="1" s="1225">
      <c r="A179" s="454" t="n">
        <v>6541</v>
      </c>
      <c r="B179" s="455" t="inlineStr">
        <is>
          <t>Valeur comptable des cessions courantes d'immobilisations incorporelles</t>
        </is>
      </c>
      <c r="C179" s="1333" t="n"/>
      <c r="D179" s="1333" t="n"/>
      <c r="E179" s="1333" t="n"/>
      <c r="F179" s="456" t="n"/>
      <c r="G179" s="457" t="n"/>
      <c r="H179" s="457" t="n"/>
      <c r="I179" s="458" t="n"/>
      <c r="J179" s="459" t="n"/>
    </row>
    <row r="180" ht="13.15" customHeight="1" s="1225">
      <c r="A180" s="454" t="n">
        <v>6542</v>
      </c>
      <c r="B180" s="455" t="inlineStr">
        <is>
          <t>Valeur comptable des cessions courantes d'immobilisations corporelles</t>
        </is>
      </c>
      <c r="C180" s="1333" t="n"/>
      <c r="D180" s="1333" t="n"/>
      <c r="E180" s="1333" t="n"/>
      <c r="F180" s="456" t="n"/>
      <c r="G180" s="457" t="n"/>
      <c r="H180" s="457" t="n"/>
      <c r="I180" s="458" t="n"/>
      <c r="J180" s="459" t="n"/>
    </row>
    <row r="181" ht="13.15" customHeight="1" s="1225">
      <c r="A181" s="454" t="n">
        <v>656</v>
      </c>
      <c r="B181" s="455" t="inlineStr">
        <is>
          <t>Perte de change sur créances et dettes commerciales</t>
        </is>
      </c>
      <c r="C181" s="1333" t="n"/>
      <c r="D181" s="1333" t="n"/>
      <c r="E181" s="1333" t="n"/>
      <c r="F181" s="456" t="n"/>
      <c r="G181" s="457" t="n"/>
      <c r="H181" s="457" t="n"/>
      <c r="I181" s="458" t="n"/>
      <c r="J181" s="459" t="n"/>
    </row>
    <row r="182" ht="13.15" customHeight="1" s="1225">
      <c r="A182" s="454" t="n">
        <v>657</v>
      </c>
      <c r="B182" s="455" t="inlineStr">
        <is>
          <t>Pénalités et amendes pénales</t>
        </is>
      </c>
      <c r="C182" s="1333" t="n"/>
      <c r="D182" s="1333" t="n"/>
      <c r="E182" s="1333" t="n"/>
      <c r="F182" s="456" t="n"/>
      <c r="G182" s="457" t="n"/>
      <c r="H182" s="457" t="n"/>
      <c r="I182" s="458" t="n"/>
      <c r="J182" s="459" t="n"/>
    </row>
    <row r="183" ht="13.15" customHeight="1" s="1225">
      <c r="A183" s="454" t="n">
        <v>6581</v>
      </c>
      <c r="B183" s="455" t="inlineStr">
        <is>
          <t>Indemnités de fonction et autres rémunérations d'administrateurs</t>
        </is>
      </c>
      <c r="C183" s="1333" t="n"/>
      <c r="D183" s="1333" t="n"/>
      <c r="E183" s="1333" t="n"/>
      <c r="F183" s="456" t="n"/>
      <c r="G183" s="457" t="n"/>
      <c r="H183" s="457" t="n"/>
      <c r="I183" s="458" t="n"/>
      <c r="J183" s="459" t="n"/>
    </row>
    <row r="184" ht="13.15" customHeight="1" s="1225">
      <c r="A184" s="454" t="n">
        <v>6582</v>
      </c>
      <c r="B184" s="455" t="inlineStr">
        <is>
          <t>Dons</t>
        </is>
      </c>
      <c r="C184" s="1333" t="n"/>
      <c r="D184" s="1333" t="n"/>
      <c r="E184" s="1333" t="n"/>
      <c r="F184" s="456" t="n"/>
      <c r="G184" s="457" t="n"/>
      <c r="H184" s="457" t="n"/>
      <c r="I184" s="458" t="n"/>
      <c r="J184" s="459" t="n"/>
    </row>
    <row r="185" ht="13.15" customHeight="1" s="1225">
      <c r="A185" s="454" t="n">
        <v>6583</v>
      </c>
      <c r="B185" s="455" t="inlineStr">
        <is>
          <t>Mécénat</t>
        </is>
      </c>
      <c r="C185" s="1333" t="n"/>
      <c r="D185" s="1333" t="n"/>
      <c r="E185" s="1333" t="n"/>
      <c r="F185" s="456" t="n"/>
      <c r="G185" s="457" t="n"/>
      <c r="H185" s="457" t="n"/>
      <c r="I185" s="458" t="n"/>
      <c r="J185" s="459" t="n"/>
    </row>
    <row r="186" ht="13.15" customHeight="1" s="1225">
      <c r="A186" s="454" t="n">
        <v>6588</v>
      </c>
      <c r="B186" s="455" t="inlineStr">
        <is>
          <t>Autres charges diverses</t>
        </is>
      </c>
      <c r="C186" s="1333" t="n"/>
      <c r="D186" s="1333" t="n"/>
      <c r="E186" s="1333" t="n"/>
      <c r="F186" s="456" t="n"/>
      <c r="G186" s="457" t="n"/>
      <c r="H186" s="457" t="n"/>
      <c r="I186" s="458" t="n"/>
      <c r="J186" s="459" t="n"/>
    </row>
    <row r="187" ht="13.15" customHeight="1" s="1225">
      <c r="A187" s="454" t="n">
        <v>6591</v>
      </c>
      <c r="B187" s="455" t="inlineStr">
        <is>
          <t>Charges pour dépréciation et provisions d'exploitation sur risques à court terme</t>
        </is>
      </c>
      <c r="C187" s="1333" t="n"/>
      <c r="D187" s="1333" t="n"/>
      <c r="E187" s="1333" t="n"/>
      <c r="F187" s="456" t="n"/>
      <c r="G187" s="457" t="n"/>
      <c r="H187" s="457" t="n"/>
      <c r="I187" s="458" t="n"/>
      <c r="J187" s="459" t="n"/>
    </row>
    <row r="188" ht="13.15" customHeight="1" s="1225">
      <c r="A188" s="454" t="n">
        <v>6593</v>
      </c>
      <c r="B188" s="455" t="inlineStr">
        <is>
          <t>Charges pour dépréciation et provisions pour risque à court terme d'exploitation sur stocks</t>
        </is>
      </c>
      <c r="C188" s="489" t="n"/>
      <c r="D188" s="489" t="n"/>
      <c r="E188" s="489" t="n"/>
      <c r="F188" s="490" t="n"/>
      <c r="G188" s="457" t="n"/>
      <c r="H188" s="457" t="n"/>
      <c r="I188" s="458" t="n"/>
      <c r="J188" s="459" t="n"/>
    </row>
    <row r="189" ht="13.15" customHeight="1" s="1225">
      <c r="A189" s="454" t="n">
        <v>6594</v>
      </c>
      <c r="B189" s="455" t="inlineStr">
        <is>
          <t>Charges pour dépréciation et provisions pour risque à court terme d'exploitation sur créances</t>
        </is>
      </c>
      <c r="C189" s="489" t="n"/>
      <c r="D189" s="489" t="n"/>
      <c r="E189" s="489" t="n"/>
      <c r="F189" s="490" t="n"/>
      <c r="G189" s="457" t="n"/>
      <c r="H189" s="457" t="n"/>
      <c r="I189" s="458" t="n"/>
      <c r="J189" s="459" t="n"/>
    </row>
    <row r="190" ht="13.15" customHeight="1" s="1225" thickBot="1">
      <c r="A190" s="454" t="n">
        <v>6598</v>
      </c>
      <c r="B190" s="455" t="inlineStr">
        <is>
          <t>Autres charges pour dépréciations et provisions pour risques à court terme d'exploitation</t>
        </is>
      </c>
      <c r="C190" s="489" t="n"/>
      <c r="D190" s="489" t="n"/>
      <c r="E190" s="489" t="n"/>
      <c r="F190" s="490" t="n"/>
      <c r="G190" s="451" t="n"/>
      <c r="H190" s="451" t="n"/>
      <c r="I190" s="452" t="n"/>
      <c r="J190" s="459" t="n"/>
    </row>
    <row r="191" ht="13.15" customHeight="1" s="1225" thickBot="1" thickTop="1">
      <c r="A191" s="460" t="inlineStr">
        <is>
          <t>RJ</t>
        </is>
      </c>
      <c r="B191" s="461" t="n"/>
      <c r="C191" s="372" t="inlineStr">
        <is>
          <t>Autres charges</t>
        </is>
      </c>
      <c r="D191" s="1333" t="n"/>
      <c r="E191" s="1333" t="n"/>
      <c r="F191" s="456" t="n"/>
      <c r="G191" s="462" t="n"/>
      <c r="H191" s="462" t="n"/>
      <c r="I191" s="462" t="n"/>
      <c r="J191" s="500" t="n"/>
    </row>
    <row r="192" ht="13.15" customHeight="1" s="1225" thickTop="1">
      <c r="A192" s="454" t="n">
        <v>6611</v>
      </c>
      <c r="B192" s="455" t="inlineStr">
        <is>
          <t>Appointements salaires et commissions versés au personnel national</t>
        </is>
      </c>
      <c r="C192" s="1333" t="n"/>
      <c r="D192" s="1333" t="n"/>
      <c r="E192" s="1333" t="n"/>
      <c r="F192" s="456" t="n"/>
      <c r="G192" s="457" t="n"/>
      <c r="H192" s="491" t="n"/>
      <c r="I192" s="452" t="n"/>
      <c r="J192" s="459" t="n"/>
    </row>
    <row r="193" ht="13.15" customHeight="1" s="1225">
      <c r="A193" s="454" t="n">
        <v>6612</v>
      </c>
      <c r="B193" s="455" t="inlineStr">
        <is>
          <t>Primes et gratifications versées au personnel national</t>
        </is>
      </c>
      <c r="C193" s="1333" t="n"/>
      <c r="D193" s="1333" t="n"/>
      <c r="E193" s="1333" t="n"/>
      <c r="F193" s="456" t="n"/>
      <c r="G193" s="457" t="n"/>
      <c r="H193" s="457" t="n"/>
      <c r="I193" s="458" t="n"/>
      <c r="J193" s="459" t="n"/>
    </row>
    <row r="194" ht="13.15" customHeight="1" s="1225">
      <c r="A194" s="454" t="n">
        <v>6613</v>
      </c>
      <c r="B194" s="455" t="inlineStr">
        <is>
          <t>Congés payés versés au personnel national</t>
        </is>
      </c>
      <c r="C194" s="1333" t="n"/>
      <c r="D194" s="1333" t="n"/>
      <c r="E194" s="1333" t="n"/>
      <c r="F194" s="456" t="n"/>
      <c r="G194" s="457" t="n"/>
      <c r="H194" s="457" t="n"/>
      <c r="I194" s="458" t="n"/>
      <c r="J194" s="459" t="n"/>
    </row>
    <row r="195" ht="13.15" customHeight="1" s="1225">
      <c r="A195" s="454" t="n">
        <v>6614</v>
      </c>
      <c r="B195" s="455" t="inlineStr">
        <is>
          <t>Indemnités de préavis, de licenciement et de recherche d'embauche versées au personnel national</t>
        </is>
      </c>
      <c r="C195" s="489" t="n"/>
      <c r="D195" s="489" t="n"/>
      <c r="E195" s="489" t="n"/>
      <c r="F195" s="490" t="n"/>
      <c r="G195" s="457" t="n"/>
      <c r="H195" s="457" t="n"/>
      <c r="I195" s="458" t="n"/>
      <c r="J195" s="459" t="n"/>
    </row>
    <row r="196" ht="13.15" customHeight="1" s="1225">
      <c r="A196" s="454" t="n">
        <v>6615</v>
      </c>
      <c r="B196" s="455" t="inlineStr">
        <is>
          <t>Indemnités de maladie versées aux travailleurs nationaux</t>
        </is>
      </c>
      <c r="C196" s="1333" t="n"/>
      <c r="D196" s="1333" t="n"/>
      <c r="E196" s="1333" t="n"/>
      <c r="F196" s="456" t="n"/>
      <c r="G196" s="457" t="n"/>
      <c r="H196" s="457" t="n"/>
      <c r="I196" s="458" t="n"/>
      <c r="J196" s="459" t="n"/>
    </row>
    <row r="197" ht="13.15" customHeight="1" s="1225">
      <c r="A197" s="454" t="n">
        <v>6616</v>
      </c>
      <c r="B197" s="455" t="inlineStr">
        <is>
          <t>Supplément familial versé au personnel national</t>
        </is>
      </c>
      <c r="C197" s="1333" t="n"/>
      <c r="D197" s="1333" t="n"/>
      <c r="E197" s="1333" t="n"/>
      <c r="F197" s="456" t="n"/>
      <c r="G197" s="457" t="n"/>
      <c r="H197" s="457" t="n"/>
      <c r="I197" s="458" t="n"/>
      <c r="J197" s="459" t="n"/>
    </row>
    <row r="198" ht="13.15" customHeight="1" s="1225">
      <c r="A198" s="454" t="n">
        <v>6617</v>
      </c>
      <c r="B198" s="455" t="inlineStr">
        <is>
          <t>Avantages en nature du personnel national</t>
        </is>
      </c>
      <c r="C198" s="1333" t="n"/>
      <c r="D198" s="1333" t="n"/>
      <c r="E198" s="1333" t="n"/>
      <c r="F198" s="456" t="n"/>
      <c r="G198" s="457" t="n"/>
      <c r="H198" s="457" t="n"/>
      <c r="I198" s="458" t="n"/>
      <c r="J198" s="459" t="n"/>
    </row>
    <row r="199" ht="13.15" customHeight="1" s="1225">
      <c r="A199" s="454" t="n">
        <v>6618</v>
      </c>
      <c r="B199" s="455" t="inlineStr">
        <is>
          <t>Autres rénumérations directes versées au personnel national</t>
        </is>
      </c>
      <c r="C199" s="1333" t="n"/>
      <c r="D199" s="1333" t="n"/>
      <c r="E199" s="1333" t="n"/>
      <c r="F199" s="456" t="n"/>
      <c r="G199" s="457" t="n"/>
      <c r="H199" s="457" t="n"/>
      <c r="I199" s="458" t="n"/>
      <c r="J199" s="459" t="n"/>
    </row>
    <row r="200" ht="13.15" customHeight="1" s="1225">
      <c r="A200" s="454" t="n">
        <v>6621</v>
      </c>
      <c r="B200" s="455" t="inlineStr">
        <is>
          <t>Appointements salaires et commissions versés au personnel non national</t>
        </is>
      </c>
      <c r="C200" s="1333" t="n"/>
      <c r="D200" s="1333" t="n"/>
      <c r="E200" s="1333" t="n"/>
      <c r="F200" s="456" t="n"/>
      <c r="G200" s="457" t="n"/>
      <c r="H200" s="457" t="n"/>
      <c r="I200" s="458" t="n"/>
      <c r="J200" s="459" t="n"/>
    </row>
    <row r="201" ht="13.15" customHeight="1" s="1225">
      <c r="A201" s="454" t="n">
        <v>6622</v>
      </c>
      <c r="B201" s="455" t="inlineStr">
        <is>
          <t>Primes et gratifications versées au personnel non national</t>
        </is>
      </c>
      <c r="C201" s="1333" t="n"/>
      <c r="D201" s="1333" t="n"/>
      <c r="E201" s="1333" t="n"/>
      <c r="F201" s="456" t="n"/>
      <c r="G201" s="457" t="n"/>
      <c r="H201" s="457" t="n"/>
      <c r="I201" s="458" t="n"/>
      <c r="J201" s="459" t="n"/>
    </row>
    <row r="202" ht="13.15" customHeight="1" s="1225">
      <c r="A202" s="454" t="n">
        <v>6623</v>
      </c>
      <c r="B202" s="455" t="inlineStr">
        <is>
          <t>Congés payés versés au personnel non national</t>
        </is>
      </c>
      <c r="C202" s="1333" t="n"/>
      <c r="D202" s="1333" t="n"/>
      <c r="E202" s="1333" t="n"/>
      <c r="F202" s="456" t="n"/>
      <c r="G202" s="457" t="n"/>
      <c r="H202" s="457" t="n"/>
      <c r="I202" s="458" t="n"/>
      <c r="J202" s="459" t="n"/>
    </row>
    <row r="203" ht="13.15" customHeight="1" s="1225">
      <c r="A203" s="454" t="n">
        <v>6624</v>
      </c>
      <c r="B203" s="455" t="inlineStr">
        <is>
          <t>Indemnités de préavis, de licenciement et de recherche d'embauche versées au personnel non national</t>
        </is>
      </c>
      <c r="C203" s="489" t="n"/>
      <c r="D203" s="489" t="n"/>
      <c r="E203" s="489" t="n"/>
      <c r="F203" s="490" t="n"/>
      <c r="G203" s="457" t="n"/>
      <c r="H203" s="457" t="n"/>
      <c r="I203" s="458" t="n"/>
      <c r="J203" s="459" t="n"/>
    </row>
    <row r="204" ht="13.15" customHeight="1" s="1225">
      <c r="A204" s="454" t="n">
        <v>6625</v>
      </c>
      <c r="B204" s="455" t="inlineStr">
        <is>
          <t>Indemnités de maladie versées aux travailleurs non nationaux</t>
        </is>
      </c>
      <c r="C204" s="1333" t="n"/>
      <c r="D204" s="1333" t="n"/>
      <c r="E204" s="1333" t="n"/>
      <c r="F204" s="456" t="n"/>
      <c r="G204" s="457" t="n"/>
      <c r="H204" s="457" t="n"/>
      <c r="I204" s="458" t="n"/>
      <c r="J204" s="459" t="n"/>
    </row>
    <row r="205" ht="13.15" customHeight="1" s="1225">
      <c r="A205" s="454" t="n">
        <v>6626</v>
      </c>
      <c r="B205" s="455" t="inlineStr">
        <is>
          <t>Supplément familial versé au personnel non national</t>
        </is>
      </c>
      <c r="C205" s="1333" t="n"/>
      <c r="D205" s="1333" t="n"/>
      <c r="E205" s="1333" t="n"/>
      <c r="F205" s="456" t="n"/>
      <c r="G205" s="457" t="n"/>
      <c r="H205" s="457" t="n"/>
      <c r="I205" s="458" t="n"/>
      <c r="J205" s="459" t="n"/>
    </row>
    <row r="206" ht="13.15" customHeight="1" s="1225">
      <c r="A206" s="454" t="n">
        <v>6627</v>
      </c>
      <c r="B206" s="455" t="inlineStr">
        <is>
          <t>Avantages en nature du personnel non national</t>
        </is>
      </c>
      <c r="C206" s="1333" t="n"/>
      <c r="D206" s="1333" t="n"/>
      <c r="E206" s="1333" t="n"/>
      <c r="F206" s="456" t="n"/>
      <c r="G206" s="457" t="n"/>
      <c r="H206" s="457" t="n"/>
      <c r="I206" s="458" t="n"/>
      <c r="J206" s="459" t="n"/>
    </row>
    <row r="207" ht="13.15" customHeight="1" s="1225">
      <c r="A207" s="454" t="n">
        <v>6628</v>
      </c>
      <c r="B207" s="455" t="inlineStr">
        <is>
          <t>Autres rénumérations directes versées au personnel non national</t>
        </is>
      </c>
      <c r="C207" s="1333" t="n"/>
      <c r="D207" s="1333" t="n"/>
      <c r="E207" s="1333" t="n"/>
      <c r="F207" s="456" t="n"/>
      <c r="G207" s="457" t="n"/>
      <c r="H207" s="457" t="n"/>
      <c r="I207" s="458" t="n"/>
      <c r="J207" s="459" t="n"/>
    </row>
    <row r="208" ht="13.15" customHeight="1" s="1225">
      <c r="A208" s="454" t="n">
        <v>6631</v>
      </c>
      <c r="B208" s="455" t="inlineStr">
        <is>
          <t>Indemnités forfaitaires de logement versées au personnel</t>
        </is>
      </c>
      <c r="C208" s="1333" t="n"/>
      <c r="D208" s="1333" t="n"/>
      <c r="E208" s="1333" t="n"/>
      <c r="F208" s="456" t="n"/>
      <c r="G208" s="457" t="n"/>
      <c r="H208" s="457" t="n"/>
      <c r="I208" s="458" t="n"/>
      <c r="J208" s="459" t="n"/>
    </row>
    <row r="209" ht="13.15" customHeight="1" s="1225">
      <c r="A209" s="454" t="n">
        <v>6632</v>
      </c>
      <c r="B209" s="455" t="inlineStr">
        <is>
          <t>Indemnités forfaitaires de représentation versées au personnel</t>
        </is>
      </c>
      <c r="C209" s="1333" t="n"/>
      <c r="D209" s="1333" t="n"/>
      <c r="E209" s="1333" t="n"/>
      <c r="F209" s="456" t="n"/>
      <c r="G209" s="457" t="n"/>
      <c r="H209" s="457" t="n"/>
      <c r="I209" s="458" t="n"/>
      <c r="J209" s="459" t="n"/>
    </row>
    <row r="210" ht="13.15" customHeight="1" s="1225">
      <c r="A210" s="454" t="n">
        <v>6633</v>
      </c>
      <c r="B210" s="455" t="inlineStr">
        <is>
          <t>Indemnités forfaitaires d'expatriation versées au personnel</t>
        </is>
      </c>
      <c r="C210" s="1333" t="n"/>
      <c r="D210" s="1333" t="n"/>
      <c r="E210" s="1333" t="n"/>
      <c r="F210" s="456" t="n"/>
      <c r="G210" s="457" t="n"/>
      <c r="H210" s="457" t="n"/>
      <c r="I210" s="458" t="n"/>
      <c r="J210" s="459" t="n"/>
    </row>
    <row r="211" ht="13.15" customHeight="1" s="1225">
      <c r="A211" s="454" t="n">
        <v>6634</v>
      </c>
      <c r="B211" s="455" t="inlineStr">
        <is>
          <t>Indemnités forfaitaires de transport versées au personnel</t>
        </is>
      </c>
      <c r="C211" s="1333" t="n"/>
      <c r="D211" s="1333" t="n"/>
      <c r="E211" s="1333" t="n"/>
      <c r="F211" s="456" t="n"/>
      <c r="G211" s="457" t="n"/>
      <c r="H211" s="457" t="n"/>
      <c r="I211" s="458" t="n"/>
      <c r="J211" s="459" t="n"/>
    </row>
    <row r="212" ht="13.15" customHeight="1" s="1225">
      <c r="A212" s="454" t="n">
        <v>6638</v>
      </c>
      <c r="B212" s="455" t="inlineStr">
        <is>
          <t>Autres indemnités et avantages divers versés au personnel</t>
        </is>
      </c>
      <c r="C212" s="1333" t="n"/>
      <c r="D212" s="1333" t="n"/>
      <c r="E212" s="1333" t="n"/>
      <c r="F212" s="456" t="n"/>
      <c r="G212" s="457" t="n"/>
      <c r="H212" s="457" t="n"/>
      <c r="I212" s="458" t="n"/>
      <c r="J212" s="459" t="n"/>
    </row>
    <row r="213" ht="13.15" customHeight="1" s="1225">
      <c r="A213" s="454" t="n">
        <v>6641</v>
      </c>
      <c r="B213" s="455" t="inlineStr">
        <is>
          <t>Charges sociales sur rémunération du personnel national</t>
        </is>
      </c>
      <c r="C213" s="1333" t="n"/>
      <c r="D213" s="1333" t="n"/>
      <c r="E213" s="1333" t="n"/>
      <c r="F213" s="456" t="n"/>
      <c r="G213" s="457" t="n"/>
      <c r="H213" s="451" t="n"/>
      <c r="I213" s="458" t="n"/>
      <c r="J213" s="459" t="n"/>
    </row>
    <row r="214" ht="13.15" customHeight="1" s="1225">
      <c r="A214" s="454" t="n">
        <v>6642</v>
      </c>
      <c r="B214" s="455" t="inlineStr">
        <is>
          <t>Charges sociales sur rémunération du personnel non national</t>
        </is>
      </c>
      <c r="C214" s="1333" t="n"/>
      <c r="D214" s="1333" t="n"/>
      <c r="E214" s="1333" t="n"/>
      <c r="F214" s="456" t="n"/>
      <c r="G214" s="457" t="n"/>
      <c r="H214" s="457" t="n"/>
      <c r="I214" s="458" t="n"/>
      <c r="J214" s="459" t="n"/>
    </row>
    <row r="215" ht="13.15" customHeight="1" s="1225">
      <c r="A215" s="454" t="n">
        <v>6661</v>
      </c>
      <c r="B215" s="455" t="inlineStr">
        <is>
          <t>Rémunérations du travail de l'exploitant individuel</t>
        </is>
      </c>
      <c r="C215" s="1333" t="n"/>
      <c r="D215" s="1333" t="n"/>
      <c r="E215" s="1333" t="n"/>
      <c r="F215" s="456" t="n"/>
      <c r="G215" s="457" t="n"/>
      <c r="H215" s="457" t="n"/>
      <c r="I215" s="458" t="n"/>
      <c r="J215" s="459" t="n"/>
    </row>
    <row r="216" ht="13.15" customHeight="1" s="1225">
      <c r="A216" s="454" t="n">
        <v>6662</v>
      </c>
      <c r="B216" s="455" t="inlineStr">
        <is>
          <t>Charges sociales de l'exploitant individuel</t>
        </is>
      </c>
      <c r="C216" s="1333" t="n"/>
      <c r="D216" s="1333" t="n"/>
      <c r="E216" s="1333" t="n"/>
      <c r="F216" s="456" t="n"/>
      <c r="G216" s="457" t="n"/>
      <c r="H216" s="457" t="n"/>
      <c r="I216" s="458" t="n"/>
      <c r="J216" s="459" t="n"/>
    </row>
    <row r="217" ht="13.15" customHeight="1" s="1225">
      <c r="A217" s="454" t="n">
        <v>6671</v>
      </c>
      <c r="B217" s="455" t="inlineStr">
        <is>
          <t>Rémunérations transférée du personnel intérimaire</t>
        </is>
      </c>
      <c r="C217" s="1333" t="n"/>
      <c r="D217" s="1333" t="n"/>
      <c r="E217" s="1333" t="n"/>
      <c r="F217" s="456" t="n"/>
      <c r="G217" s="457" t="n"/>
      <c r="H217" s="457" t="n"/>
      <c r="I217" s="458" t="n"/>
      <c r="J217" s="459" t="n"/>
    </row>
    <row r="218" ht="13.15" customHeight="1" s="1225">
      <c r="A218" s="454" t="n">
        <v>6672</v>
      </c>
      <c r="B218" s="455" t="inlineStr">
        <is>
          <t>Rémunérations transférée du personnel détaché ou prêté à l'entité</t>
        </is>
      </c>
      <c r="C218" s="1333" t="n"/>
      <c r="D218" s="1333" t="n"/>
      <c r="E218" s="1333" t="n"/>
      <c r="F218" s="478" t="n"/>
      <c r="G218" s="457" t="n"/>
      <c r="H218" s="457" t="n"/>
      <c r="I218" s="458" t="n"/>
      <c r="J218" s="459" t="n"/>
    </row>
    <row r="219" ht="13.15" customHeight="1" s="1225">
      <c r="A219" s="454" t="n">
        <v>6681</v>
      </c>
      <c r="B219" s="455" t="inlineStr">
        <is>
          <t>Versements aux Syndicats et Comités d'entreprise, d'établissement</t>
        </is>
      </c>
      <c r="C219" s="1333" t="n"/>
      <c r="D219" s="1333" t="n"/>
      <c r="E219" s="1333" t="n"/>
      <c r="F219" s="478" t="n"/>
      <c r="G219" s="457" t="n"/>
      <c r="H219" s="457" t="n"/>
      <c r="I219" s="458" t="n"/>
      <c r="J219" s="459" t="n"/>
    </row>
    <row r="220" ht="13.15" customHeight="1" s="1225">
      <c r="A220" s="454" t="n">
        <v>6682</v>
      </c>
      <c r="B220" s="455" t="inlineStr">
        <is>
          <t>Versements aux Comités d'hygiène et de sécurité</t>
        </is>
      </c>
      <c r="C220" s="1333" t="n"/>
      <c r="D220" s="1333" t="n"/>
      <c r="E220" s="1333" t="n"/>
      <c r="F220" s="478" t="n"/>
      <c r="G220" s="457" t="n"/>
      <c r="H220" s="457" t="n"/>
      <c r="I220" s="458" t="n"/>
      <c r="J220" s="459" t="n"/>
    </row>
    <row r="221" ht="13.15" customHeight="1" s="1225">
      <c r="A221" s="465" t="n">
        <v>6683</v>
      </c>
      <c r="B221" s="466" t="inlineStr">
        <is>
          <t>Versements et contributions aux autres œuvres sociales</t>
        </is>
      </c>
      <c r="C221" s="479" t="n"/>
      <c r="D221" s="479" t="n"/>
      <c r="E221" s="479" t="n"/>
      <c r="F221" s="481" t="n"/>
      <c r="G221" s="492" t="n"/>
      <c r="H221" s="482" t="n"/>
      <c r="I221" s="483" t="n"/>
      <c r="J221" s="472" t="n"/>
    </row>
    <row r="222" ht="14.1" customHeight="1" s="1225">
      <c r="A222" s="473" t="n"/>
      <c r="B222" s="370" t="n"/>
      <c r="C222" s="1333" t="n"/>
      <c r="D222" s="1333" t="n"/>
      <c r="E222" s="1333" t="n"/>
      <c r="F222" s="1333" t="n"/>
      <c r="G222" s="474" t="n"/>
      <c r="H222" s="474" t="n"/>
      <c r="I222" s="474" t="n"/>
      <c r="J222" s="475" t="n"/>
    </row>
    <row r="223" ht="15" customHeight="1" s="1225">
      <c r="A223" s="1849" t="inlineStr">
        <is>
          <t>SYSTEME NORMAL</t>
        </is>
      </c>
      <c r="B223" s="1411" t="n"/>
      <c r="C223" s="440" t="n"/>
      <c r="D223" s="1879" t="inlineStr">
        <is>
          <t>- 28 -</t>
        </is>
      </c>
      <c r="G223" s="1880" t="n"/>
      <c r="H223" s="1871" t="inlineStr">
        <is>
          <t xml:space="preserve">ETAT SUPPLEMENTAIRE N°1 </t>
        </is>
      </c>
      <c r="I223" s="1872" t="n"/>
      <c r="J223" s="1873" t="n"/>
    </row>
    <row r="224">
      <c r="A224" s="1333" t="inlineStr">
        <is>
          <t>Dénomination sociale de l'entité :</t>
        </is>
      </c>
      <c r="B224" s="369" t="n"/>
      <c r="C224" s="1874">
        <f>C2</f>
        <v/>
      </c>
      <c r="D224" s="1875" t="n"/>
      <c r="E224" s="1875" t="n"/>
      <c r="F224" s="1875" t="n"/>
      <c r="G224" s="1875" t="n"/>
      <c r="H224" s="1875" t="n"/>
      <c r="I224" s="1875" t="n"/>
      <c r="J224" s="1875" t="n"/>
    </row>
    <row r="225">
      <c r="A225" s="1333" t="inlineStr">
        <is>
          <t>Adresse :</t>
        </is>
      </c>
      <c r="B225" s="1874">
        <f>B3</f>
        <v/>
      </c>
      <c r="C225" s="1875" t="n"/>
      <c r="D225" s="1875" t="n"/>
      <c r="E225" s="1875" t="n"/>
      <c r="F225" s="1875" t="n"/>
      <c r="G225" s="1875" t="n"/>
      <c r="H225" s="1875" t="n"/>
      <c r="I225" s="114" t="inlineStr">
        <is>
          <t>Sigle usuel :</t>
        </is>
      </c>
      <c r="J225" s="1874">
        <f>J3</f>
        <v/>
      </c>
    </row>
    <row r="226">
      <c r="A226" s="1451" t="inlineStr">
        <is>
          <t>N° IFU :</t>
        </is>
      </c>
      <c r="B226" s="1333" t="n"/>
      <c r="C226" s="1874">
        <f>C4</f>
        <v/>
      </c>
      <c r="D226" s="1875" t="n"/>
      <c r="E226" s="442" t="n"/>
      <c r="F226" s="442" t="n"/>
      <c r="G226" s="114" t="inlineStr">
        <is>
          <t>Exercice clos le :</t>
        </is>
      </c>
      <c r="H226" s="1092">
        <f>H4</f>
        <v/>
      </c>
      <c r="I226" s="114" t="inlineStr">
        <is>
          <t>Durée (en mois) :</t>
        </is>
      </c>
      <c r="J226" s="441">
        <f>J4</f>
        <v/>
      </c>
    </row>
    <row r="227">
      <c r="A227" s="259" t="inlineStr">
        <is>
          <t xml:space="preserve">N° de télédéclarant (NES): </t>
        </is>
      </c>
      <c r="B227" s="1333" t="n"/>
      <c r="C227" s="1874">
        <f>C5</f>
        <v/>
      </c>
      <c r="D227" s="1875" t="n"/>
      <c r="E227" s="1875" t="n"/>
      <c r="F227" s="1875" t="n"/>
      <c r="G227" s="443" t="n"/>
      <c r="H227" s="441" t="n"/>
      <c r="I227" s="442" t="n"/>
      <c r="J227" s="442" t="n"/>
    </row>
    <row r="228" ht="5.25" customHeight="1" s="1225">
      <c r="A228" s="1451" t="n"/>
      <c r="B228" s="1451" t="n"/>
      <c r="C228" s="2030" t="n"/>
      <c r="D228" s="2030" t="n"/>
      <c r="E228" s="1589" t="n"/>
      <c r="F228" s="236" t="n"/>
      <c r="G228" s="1589" t="n"/>
      <c r="H228" s="2030" t="n"/>
      <c r="I228" s="48" t="n"/>
      <c r="J228" s="48" t="n"/>
    </row>
    <row r="229">
      <c r="A229" s="1887" t="inlineStr">
        <is>
          <t>ETAT COMPLEMENTAIRE DIRECTION GENERALE DES IMPOTS/COMPTABILITE NATIONALE</t>
        </is>
      </c>
      <c r="B229" s="1872" t="n"/>
      <c r="C229" s="1872" t="n"/>
      <c r="D229" s="1872" t="n"/>
      <c r="E229" s="1872" t="n"/>
      <c r="F229" s="1872" t="n"/>
      <c r="G229" s="1872" t="n"/>
      <c r="H229" s="1872" t="n"/>
      <c r="I229" s="1872" t="n"/>
      <c r="J229" s="1873" t="n"/>
    </row>
    <row r="230" ht="5.25" customHeight="1" s="1225">
      <c r="A230" s="48" t="n"/>
      <c r="B230" s="48" t="n"/>
      <c r="C230" s="48" t="n"/>
      <c r="D230" s="48" t="n"/>
      <c r="E230" s="48" t="n"/>
      <c r="F230" s="48" t="n"/>
      <c r="G230" s="48" t="n"/>
      <c r="H230" s="48" t="n"/>
      <c r="I230" s="48" t="n"/>
      <c r="J230" s="48" t="n"/>
    </row>
    <row r="231">
      <c r="A231" s="1883" t="inlineStr">
        <is>
          <t>DETAIL DES CHARGES EN FCFA</t>
        </is>
      </c>
      <c r="B231" s="1884" t="n"/>
      <c r="C231" s="1884" t="n"/>
      <c r="D231" s="1884" t="n"/>
      <c r="E231" s="1884" t="n"/>
      <c r="F231" s="1877" t="n"/>
      <c r="G231" s="1888" t="inlineStr">
        <is>
          <t>Exercice N</t>
        </is>
      </c>
      <c r="H231" s="1881" t="inlineStr">
        <is>
          <t>Exercice N-1</t>
        </is>
      </c>
      <c r="I231" s="1876" t="inlineStr">
        <is>
          <t>Variation N/N-1</t>
        </is>
      </c>
      <c r="J231" s="1877" t="n"/>
    </row>
    <row r="232">
      <c r="A232" s="1882" t="n"/>
      <c r="B232" s="1885" t="n"/>
      <c r="C232" s="1885" t="n"/>
      <c r="D232" s="1885" t="n"/>
      <c r="E232" s="1885" t="n"/>
      <c r="F232" s="1886" t="n"/>
      <c r="G232" s="1885" t="n"/>
      <c r="H232" s="1882" t="n"/>
      <c r="I232" s="1881" t="inlineStr">
        <is>
          <t>En valeur</t>
        </is>
      </c>
      <c r="J232" s="1883" t="inlineStr">
        <is>
          <t>En %</t>
        </is>
      </c>
    </row>
    <row r="233" ht="14.1" customHeight="1" s="1225">
      <c r="A233" s="454" t="n">
        <v>6684</v>
      </c>
      <c r="B233" s="455" t="inlineStr">
        <is>
          <t>Médecine du travail et pharmacie</t>
        </is>
      </c>
      <c r="C233" s="1333" t="n"/>
      <c r="D233" s="1333" t="n"/>
      <c r="E233" s="1333" t="n"/>
      <c r="F233" s="456" t="n"/>
      <c r="G233" s="457" t="n"/>
      <c r="H233" s="457" t="n"/>
      <c r="I233" s="458" t="n"/>
      <c r="J233" s="459" t="n"/>
    </row>
    <row r="234" ht="14.1" customHeight="1" s="1225">
      <c r="A234" s="454" t="n">
        <v>6685</v>
      </c>
      <c r="B234" s="455" t="inlineStr">
        <is>
          <t>Assurances et organismes de santé</t>
        </is>
      </c>
      <c r="C234" s="1333" t="n"/>
      <c r="D234" s="1333" t="n"/>
      <c r="E234" s="1333" t="n"/>
      <c r="F234" s="456" t="n"/>
      <c r="G234" s="457" t="n"/>
      <c r="H234" s="457" t="n"/>
      <c r="I234" s="458" t="n"/>
      <c r="J234" s="459" t="n"/>
    </row>
    <row r="235" ht="14.1" customHeight="1" s="1225">
      <c r="A235" s="454" t="n">
        <v>6686</v>
      </c>
      <c r="B235" s="455" t="inlineStr">
        <is>
          <t>Assurances retraite et fonds de pension</t>
        </is>
      </c>
      <c r="C235" s="1333" t="n"/>
      <c r="D235" s="1333" t="n"/>
      <c r="E235" s="1333" t="n"/>
      <c r="F235" s="456" t="n"/>
      <c r="G235" s="457" t="n"/>
      <c r="H235" s="457" t="n"/>
      <c r="I235" s="458" t="n"/>
      <c r="J235" s="459" t="n"/>
    </row>
    <row r="236" ht="14.1" customHeight="1" s="1225">
      <c r="A236" s="454" t="n">
        <v>6687</v>
      </c>
      <c r="B236" s="455" t="inlineStr">
        <is>
          <t>Majorations et pénalités sociales</t>
        </is>
      </c>
      <c r="C236" s="1333" t="n"/>
      <c r="D236" s="1333" t="n"/>
      <c r="E236" s="1333" t="n"/>
      <c r="F236" s="456" t="n"/>
      <c r="G236" s="457" t="n"/>
      <c r="H236" s="457" t="n"/>
      <c r="I236" s="458" t="n"/>
      <c r="J236" s="459" t="n"/>
    </row>
    <row r="237" ht="14.1" customHeight="1" s="1225" thickBot="1">
      <c r="A237" s="454" t="n">
        <v>6688</v>
      </c>
      <c r="B237" s="455" t="inlineStr">
        <is>
          <t>Charges sociales diverses</t>
        </is>
      </c>
      <c r="C237" s="1333" t="n"/>
      <c r="D237" s="1333" t="n"/>
      <c r="E237" s="1333" t="n"/>
      <c r="F237" s="456" t="n"/>
      <c r="G237" s="451" t="n"/>
      <c r="H237" s="451" t="n"/>
      <c r="I237" s="452" t="n"/>
      <c r="J237" s="459" t="n"/>
    </row>
    <row r="238" ht="14.1" customHeight="1" s="1225" thickBot="1" thickTop="1">
      <c r="A238" s="460" t="inlineStr">
        <is>
          <t>RK</t>
        </is>
      </c>
      <c r="B238" s="461" t="n"/>
      <c r="C238" s="372" t="inlineStr">
        <is>
          <t>Charges de personnel</t>
        </is>
      </c>
      <c r="D238" s="1333" t="n"/>
      <c r="E238" s="1333" t="n"/>
      <c r="F238" s="456" t="n"/>
      <c r="G238" s="462" t="n"/>
      <c r="H238" s="462" t="n"/>
      <c r="I238" s="462" t="n"/>
      <c r="J238" s="500" t="n"/>
    </row>
    <row r="239" ht="14.1" customHeight="1" s="1225" thickTop="1">
      <c r="A239" s="454" t="n">
        <v>6711</v>
      </c>
      <c r="B239" s="455" t="inlineStr">
        <is>
          <t>Intérêts des emprunts obligataires</t>
        </is>
      </c>
      <c r="C239" s="1333" t="n"/>
      <c r="D239" s="1333" t="n"/>
      <c r="E239" s="1333" t="n"/>
      <c r="F239" s="456" t="n"/>
      <c r="G239" s="491" t="n"/>
      <c r="H239" s="491" t="n"/>
      <c r="I239" s="458" t="n"/>
      <c r="J239" s="459" t="n"/>
    </row>
    <row r="240" ht="14.1" customHeight="1" s="1225">
      <c r="A240" s="454" t="n">
        <v>6712</v>
      </c>
      <c r="B240" s="455" t="inlineStr">
        <is>
          <t>Intérêts des emprunts auprès des établissements de crédit</t>
        </is>
      </c>
      <c r="C240" s="1333" t="n"/>
      <c r="D240" s="1333" t="n"/>
      <c r="E240" s="1333" t="n"/>
      <c r="F240" s="456" t="n"/>
      <c r="G240" s="457" t="n"/>
      <c r="H240" s="457" t="n"/>
      <c r="I240" s="458" t="n"/>
      <c r="J240" s="459" t="n"/>
    </row>
    <row r="241" ht="14.1" customHeight="1" s="1225">
      <c r="A241" s="454" t="n">
        <v>6713</v>
      </c>
      <c r="B241" s="455" t="inlineStr">
        <is>
          <t>Intérêts des dettes liées à des participations</t>
        </is>
      </c>
      <c r="C241" s="1333" t="n"/>
      <c r="D241" s="1333" t="n"/>
      <c r="E241" s="1333" t="n"/>
      <c r="F241" s="456" t="n"/>
      <c r="G241" s="457" t="n"/>
      <c r="H241" s="457" t="n"/>
      <c r="I241" s="458" t="n"/>
      <c r="J241" s="459" t="n"/>
    </row>
    <row r="242" ht="14.1" customHeight="1" s="1225">
      <c r="A242" s="454" t="n">
        <v>6714</v>
      </c>
      <c r="B242" s="455" t="inlineStr">
        <is>
          <t>Intérêts des primes de remboursement des obligations</t>
        </is>
      </c>
      <c r="C242" s="1333" t="n"/>
      <c r="D242" s="1333" t="n"/>
      <c r="E242" s="1333" t="n"/>
      <c r="F242" s="456" t="n"/>
      <c r="G242" s="457" t="n"/>
      <c r="H242" s="457" t="n"/>
      <c r="I242" s="458" t="n"/>
      <c r="J242" s="459" t="n"/>
    </row>
    <row r="243" ht="14.1" customHeight="1" s="1225">
      <c r="A243" s="454" t="n">
        <v>6721</v>
      </c>
      <c r="B243" s="455" t="inlineStr">
        <is>
          <t>Intérêts dans loyers de location acquisition/crédit-bail immobilier</t>
        </is>
      </c>
      <c r="C243" s="1333" t="n"/>
      <c r="D243" s="1333" t="n"/>
      <c r="E243" s="1333" t="n"/>
      <c r="F243" s="456" t="n"/>
      <c r="G243" s="457" t="n"/>
      <c r="H243" s="457" t="n"/>
      <c r="I243" s="458" t="n"/>
      <c r="J243" s="459" t="n"/>
    </row>
    <row r="244" ht="14.1" customHeight="1" s="1225">
      <c r="A244" s="454" t="n">
        <v>6722</v>
      </c>
      <c r="B244" s="455" t="inlineStr">
        <is>
          <t>Intérêts dans loyers de location acquisition/crédit-bail mobilier</t>
        </is>
      </c>
      <c r="C244" s="1333" t="n"/>
      <c r="D244" s="1333" t="n"/>
      <c r="E244" s="1333" t="n"/>
      <c r="F244" s="456" t="n"/>
      <c r="G244" s="457" t="n"/>
      <c r="H244" s="457" t="n"/>
      <c r="I244" s="458" t="n"/>
      <c r="J244" s="459" t="n"/>
    </row>
    <row r="245" ht="14.1" customHeight="1" s="1225">
      <c r="A245" s="454" t="n">
        <v>6723</v>
      </c>
      <c r="B245" s="455" t="inlineStr">
        <is>
          <t>Intérêts dans loyers de location acquisition/location-vente</t>
        </is>
      </c>
      <c r="C245" s="1333" t="n"/>
      <c r="D245" s="1333" t="n"/>
      <c r="E245" s="1333" t="n"/>
      <c r="F245" s="456" t="n"/>
      <c r="G245" s="457" t="n"/>
      <c r="H245" s="457" t="n"/>
      <c r="I245" s="458" t="n"/>
      <c r="J245" s="459" t="n"/>
    </row>
    <row r="246" ht="14.1" customHeight="1" s="1225">
      <c r="A246" s="454" t="n">
        <v>6728</v>
      </c>
      <c r="B246" s="455" t="inlineStr">
        <is>
          <t>Intérêts dans loyers des autres locations acquisition</t>
        </is>
      </c>
      <c r="C246" s="1333" t="n"/>
      <c r="D246" s="1333" t="n"/>
      <c r="E246" s="1333" t="n"/>
      <c r="F246" s="456" t="n"/>
      <c r="G246" s="457" t="n"/>
      <c r="H246" s="457" t="n"/>
      <c r="I246" s="458" t="n"/>
      <c r="J246" s="459" t="n"/>
    </row>
    <row r="247" ht="14.1" customHeight="1" s="1225">
      <c r="A247" s="454" t="n">
        <v>673</v>
      </c>
      <c r="B247" s="455" t="inlineStr">
        <is>
          <t>Escomptes accordés</t>
        </is>
      </c>
      <c r="C247" s="1333" t="n"/>
      <c r="D247" s="1333" t="n"/>
      <c r="E247" s="1333" t="n"/>
      <c r="F247" s="456" t="n"/>
      <c r="G247" s="457" t="n"/>
      <c r="H247" s="457" t="n"/>
      <c r="I247" s="458" t="n"/>
      <c r="J247" s="459" t="n"/>
    </row>
    <row r="248" ht="14.1" customHeight="1" s="1225">
      <c r="A248" s="454" t="n">
        <v>6741</v>
      </c>
      <c r="B248" s="455" t="inlineStr">
        <is>
          <t>Intérêts sur avances reçues et dépôts créditeurs</t>
        </is>
      </c>
      <c r="C248" s="1333" t="n"/>
      <c r="D248" s="1333" t="n"/>
      <c r="E248" s="1333" t="n"/>
      <c r="F248" s="456" t="n"/>
      <c r="G248" s="457" t="n"/>
      <c r="H248" s="457" t="n"/>
      <c r="I248" s="458" t="n"/>
      <c r="J248" s="459" t="n"/>
    </row>
    <row r="249" ht="14.1" customHeight="1" s="1225">
      <c r="A249" s="454" t="n">
        <v>6742</v>
      </c>
      <c r="B249" s="455" t="inlineStr">
        <is>
          <t>Intérêts sur Comptes courants bloqués</t>
        </is>
      </c>
      <c r="C249" s="1333" t="n"/>
      <c r="D249" s="1333" t="n"/>
      <c r="E249" s="1333" t="n"/>
      <c r="F249" s="456" t="n"/>
      <c r="G249" s="457" t="n"/>
      <c r="H249" s="457" t="n"/>
      <c r="I249" s="458" t="n"/>
      <c r="J249" s="459" t="n"/>
    </row>
    <row r="250" ht="14.1" customHeight="1" s="1225">
      <c r="A250" s="454" t="n">
        <v>6743</v>
      </c>
      <c r="B250" s="455" t="inlineStr">
        <is>
          <t>Intérêts sur obligations cautionnées</t>
        </is>
      </c>
      <c r="C250" s="1333" t="n"/>
      <c r="D250" s="1333" t="n"/>
      <c r="E250" s="1333" t="n"/>
      <c r="F250" s="456" t="n"/>
      <c r="G250" s="457" t="n"/>
      <c r="H250" s="457" t="n"/>
      <c r="I250" s="458" t="n"/>
      <c r="J250" s="459" t="n"/>
    </row>
    <row r="251" ht="14.1" customHeight="1" s="1225">
      <c r="A251" s="454" t="n">
        <v>6744</v>
      </c>
      <c r="B251" s="455" t="inlineStr">
        <is>
          <t>Intérêts sur dettes commerciales</t>
        </is>
      </c>
      <c r="C251" s="1333" t="n"/>
      <c r="D251" s="1333" t="n"/>
      <c r="E251" s="1333" t="n"/>
      <c r="F251" s="456" t="n"/>
      <c r="G251" s="457" t="n"/>
      <c r="H251" s="457" t="n"/>
      <c r="I251" s="458" t="n"/>
      <c r="J251" s="459" t="n"/>
    </row>
    <row r="252" ht="14.1" customHeight="1" s="1225">
      <c r="A252" s="454" t="n">
        <v>6745</v>
      </c>
      <c r="B252" s="455" t="inlineStr">
        <is>
          <t>Intérêts bancaires et sur opérations de financement (escompte…)</t>
        </is>
      </c>
      <c r="C252" s="1333" t="n"/>
      <c r="D252" s="1333" t="n"/>
      <c r="E252" s="1333" t="n"/>
      <c r="F252" s="456" t="n"/>
      <c r="G252" s="457" t="n"/>
      <c r="H252" s="457" t="n"/>
      <c r="I252" s="458" t="n"/>
      <c r="J252" s="459" t="n"/>
    </row>
    <row r="253" ht="14.1" customHeight="1" s="1225">
      <c r="A253" s="454" t="n">
        <v>6748</v>
      </c>
      <c r="B253" s="455" t="inlineStr">
        <is>
          <t xml:space="preserve">Intérêts sur dettes diverses                     </t>
        </is>
      </c>
      <c r="C253" s="1333" t="n"/>
      <c r="D253" s="1333" t="n"/>
      <c r="E253" s="1333" t="n"/>
      <c r="F253" s="456" t="n"/>
      <c r="G253" s="457" t="n"/>
      <c r="H253" s="457" t="n"/>
      <c r="I253" s="458" t="n"/>
      <c r="J253" s="459" t="n"/>
    </row>
    <row r="254" ht="14.1" customHeight="1" s="1225">
      <c r="A254" s="454" t="n">
        <v>675</v>
      </c>
      <c r="B254" s="455" t="inlineStr">
        <is>
          <t>Escomptes des effets de commerce</t>
        </is>
      </c>
      <c r="C254" s="1333" t="n"/>
      <c r="D254" s="1333" t="n"/>
      <c r="E254" s="1333" t="n"/>
      <c r="F254" s="456" t="n"/>
      <c r="G254" s="457" t="n"/>
      <c r="H254" s="457" t="n"/>
      <c r="I254" s="458" t="n"/>
      <c r="J254" s="459" t="n"/>
    </row>
    <row r="255" ht="14.1" customHeight="1" s="1225">
      <c r="A255" s="454" t="n">
        <v>676</v>
      </c>
      <c r="B255" s="455" t="inlineStr">
        <is>
          <t>Pertes de change financières</t>
        </is>
      </c>
      <c r="C255" s="1333" t="n"/>
      <c r="D255" s="1333" t="n"/>
      <c r="E255" s="1333" t="n"/>
      <c r="F255" s="456" t="n"/>
      <c r="G255" s="457" t="n"/>
      <c r="H255" s="457" t="n"/>
      <c r="I255" s="458" t="n"/>
      <c r="J255" s="459" t="n"/>
    </row>
    <row r="256" ht="14.1" customHeight="1" s="1225">
      <c r="A256" s="454" t="n">
        <v>6771</v>
      </c>
      <c r="B256" s="455" t="inlineStr">
        <is>
          <t>Pertes sur cessions de titre de placement</t>
        </is>
      </c>
      <c r="C256" s="373" t="n"/>
      <c r="D256" s="1333" t="n"/>
      <c r="E256" s="1333" t="n"/>
      <c r="F256" s="456" t="n"/>
      <c r="G256" s="457" t="n"/>
      <c r="H256" s="457" t="n"/>
      <c r="I256" s="458" t="n"/>
      <c r="J256" s="459" t="n"/>
    </row>
    <row r="257" ht="14.1" customHeight="1" s="1225">
      <c r="A257" s="454" t="n">
        <v>6772</v>
      </c>
      <c r="B257" s="455" t="inlineStr">
        <is>
          <t>Malis provenant d’attribution gratuite d’actions au personnel salarié et aux dirigeants</t>
        </is>
      </c>
      <c r="C257" s="373" t="n"/>
      <c r="D257" s="1333" t="n"/>
      <c r="E257" s="1333" t="n"/>
      <c r="F257" s="456" t="n"/>
      <c r="G257" s="457" t="n"/>
      <c r="H257" s="457" t="n"/>
      <c r="I257" s="458" t="n"/>
      <c r="J257" s="459" t="n"/>
    </row>
    <row r="258" ht="14.1" customHeight="1" s="1225">
      <c r="A258" s="454" t="n">
        <v>6781</v>
      </c>
      <c r="B258" s="455" t="inlineStr">
        <is>
          <t>Pertes et charges sur rentes viagères</t>
        </is>
      </c>
      <c r="C258" s="373" t="n"/>
      <c r="D258" s="1333" t="n"/>
      <c r="E258" s="1333" t="n"/>
      <c r="F258" s="456" t="n"/>
      <c r="G258" s="457" t="n"/>
      <c r="H258" s="457" t="n"/>
      <c r="I258" s="458" t="n"/>
      <c r="J258" s="459" t="n"/>
    </row>
    <row r="259" ht="14.1" customHeight="1" s="1225">
      <c r="A259" s="454" t="n">
        <v>6782</v>
      </c>
      <c r="B259" s="455" t="inlineStr">
        <is>
          <t>Pertes et charges sur opérations financières</t>
        </is>
      </c>
      <c r="C259" s="373" t="n"/>
      <c r="D259" s="1333" t="n"/>
      <c r="E259" s="1333" t="n"/>
      <c r="F259" s="456" t="n"/>
      <c r="G259" s="457" t="n"/>
      <c r="H259" s="457" t="n"/>
      <c r="I259" s="458" t="n"/>
      <c r="J259" s="459" t="n"/>
    </row>
    <row r="260" ht="14.1" customHeight="1" s="1225">
      <c r="A260" s="454" t="n">
        <v>6784</v>
      </c>
      <c r="B260" s="455" t="inlineStr">
        <is>
          <t>Pertes et charges sur instrument de trésorerie</t>
        </is>
      </c>
      <c r="C260" s="373" t="n"/>
      <c r="D260" s="1333" t="n"/>
      <c r="E260" s="1333" t="n"/>
      <c r="F260" s="456" t="n"/>
      <c r="G260" s="457" t="n"/>
      <c r="H260" s="457" t="n"/>
      <c r="I260" s="458" t="n"/>
      <c r="J260" s="459" t="n"/>
    </row>
    <row r="261" ht="14.1" customHeight="1" s="1225">
      <c r="A261" s="454" t="n">
        <v>6791</v>
      </c>
      <c r="B261" s="455" t="inlineStr">
        <is>
          <t>Charges pour dépréciations et provisions sur risques financiers à court terme</t>
        </is>
      </c>
      <c r="C261" s="373" t="n"/>
      <c r="D261" s="1333" t="n"/>
      <c r="E261" s="1333" t="n"/>
      <c r="F261" s="456" t="n"/>
      <c r="G261" s="457" t="n"/>
      <c r="H261" s="457" t="n"/>
      <c r="I261" s="458" t="n"/>
      <c r="J261" s="459" t="n"/>
    </row>
    <row r="262" ht="14.1" customHeight="1" s="1225">
      <c r="A262" s="454" t="n">
        <v>6795</v>
      </c>
      <c r="B262" s="455" t="inlineStr">
        <is>
          <t>Charges pour dépréciations et provisions sur titres de placement</t>
        </is>
      </c>
      <c r="C262" s="373" t="n"/>
      <c r="D262" s="1333" t="n"/>
      <c r="E262" s="1333" t="n"/>
      <c r="F262" s="456" t="n"/>
      <c r="G262" s="457" t="n"/>
      <c r="H262" s="457" t="n"/>
      <c r="I262" s="458" t="n"/>
      <c r="J262" s="459" t="n"/>
    </row>
    <row r="263" ht="14.1" customHeight="1" s="1225" thickBot="1">
      <c r="A263" s="454" t="n">
        <v>6798</v>
      </c>
      <c r="B263" s="455" t="inlineStr">
        <is>
          <t>Autres charges pour dépréciations et provisions pour risques à court terme financières</t>
        </is>
      </c>
      <c r="C263" s="373" t="n"/>
      <c r="D263" s="1333" t="n"/>
      <c r="E263" s="1333" t="n"/>
      <c r="F263" s="456" t="n"/>
      <c r="G263" s="451" t="n"/>
      <c r="H263" s="451" t="n"/>
      <c r="I263" s="452" t="n"/>
      <c r="J263" s="459" t="n"/>
    </row>
    <row r="264" ht="14.1" customHeight="1" s="1225" thickBot="1" thickTop="1">
      <c r="A264" s="460" t="inlineStr">
        <is>
          <t>RM</t>
        </is>
      </c>
      <c r="B264" s="493" t="inlineStr">
        <is>
          <t>Frais financiers et charges assimiliés</t>
        </is>
      </c>
      <c r="C264" s="1356" t="n"/>
      <c r="D264" s="1333" t="n"/>
      <c r="E264" s="1333" t="n"/>
      <c r="F264" s="456" t="n"/>
      <c r="G264" s="462" t="n"/>
      <c r="H264" s="462" t="n"/>
      <c r="I264" s="462" t="n"/>
      <c r="J264" s="500" t="n"/>
    </row>
    <row r="265" ht="14.1" customHeight="1" s="1225" thickTop="1">
      <c r="A265" s="454" t="n">
        <v>6812</v>
      </c>
      <c r="B265" s="455" t="inlineStr">
        <is>
          <t>Dotations aux amortissements des immobilisations incorporelles</t>
        </is>
      </c>
      <c r="C265" s="373" t="n"/>
      <c r="D265" s="1333" t="n"/>
      <c r="E265" s="1333" t="n"/>
      <c r="F265" s="456" t="n"/>
      <c r="G265" s="491" t="n"/>
      <c r="H265" s="491" t="n"/>
      <c r="I265" s="494" t="n"/>
      <c r="J265" s="459" t="n"/>
    </row>
    <row r="266" ht="14.1" customHeight="1" s="1225">
      <c r="A266" s="454" t="n">
        <v>6813</v>
      </c>
      <c r="B266" s="455" t="inlineStr">
        <is>
          <t>Dotations aux amortissements des immobilisations corporelles</t>
        </is>
      </c>
      <c r="C266" s="373" t="n"/>
      <c r="D266" s="1333" t="n"/>
      <c r="E266" s="1333" t="n"/>
      <c r="F266" s="456" t="n"/>
      <c r="G266" s="457" t="n"/>
      <c r="H266" s="457" t="n"/>
      <c r="I266" s="458" t="n"/>
      <c r="J266" s="459" t="n"/>
    </row>
    <row r="267" ht="14.1" customHeight="1" s="1225">
      <c r="A267" s="454" t="n">
        <v>6911</v>
      </c>
      <c r="B267" s="455" t="inlineStr">
        <is>
          <t>Dotations aux provisions pour risques et charges</t>
        </is>
      </c>
      <c r="C267" s="373" t="n"/>
      <c r="D267" s="1333" t="n"/>
      <c r="E267" s="1333" t="n"/>
      <c r="F267" s="456" t="n"/>
      <c r="G267" s="457" t="n"/>
      <c r="H267" s="457" t="n"/>
      <c r="I267" s="458" t="n"/>
      <c r="J267" s="459" t="n"/>
    </row>
    <row r="268" ht="14.1" customHeight="1" s="1225">
      <c r="A268" s="454" t="n">
        <v>6913</v>
      </c>
      <c r="B268" s="455" t="inlineStr">
        <is>
          <t>Dotations aux dépréciations des immobilisations incorporelles</t>
        </is>
      </c>
      <c r="C268" s="373" t="n"/>
      <c r="D268" s="1333" t="n"/>
      <c r="E268" s="1333" t="n"/>
      <c r="F268" s="456" t="n"/>
      <c r="G268" s="457" t="n"/>
      <c r="H268" s="457" t="n"/>
      <c r="I268" s="458" t="n"/>
      <c r="J268" s="459" t="n"/>
    </row>
    <row r="269" ht="14.1" customHeight="1" s="1225" thickBot="1">
      <c r="A269" s="454" t="n">
        <v>6914</v>
      </c>
      <c r="B269" s="455" t="inlineStr">
        <is>
          <t>Dotations aux dépréciations des immobilisations corporelles</t>
        </is>
      </c>
      <c r="C269" s="373" t="n"/>
      <c r="D269" s="1333" t="n"/>
      <c r="E269" s="1333" t="n"/>
      <c r="F269" s="456" t="n"/>
      <c r="G269" s="451" t="n"/>
      <c r="H269" s="451" t="n"/>
      <c r="I269" s="452" t="n"/>
      <c r="J269" s="459" t="n"/>
    </row>
    <row r="270" ht="14.1" customHeight="1" s="1225" thickBot="1" thickTop="1">
      <c r="A270" s="460" t="inlineStr">
        <is>
          <t>RL</t>
        </is>
      </c>
      <c r="B270" s="493" t="inlineStr">
        <is>
          <t>Dotations aux amortissements, aux provisions et dépréciations</t>
        </is>
      </c>
      <c r="C270" s="1356" t="n"/>
      <c r="D270" s="1333" t="n"/>
      <c r="E270" s="1333" t="n"/>
      <c r="F270" s="456" t="n"/>
      <c r="G270" s="462" t="n"/>
      <c r="H270" s="462" t="n"/>
      <c r="I270" s="462" t="n"/>
      <c r="J270" s="500" t="n"/>
    </row>
    <row r="271" ht="14.1" customHeight="1" s="1225" thickTop="1">
      <c r="A271" s="454" t="n">
        <v>6971</v>
      </c>
      <c r="B271" s="455" t="inlineStr">
        <is>
          <t>Dotations aux provisions pour risques et charges financières</t>
        </is>
      </c>
      <c r="C271" s="373" t="n"/>
      <c r="D271" s="1333" t="n"/>
      <c r="E271" s="1333" t="n"/>
      <c r="F271" s="456" t="n"/>
      <c r="G271" s="476" t="n"/>
      <c r="H271" s="476" t="n"/>
      <c r="I271" s="477" t="n"/>
      <c r="J271" s="459" t="n"/>
    </row>
    <row r="272" ht="14.1" customHeight="1" s="1225" thickBot="1">
      <c r="A272" s="454" t="n">
        <v>6972</v>
      </c>
      <c r="B272" s="455" t="inlineStr">
        <is>
          <t>Dotations aux dépréciations des immobilisations financières</t>
        </is>
      </c>
      <c r="C272" s="373" t="n"/>
      <c r="D272" s="1333" t="n"/>
      <c r="E272" s="1333" t="n"/>
      <c r="F272" s="456" t="n"/>
      <c r="G272" s="451" t="n"/>
      <c r="H272" s="451" t="n"/>
      <c r="I272" s="452" t="n"/>
      <c r="J272" s="459" t="n"/>
    </row>
    <row r="273" ht="14.1" customHeight="1" s="1225" thickBot="1" thickTop="1">
      <c r="A273" s="460" t="inlineStr">
        <is>
          <t>RN</t>
        </is>
      </c>
      <c r="B273" s="493" t="inlineStr">
        <is>
          <t>Dotations aux provisions et aux dépréciations financières</t>
        </is>
      </c>
      <c r="C273" s="1356" t="n"/>
      <c r="D273" s="1333" t="n"/>
      <c r="E273" s="1333" t="n"/>
      <c r="F273" s="456" t="n"/>
      <c r="G273" s="462" t="n"/>
      <c r="H273" s="462" t="n"/>
      <c r="I273" s="462" t="n"/>
      <c r="J273" s="500" t="n"/>
    </row>
    <row r="274" ht="15" customHeight="1" s="1225" thickTop="1">
      <c r="A274" s="495" t="n"/>
      <c r="B274" s="495" t="n"/>
      <c r="C274" s="1872" t="n"/>
      <c r="D274" s="1872" t="n"/>
      <c r="E274" s="1872" t="n"/>
      <c r="F274" s="1872" t="n"/>
      <c r="G274" s="495" t="n"/>
      <c r="H274" s="495" t="n"/>
      <c r="I274" s="495" t="n"/>
      <c r="J274" s="497" t="n"/>
    </row>
    <row r="275">
      <c r="A275" s="1868" t="inlineStr">
        <is>
          <t>TOTAL DES CHARGES ORDINAIRES</t>
        </is>
      </c>
      <c r="B275" s="1869" t="n"/>
      <c r="C275" s="1869" t="n"/>
      <c r="D275" s="1869" t="n"/>
      <c r="E275" s="1869" t="n"/>
      <c r="F275" s="1870" t="n"/>
      <c r="G275" s="498" t="n"/>
      <c r="H275" s="498" t="n"/>
      <c r="I275" s="498" t="n"/>
      <c r="J275" s="499" t="n"/>
    </row>
    <row r="276">
      <c r="H276" s="1992" t="n"/>
    </row>
    <row r="277">
      <c r="G277" s="1992" t="n"/>
      <c r="H277" s="1992" t="n"/>
    </row>
  </sheetData>
  <mergeCells count="49">
    <mergeCell ref="I158:J158"/>
    <mergeCell ref="H231:H232"/>
    <mergeCell ref="H9:H10"/>
    <mergeCell ref="H83:H84"/>
    <mergeCell ref="C151:J151"/>
    <mergeCell ref="A9:F10"/>
    <mergeCell ref="D223:G223"/>
    <mergeCell ref="A81:J81"/>
    <mergeCell ref="A1:B1"/>
    <mergeCell ref="A83:F84"/>
    <mergeCell ref="A156:J156"/>
    <mergeCell ref="C4:D4"/>
    <mergeCell ref="C154:F154"/>
    <mergeCell ref="A229:J229"/>
    <mergeCell ref="G83:G84"/>
    <mergeCell ref="H75:J75"/>
    <mergeCell ref="C226:D226"/>
    <mergeCell ref="A75:B75"/>
    <mergeCell ref="D1:G1"/>
    <mergeCell ref="C5:F5"/>
    <mergeCell ref="B3:H3"/>
    <mergeCell ref="A223:B223"/>
    <mergeCell ref="C79:F79"/>
    <mergeCell ref="H158:H159"/>
    <mergeCell ref="H150:J150"/>
    <mergeCell ref="C2:J2"/>
    <mergeCell ref="B77:H77"/>
    <mergeCell ref="B152:H152"/>
    <mergeCell ref="A158:F159"/>
    <mergeCell ref="A7:J7"/>
    <mergeCell ref="G231:G232"/>
    <mergeCell ref="C76:J76"/>
    <mergeCell ref="C227:F227"/>
    <mergeCell ref="I83:J83"/>
    <mergeCell ref="A150:B150"/>
    <mergeCell ref="A275:F275"/>
    <mergeCell ref="H1:J1"/>
    <mergeCell ref="C153:D153"/>
    <mergeCell ref="I231:J231"/>
    <mergeCell ref="G9:G10"/>
    <mergeCell ref="D150:G150"/>
    <mergeCell ref="C224:J224"/>
    <mergeCell ref="B225:H225"/>
    <mergeCell ref="D75:G75"/>
    <mergeCell ref="I9:J9"/>
    <mergeCell ref="G158:G159"/>
    <mergeCell ref="C78:D78"/>
    <mergeCell ref="H223:J223"/>
    <mergeCell ref="A231:F232"/>
  </mergeCells>
  <dataValidations count="1">
    <dataValidation sqref="G11:H73 G85:H148 G160:H221 G233:H274" showDropDown="0" showInputMessage="1" showErrorMessage="1" allowBlank="1" errorTitle="Attention!" error="Valeur numérique attendue" type="whole">
      <formula1>-9999999999999</formula1>
      <formula2>9999999999999</formula2>
    </dataValidation>
  </dataValidations>
  <printOptions horizontalCentered="1"/>
  <pageMargins left="0.1968503937007874" right="0.1968503937007874" top="0.2755905511811024" bottom="0.2755905511811024" header="0.3149606299212598" footer="0.3149606299212598"/>
  <pageSetup orientation="portrait" paperSize="9" scale="78"/>
  <rowBreaks count="3" manualBreakCount="3">
    <brk id="73" min="0" max="16383" man="1"/>
    <brk id="148" min="0" max="16383" man="1"/>
    <brk id="221" min="0" max="16383" man="1"/>
  </rowBreaks>
</worksheet>
</file>

<file path=xl/worksheets/sheet71.xml><?xml version="1.0" encoding="utf-8"?>
<worksheet xmlns="http://schemas.openxmlformats.org/spreadsheetml/2006/main">
  <sheetPr>
    <tabColor theme="4" tint="0.5999938962981048"/>
    <outlinePr summaryBelow="1" summaryRight="1"/>
    <pageSetUpPr fitToPage="1"/>
  </sheetPr>
  <dimension ref="A1:J24"/>
  <sheetViews>
    <sheetView showGridLines="0" topLeftCell="A38" zoomScale="150" zoomScaleNormal="150" workbookViewId="0">
      <selection activeCell="B14" sqref="B14"/>
    </sheetView>
  </sheetViews>
  <sheetFormatPr baseColWidth="10" defaultRowHeight="15"/>
  <cols>
    <col width="8.85546875" customWidth="1" style="1225" min="1" max="1"/>
    <col width="16.42578125" customWidth="1" style="1225" min="2" max="2"/>
    <col width="10.140625" customWidth="1" style="1225" min="3" max="6"/>
    <col width="13.28515625" customWidth="1" style="1225" min="7" max="9"/>
    <col width="10.140625" customWidth="1" style="1225" min="10" max="10"/>
  </cols>
  <sheetData>
    <row r="1">
      <c r="A1" s="1889" t="inlineStr">
        <is>
          <t>SYSTEME NORMAL</t>
        </is>
      </c>
      <c r="B1" s="1873" t="n"/>
      <c r="C1" s="440" t="n"/>
      <c r="D1" s="1879" t="inlineStr">
        <is>
          <t>- 29 -</t>
        </is>
      </c>
      <c r="G1" s="1880" t="n"/>
      <c r="H1" s="1892" t="inlineStr">
        <is>
          <t xml:space="preserve">ETAT SUPPLEMENTAIRE N°2 </t>
        </is>
      </c>
      <c r="I1" s="1872" t="n"/>
      <c r="J1" s="1873" t="n"/>
    </row>
    <row r="2">
      <c r="A2" s="1333" t="inlineStr">
        <is>
          <t>Dénomination sociale de l'entité :</t>
        </is>
      </c>
      <c r="B2" s="369" t="n"/>
      <c r="C2" s="1874">
        <f>'Liste ETATS SUPPL DGI'!C3</f>
        <v/>
      </c>
      <c r="D2" s="1875" t="n"/>
      <c r="E2" s="1875" t="n"/>
      <c r="F2" s="1875" t="n"/>
      <c r="G2" s="1875" t="n"/>
      <c r="H2" s="1875" t="n"/>
      <c r="I2" s="1875" t="n"/>
      <c r="J2" s="1875" t="n"/>
    </row>
    <row r="3">
      <c r="A3" s="1333" t="inlineStr">
        <is>
          <t>Adresse :</t>
        </is>
      </c>
      <c r="B3" s="1874">
        <f>'Liste ETATS SUPPL DGI'!B4</f>
        <v/>
      </c>
      <c r="C3" s="1875" t="n"/>
      <c r="D3" s="1875" t="n"/>
      <c r="E3" s="1875" t="n"/>
      <c r="F3" s="1875" t="n"/>
      <c r="G3" s="1875" t="n"/>
      <c r="H3" s="1875" t="n"/>
      <c r="I3" s="114" t="inlineStr">
        <is>
          <t>Sigle usuel :</t>
        </is>
      </c>
      <c r="J3" s="1874">
        <f>'SUPPL1-CHARGES'!J3</f>
        <v/>
      </c>
    </row>
    <row r="4">
      <c r="A4" s="1451" t="inlineStr">
        <is>
          <t>N° IFU :</t>
        </is>
      </c>
      <c r="B4" s="1451" t="n"/>
      <c r="C4" s="1874">
        <f>'Liste ETATS SUPPL DGI'!C5</f>
        <v/>
      </c>
      <c r="D4" s="1875" t="n"/>
      <c r="E4" s="442" t="n"/>
      <c r="F4" s="442" t="n"/>
      <c r="G4" s="114" t="inlineStr">
        <is>
          <t>Exercice clos le :</t>
        </is>
      </c>
      <c r="H4" s="1089">
        <f>'Liste ETATS SUPPL DGI'!F5</f>
        <v/>
      </c>
      <c r="I4" s="114" t="inlineStr">
        <is>
          <t>Durée (en mois) :</t>
        </is>
      </c>
      <c r="J4" s="441">
        <f>'SUPPL1-CHARGES'!J4</f>
        <v/>
      </c>
    </row>
    <row r="5">
      <c r="A5" s="259" t="inlineStr">
        <is>
          <t xml:space="preserve">N° de télédéclarant (NES): </t>
        </is>
      </c>
      <c r="B5" s="1451" t="n"/>
      <c r="C5" s="1874">
        <f>'Liste ETATS SUPPL DGI'!C6</f>
        <v/>
      </c>
      <c r="D5" s="1875" t="n"/>
      <c r="E5" s="1875" t="n"/>
      <c r="F5" s="1875" t="n"/>
      <c r="G5" s="443" t="n"/>
      <c r="H5" s="441" t="n"/>
      <c r="I5" s="442" t="n"/>
      <c r="J5" s="442" t="n"/>
    </row>
    <row r="6" ht="5.25" customHeight="1" s="1225">
      <c r="A6" s="1451" t="n"/>
      <c r="B6" s="1451" t="n"/>
      <c r="C6" s="2030" t="n"/>
      <c r="D6" s="2030" t="n"/>
      <c r="E6" s="1589" t="n"/>
      <c r="F6" s="236" t="n"/>
      <c r="G6" s="1589" t="n"/>
      <c r="H6" s="2030" t="n"/>
      <c r="I6" s="48" t="n"/>
      <c r="J6" s="48" t="n"/>
    </row>
    <row r="7" ht="15" customHeight="1" s="1225">
      <c r="A7" s="1887" t="inlineStr">
        <is>
          <t>ETAT SUPPLEMENTAIRE DIRECTION GENERALE DES IMPOTS/COMPTABILITE NATIONALE</t>
        </is>
      </c>
      <c r="B7" s="1872" t="n"/>
      <c r="C7" s="1872" t="n"/>
      <c r="D7" s="1872" t="n"/>
      <c r="E7" s="1872" t="n"/>
      <c r="F7" s="1872" t="n"/>
      <c r="G7" s="1872" t="n"/>
      <c r="H7" s="1872" t="n"/>
      <c r="I7" s="1872" t="n"/>
      <c r="J7" s="1873" t="n"/>
    </row>
    <row r="8" ht="5.25" customHeight="1" s="1225" thickBot="1">
      <c r="A8" s="48" t="n"/>
      <c r="B8" s="48" t="n"/>
      <c r="C8" s="48" t="n"/>
      <c r="D8" s="48" t="n"/>
      <c r="E8" s="48" t="n"/>
      <c r="F8" s="48" t="n"/>
      <c r="G8" s="48" t="n"/>
      <c r="H8" s="48" t="n"/>
      <c r="I8" s="48" t="n"/>
      <c r="J8" s="48" t="n"/>
    </row>
    <row r="9">
      <c r="A9" s="1898" t="inlineStr">
        <is>
          <t>DETAIL DES PRODUITS EN FCFA</t>
        </is>
      </c>
      <c r="B9" s="1300" t="n"/>
      <c r="C9" s="1300" t="n"/>
      <c r="D9" s="1300" t="n"/>
      <c r="E9" s="1300" t="n"/>
      <c r="F9" s="1300" t="n"/>
      <c r="G9" s="1893" t="inlineStr">
        <is>
          <t>Exercice N</t>
        </is>
      </c>
      <c r="H9" s="1894" t="inlineStr">
        <is>
          <t>Exercice N-1</t>
        </is>
      </c>
      <c r="I9" s="1900" t="inlineStr">
        <is>
          <t>Variation N/N-1</t>
        </is>
      </c>
      <c r="J9" s="1901" t="n"/>
    </row>
    <row r="10">
      <c r="A10" s="1899" t="n"/>
      <c r="G10" s="1878" t="n"/>
      <c r="H10" s="1885" t="n"/>
      <c r="I10" s="1881" t="inlineStr">
        <is>
          <t>En valeur</t>
        </is>
      </c>
      <c r="J10" s="965" t="inlineStr">
        <is>
          <t>En %</t>
        </is>
      </c>
    </row>
    <row r="11" ht="14.1" customHeight="1" s="1225">
      <c r="A11" s="966" t="n">
        <v>70</v>
      </c>
      <c r="B11" s="455" t="inlineStr">
        <is>
          <t>VENTES</t>
        </is>
      </c>
      <c r="C11" s="1333" t="n"/>
      <c r="D11" s="1333" t="n"/>
      <c r="E11" s="1333" t="n"/>
      <c r="F11" s="456" t="n"/>
      <c r="G11" s="458" t="n"/>
      <c r="H11" s="457" t="n"/>
      <c r="I11" s="458" t="n"/>
      <c r="J11" s="967" t="n"/>
    </row>
    <row r="12" ht="14.1" customHeight="1" s="1225">
      <c r="A12" s="966" t="n">
        <v>71</v>
      </c>
      <c r="B12" s="455" t="inlineStr">
        <is>
          <t>SUBVENTIONS D'EXPLOITATION</t>
        </is>
      </c>
      <c r="C12" s="1333" t="n"/>
      <c r="D12" s="1333" t="n"/>
      <c r="E12" s="1333" t="n"/>
      <c r="F12" s="456" t="n"/>
      <c r="G12" s="457" t="n"/>
      <c r="H12" s="457" t="n"/>
      <c r="I12" s="458" t="n"/>
      <c r="J12" s="967" t="n"/>
    </row>
    <row r="13" ht="14.1" customHeight="1" s="1225">
      <c r="A13" s="966" t="n">
        <v>72</v>
      </c>
      <c r="B13" s="455" t="inlineStr">
        <is>
          <t>PRODUCTION IMMOBILISEE</t>
        </is>
      </c>
      <c r="C13" s="1333" t="n"/>
      <c r="D13" s="1333" t="n"/>
      <c r="E13" s="1333" t="n"/>
      <c r="F13" s="456" t="n"/>
      <c r="G13" s="457" t="n"/>
      <c r="H13" s="457" t="n"/>
      <c r="I13" s="458" t="n"/>
      <c r="J13" s="967" t="n"/>
    </row>
    <row r="14" ht="14.1" customHeight="1" s="1225">
      <c r="A14" s="966" t="n">
        <v>73</v>
      </c>
      <c r="B14" s="455" t="inlineStr">
        <is>
          <t>VARIATIONS DE STOCKS DE BIENS ET DE SERVICES PRODUITS</t>
        </is>
      </c>
      <c r="C14" s="1333" t="n"/>
      <c r="D14" s="1333" t="n"/>
      <c r="E14" s="1333" t="n"/>
      <c r="F14" s="456" t="n"/>
      <c r="G14" s="458" t="n"/>
      <c r="H14" s="457" t="n"/>
      <c r="I14" s="458" t="n"/>
      <c r="J14" s="967" t="n"/>
    </row>
    <row r="15" ht="14.1" customHeight="1" s="1225">
      <c r="A15" s="966" t="n">
        <v>75</v>
      </c>
      <c r="B15" s="455" t="inlineStr">
        <is>
          <t>AUTRES PRODUITS</t>
        </is>
      </c>
      <c r="C15" s="1333" t="n"/>
      <c r="D15" s="1333" t="n"/>
      <c r="E15" s="1333" t="n"/>
      <c r="F15" s="456" t="n"/>
      <c r="G15" s="458" t="n"/>
      <c r="H15" s="457" t="n"/>
      <c r="I15" s="458" t="n"/>
      <c r="J15" s="967" t="n"/>
    </row>
    <row r="16" ht="14.1" customHeight="1" s="1225">
      <c r="A16" s="966" t="n">
        <v>77</v>
      </c>
      <c r="B16" s="455" t="inlineStr">
        <is>
          <t>REVENUS FINANCIERS ET ASSIMILES</t>
        </is>
      </c>
      <c r="C16" s="372" t="n"/>
      <c r="D16" s="1333" t="n"/>
      <c r="E16" s="1333" t="n"/>
      <c r="F16" s="456" t="n"/>
      <c r="G16" s="457" t="n"/>
      <c r="H16" s="457" t="n"/>
      <c r="I16" s="458" t="n"/>
      <c r="J16" s="967" t="n"/>
    </row>
    <row r="17" ht="14.1" customHeight="1" s="1225">
      <c r="A17" s="966" t="n">
        <v>78</v>
      </c>
      <c r="B17" s="455" t="inlineStr">
        <is>
          <t>TRANSFERTS DE CHARGES</t>
        </is>
      </c>
      <c r="C17" s="1333" t="n"/>
      <c r="D17" s="1333" t="n"/>
      <c r="E17" s="1333" t="n"/>
      <c r="F17" s="456" t="n"/>
      <c r="G17" s="457" t="n"/>
      <c r="H17" s="457" t="n"/>
      <c r="I17" s="458" t="n"/>
      <c r="J17" s="967" t="n"/>
    </row>
    <row r="18" ht="14.1" customHeight="1" s="1225">
      <c r="A18" s="966" t="n">
        <v>79</v>
      </c>
      <c r="B18" s="455" t="inlineStr">
        <is>
          <t>REPRISES DE PROVISIONS DE DEPRECIATIONS ET AUTRES</t>
        </is>
      </c>
      <c r="C18" s="1333" t="n"/>
      <c r="D18" s="1333" t="n"/>
      <c r="E18" s="1333" t="n"/>
      <c r="F18" s="456" t="n"/>
      <c r="G18" s="457" t="n"/>
      <c r="H18" s="457" t="n"/>
      <c r="I18" s="458" t="n"/>
      <c r="J18" s="967" t="n"/>
    </row>
    <row r="19" ht="14.1" customHeight="1" s="1225">
      <c r="A19" s="966" t="n"/>
      <c r="B19" s="455" t="n"/>
      <c r="C19" s="1333" t="n"/>
      <c r="D19" s="1333" t="n"/>
      <c r="E19" s="1333" t="n"/>
      <c r="F19" s="456" t="n"/>
      <c r="G19" s="457" t="n"/>
      <c r="H19" s="457" t="n"/>
      <c r="I19" s="458" t="n"/>
      <c r="J19" s="967" t="n"/>
    </row>
    <row r="20" ht="14.1" customHeight="1" s="1225">
      <c r="A20" s="966" t="n"/>
      <c r="B20" s="455" t="n"/>
      <c r="C20" s="1333" t="n"/>
      <c r="D20" s="1333" t="n"/>
      <c r="E20" s="1333" t="n"/>
      <c r="F20" s="456" t="n"/>
      <c r="G20" s="457" t="n"/>
      <c r="H20" s="457" t="n"/>
      <c r="I20" s="458" t="n"/>
      <c r="J20" s="967" t="n"/>
    </row>
    <row r="21" ht="14.1" customHeight="1" s="1225" thickBot="1">
      <c r="A21" s="966" t="n"/>
      <c r="B21" s="455" t="n"/>
      <c r="C21" s="1333" t="n"/>
      <c r="D21" s="1333" t="n"/>
      <c r="E21" s="1333" t="n"/>
      <c r="F21" s="456" t="n"/>
      <c r="G21" s="457" t="n"/>
      <c r="H21" s="457" t="n"/>
      <c r="I21" s="458" t="n"/>
      <c r="J21" s="967" t="n"/>
    </row>
    <row r="22" ht="15" customHeight="1" s="1225" thickTop="1">
      <c r="A22" s="968" t="n"/>
      <c r="B22" s="495" t="n"/>
      <c r="C22" s="1872" t="n"/>
      <c r="D22" s="1872" t="n"/>
      <c r="E22" s="1872" t="n"/>
      <c r="F22" s="1872" t="n"/>
      <c r="G22" s="495" t="n"/>
      <c r="H22" s="495" t="n"/>
      <c r="I22" s="495" t="n"/>
      <c r="J22" s="969" t="n"/>
    </row>
    <row r="23" ht="15" customHeight="1" s="1225" thickBot="1">
      <c r="A23" s="1895" t="inlineStr">
        <is>
          <t>TOTAL DES PRODUITS</t>
        </is>
      </c>
      <c r="B23" s="1896" t="n"/>
      <c r="C23" s="1896" t="n"/>
      <c r="D23" s="1896" t="n"/>
      <c r="E23" s="1896" t="n"/>
      <c r="F23" s="1897" t="n"/>
      <c r="G23" s="970">
        <f>SUM(G11:G22)</f>
        <v/>
      </c>
      <c r="H23" s="970">
        <f>SUM(H11:H22)</f>
        <v/>
      </c>
      <c r="I23" s="970">
        <f>SUM(I11:I22)</f>
        <v/>
      </c>
      <c r="J23" s="1099">
        <f>SUM(J11:J22)</f>
        <v/>
      </c>
    </row>
    <row r="24">
      <c r="A24" s="697" t="inlineStr">
        <is>
          <t xml:space="preserve">NB: tous les sous-comptes utilisés devront être indiqués en détail </t>
        </is>
      </c>
    </row>
  </sheetData>
  <mergeCells count="13">
    <mergeCell ref="H1:J1"/>
    <mergeCell ref="G9:G10"/>
    <mergeCell ref="C5:F5"/>
    <mergeCell ref="H9:H10"/>
    <mergeCell ref="A23:F23"/>
    <mergeCell ref="C2:J2"/>
    <mergeCell ref="A9:F10"/>
    <mergeCell ref="A7:J7"/>
    <mergeCell ref="D1:G1"/>
    <mergeCell ref="A1:B1"/>
    <mergeCell ref="B3:H3"/>
    <mergeCell ref="I9:J9"/>
    <mergeCell ref="C4:D4"/>
  </mergeCells>
  <dataValidations count="1">
    <dataValidation sqref="G11:H22" showDropDown="0" showInputMessage="1" showErrorMessage="1" allowBlank="1" errorTitle="Attention!" error="Valeur numérique attendue" type="whole">
      <formula1>-9999999999999</formula1>
      <formula2>9999999999999</formula2>
    </dataValidation>
  </dataValidations>
  <printOptions horizontalCentered="1"/>
  <pageMargins left="0.1968503937007874" right="0.1968503937007874" top="0.2755905511811024" bottom="0.2755905511811024" header="0.3149606299212598" footer="0.3149606299212598"/>
  <pageSetup orientation="portrait" paperSize="9" scale="78"/>
</worksheet>
</file>

<file path=xl/worksheets/sheet72.xml><?xml version="1.0" encoding="utf-8"?>
<worksheet xmlns="http://schemas.openxmlformats.org/spreadsheetml/2006/main">
  <sheetPr codeName="Feuil70">
    <tabColor theme="4" tint="0.5999938962981048"/>
    <outlinePr summaryBelow="1" summaryRight="1"/>
    <pageSetUpPr fitToPage="1"/>
  </sheetPr>
  <dimension ref="A1:H28"/>
  <sheetViews>
    <sheetView showGridLines="0" workbookViewId="0">
      <selection activeCell="B14" sqref="B14"/>
    </sheetView>
  </sheetViews>
  <sheetFormatPr baseColWidth="10" defaultRowHeight="15"/>
  <cols>
    <col width="9.28515625" customWidth="1" style="1225" min="1" max="1"/>
    <col width="19.28515625" customWidth="1" style="1225" min="2" max="2"/>
    <col width="6.140625" customWidth="1" style="1225" min="4" max="4"/>
    <col width="15.42578125" customWidth="1" style="1225" min="5" max="5"/>
    <col width="13.7109375" customWidth="1" style="1225" min="6" max="6"/>
    <col width="16.42578125" customWidth="1" style="1225" min="7" max="8"/>
  </cols>
  <sheetData>
    <row r="1" ht="18.75" customHeight="1" s="1225">
      <c r="A1" s="1438" t="inlineStr">
        <is>
          <t>SYSTEME NORMAL</t>
        </is>
      </c>
      <c r="B1" s="1411" t="n"/>
      <c r="C1" s="1429" t="n"/>
      <c r="D1" s="1429" t="n"/>
      <c r="E1" s="1429" t="inlineStr">
        <is>
          <t>- 0 -</t>
        </is>
      </c>
      <c r="F1" s="1342" t="n"/>
      <c r="G1" s="1903" t="inlineStr">
        <is>
          <t>ETAT SUPPLEMENTAIRE N°3</t>
        </is>
      </c>
      <c r="H1" s="1411" t="n"/>
    </row>
    <row r="2" ht="21.95" customHeight="1" s="1225">
      <c r="A2" s="1451" t="inlineStr">
        <is>
          <t>Dénomination sociale de l'entité :</t>
        </is>
      </c>
      <c r="B2" s="135" t="n"/>
      <c r="C2" s="1276">
        <f>'Liste ETATS SUPPL DGI'!C3</f>
        <v/>
      </c>
      <c r="D2" s="1277" t="n"/>
      <c r="E2" s="1277" t="n"/>
      <c r="F2" s="1277" t="n"/>
      <c r="G2" s="1277" t="n"/>
      <c r="H2" s="1277" t="n"/>
    </row>
    <row r="3">
      <c r="A3" s="1451" t="inlineStr">
        <is>
          <t>Adresse :</t>
        </is>
      </c>
      <c r="B3" s="1276">
        <f>'Liste ETATS SUPPL DGI'!B4</f>
        <v/>
      </c>
      <c r="C3" s="1277" t="n"/>
      <c r="D3" s="1277" t="n"/>
      <c r="E3" s="1277" t="n"/>
      <c r="F3" s="1277" t="n"/>
      <c r="G3" s="1589" t="inlineStr">
        <is>
          <t>Sigle usuel :</t>
        </is>
      </c>
      <c r="H3" s="1276">
        <f>'SUPPL2-PRODUITS'!J3</f>
        <v/>
      </c>
    </row>
    <row r="4">
      <c r="A4" s="1451" t="inlineStr">
        <is>
          <t>N° IFU :</t>
        </is>
      </c>
      <c r="B4" s="1451" t="n"/>
      <c r="C4" s="1280">
        <f>'Liste ETATS SUPPL DGI'!C5</f>
        <v/>
      </c>
      <c r="D4" s="1279" t="n"/>
      <c r="E4" s="1589" t="inlineStr">
        <is>
          <t>Exercice clos le :</t>
        </is>
      </c>
      <c r="F4" s="1285">
        <f>'Liste ETATS SUPPL DGI'!F5</f>
        <v/>
      </c>
      <c r="G4" s="1589" t="inlineStr">
        <is>
          <t>Durée (en mois) :</t>
        </is>
      </c>
      <c r="H4" s="1285">
        <f>'SUPPL2-PRODUITS'!J4</f>
        <v/>
      </c>
    </row>
    <row r="5">
      <c r="A5" s="259" t="inlineStr">
        <is>
          <t xml:space="preserve">N° de télédéclarant (NES): </t>
        </is>
      </c>
      <c r="B5" s="1451" t="n"/>
      <c r="C5" s="1520">
        <f>'Liste ETATS SUPPL DGI'!C6</f>
        <v/>
      </c>
      <c r="D5" s="1521" t="n"/>
      <c r="E5" s="254" t="n"/>
      <c r="F5" s="1970" t="n"/>
      <c r="G5" s="254" t="n"/>
      <c r="H5" s="1970" t="n"/>
    </row>
    <row r="6" ht="6" customHeight="1" s="1225">
      <c r="A6" s="1451" t="n"/>
      <c r="B6" s="1458" t="n"/>
      <c r="C6" s="2030" t="n"/>
      <c r="D6" s="2030" t="n"/>
      <c r="E6" s="1589" t="n"/>
      <c r="F6" s="236" t="n"/>
      <c r="G6" s="1589" t="n"/>
      <c r="H6" s="2030" t="n"/>
    </row>
    <row r="7">
      <c r="A7" s="1902" t="inlineStr">
        <is>
          <t>ETAT SUPPLEMENTAIRE DIRECTION GENERALE DES IMPOTS/COMPTABILITE NATIONALE</t>
        </is>
      </c>
      <c r="B7" s="1253" t="n"/>
      <c r="C7" s="1253" t="n"/>
      <c r="D7" s="1253" t="n"/>
      <c r="E7" s="1253" t="n"/>
      <c r="F7" s="1253" t="n"/>
      <c r="G7" s="1253" t="n"/>
      <c r="H7" s="1274" t="n"/>
    </row>
    <row r="8" ht="6" customHeight="1" s="1225" thickBot="1">
      <c r="A8" s="1342" t="n"/>
      <c r="B8" s="1342" t="n"/>
      <c r="C8" s="1342" t="n"/>
      <c r="D8" s="1342" t="n"/>
      <c r="E8" s="1342" t="n"/>
      <c r="F8" s="1342" t="n"/>
      <c r="G8" s="1342" t="n"/>
      <c r="H8" s="1342" t="n"/>
    </row>
    <row r="9" ht="28.5" customHeight="1" s="1225">
      <c r="A9" s="1904" t="inlineStr">
        <is>
          <t>ETAT TVA 
(Inscrire les mouvements de la période et non les soldes des comptes)</t>
        </is>
      </c>
      <c r="B9" s="1817" t="n"/>
      <c r="C9" s="1817" t="n"/>
      <c r="D9" s="1817" t="n"/>
      <c r="E9" s="1817" t="n"/>
      <c r="F9" s="1905" t="n"/>
      <c r="G9" s="971" t="inlineStr">
        <is>
          <t>Exercice N</t>
        </is>
      </c>
      <c r="H9" s="972" t="inlineStr">
        <is>
          <t>Exercice N-1</t>
        </is>
      </c>
    </row>
    <row r="10" customFormat="1" s="1590">
      <c r="A10" s="973" t="n"/>
      <c r="B10" s="384" t="inlineStr">
        <is>
          <t>T.V.A. facturée sur ventes de la période</t>
        </is>
      </c>
      <c r="C10" s="385" t="n"/>
      <c r="D10" s="385" t="n"/>
      <c r="E10" s="385" t="n"/>
      <c r="F10" s="376" t="n"/>
      <c r="G10" s="377" t="n"/>
      <c r="H10" s="974" t="n"/>
    </row>
    <row r="11" customFormat="1" s="1590">
      <c r="A11" s="975" t="n"/>
      <c r="B11" s="386" t="inlineStr">
        <is>
          <t>T.V.A. facturée sur prestations de services de la période</t>
        </is>
      </c>
      <c r="C11" s="387" t="n"/>
      <c r="D11" s="387" t="n"/>
      <c r="E11" s="387" t="n"/>
      <c r="F11" s="378" t="n"/>
      <c r="G11" s="379" t="n"/>
      <c r="H11" s="976" t="n"/>
    </row>
    <row r="12" customFormat="1" s="1590">
      <c r="A12" s="975" t="n"/>
      <c r="B12" s="386" t="inlineStr">
        <is>
          <t>T.V.A. facturée sur travaux de la période</t>
        </is>
      </c>
      <c r="C12" s="387" t="n"/>
      <c r="D12" s="387" t="n"/>
      <c r="E12" s="387" t="n"/>
      <c r="F12" s="378" t="n"/>
      <c r="G12" s="379" t="n"/>
      <c r="H12" s="976" t="n"/>
    </row>
    <row r="13" customFormat="1" s="1590">
      <c r="A13" s="975" t="n"/>
      <c r="B13" s="386" t="inlineStr">
        <is>
          <t>T.V.A. facturée sur production livrée à soi-même de la période</t>
        </is>
      </c>
      <c r="C13" s="387" t="n"/>
      <c r="D13" s="387" t="n"/>
      <c r="E13" s="387" t="n"/>
      <c r="F13" s="378" t="n"/>
      <c r="G13" s="379" t="n"/>
      <c r="H13" s="976" t="n"/>
    </row>
    <row r="14" ht="15" customFormat="1" customHeight="1" s="1590" thickBot="1">
      <c r="A14" s="975" t="n"/>
      <c r="B14" s="386" t="inlineStr">
        <is>
          <t>T.V.A. sur factures à établir de la période</t>
        </is>
      </c>
      <c r="C14" s="387" t="n"/>
      <c r="D14" s="387" t="n"/>
      <c r="E14" s="387" t="n"/>
      <c r="F14" s="378" t="n"/>
      <c r="G14" s="380" t="n"/>
      <c r="H14" s="977" t="n"/>
    </row>
    <row r="15" ht="15.6" customFormat="1" customHeight="1" s="1590" thickBot="1" thickTop="1">
      <c r="A15" s="978" t="n"/>
      <c r="B15" s="388" t="n"/>
      <c r="C15" s="389" t="inlineStr">
        <is>
          <t>T.V.A. facturée de la période</t>
        </is>
      </c>
      <c r="D15" s="387" t="n"/>
      <c r="E15" s="387" t="n"/>
      <c r="F15" s="378" t="n"/>
      <c r="G15" s="381" t="n"/>
      <c r="H15" s="979">
        <f>SUM(H10:H14)</f>
        <v/>
      </c>
    </row>
    <row r="16" ht="15.6" customFormat="1" customHeight="1" s="1590" thickBot="1" thickTop="1">
      <c r="A16" s="978" t="n"/>
      <c r="B16" s="388" t="n"/>
      <c r="C16" s="389" t="inlineStr">
        <is>
          <t>T.V.A. exigible de la période</t>
        </is>
      </c>
      <c r="D16" s="387" t="n"/>
      <c r="E16" s="387" t="n"/>
      <c r="F16" s="378" t="n"/>
      <c r="G16" s="382" t="n"/>
      <c r="H16" s="980" t="n"/>
    </row>
    <row r="17" ht="15" customFormat="1" customHeight="1" s="1590" thickTop="1">
      <c r="A17" s="975" t="n"/>
      <c r="B17" s="386" t="inlineStr">
        <is>
          <t>T.V.A. récupérable sur immobilisations de la période</t>
        </is>
      </c>
      <c r="C17" s="387" t="n"/>
      <c r="D17" s="387" t="n"/>
      <c r="E17" s="387" t="n"/>
      <c r="F17" s="378" t="n"/>
      <c r="G17" s="383" t="n"/>
      <c r="H17" s="981" t="n"/>
    </row>
    <row r="18" customFormat="1" s="1590">
      <c r="A18" s="975" t="n"/>
      <c r="B18" s="386" t="inlineStr">
        <is>
          <t>T.V.A. récupérable sur achats de la période</t>
        </is>
      </c>
      <c r="C18" s="387" t="n"/>
      <c r="D18" s="387" t="n"/>
      <c r="E18" s="387" t="n"/>
      <c r="F18" s="378" t="n"/>
      <c r="G18" s="379" t="n"/>
      <c r="H18" s="976" t="n"/>
    </row>
    <row r="19" customFormat="1" s="1590">
      <c r="A19" s="975" t="n"/>
      <c r="B19" s="386" t="inlineStr">
        <is>
          <t>T.V.A. récupérable sur transport de la période</t>
        </is>
      </c>
      <c r="C19" s="387" t="n"/>
      <c r="D19" s="387" t="n"/>
      <c r="E19" s="387" t="n"/>
      <c r="F19" s="378" t="n"/>
      <c r="G19" s="379" t="n"/>
      <c r="H19" s="976" t="n"/>
    </row>
    <row r="20" customFormat="1" s="1590">
      <c r="A20" s="975" t="n"/>
      <c r="B20" s="386" t="inlineStr">
        <is>
          <t>T.V.A. récupérable sur services extérieurs et autres charges de la période</t>
        </is>
      </c>
      <c r="C20" s="387" t="n"/>
      <c r="D20" s="387" t="n"/>
      <c r="E20" s="387" t="n"/>
      <c r="F20" s="378" t="n"/>
      <c r="G20" s="379" t="n"/>
      <c r="H20" s="976" t="n"/>
    </row>
    <row r="21" customFormat="1" s="1590">
      <c r="A21" s="975" t="n"/>
      <c r="B21" s="386" t="inlineStr">
        <is>
          <t>T.V.A. récupérable sur factures non parvenues de la période</t>
        </is>
      </c>
      <c r="C21" s="387" t="n"/>
      <c r="D21" s="387" t="n"/>
      <c r="E21" s="387" t="n"/>
      <c r="F21" s="378" t="n"/>
      <c r="G21" s="379" t="n"/>
      <c r="H21" s="976" t="n"/>
    </row>
    <row r="22" ht="15" customFormat="1" customHeight="1" s="1590" thickBot="1">
      <c r="A22" s="975" t="n"/>
      <c r="B22" s="386" t="inlineStr">
        <is>
          <t>T.V.A. transférée par d'autres entités de la période</t>
        </is>
      </c>
      <c r="C22" s="387" t="n"/>
      <c r="D22" s="387" t="n"/>
      <c r="E22" s="387" t="n"/>
      <c r="F22" s="378" t="n"/>
      <c r="G22" s="379" t="n"/>
      <c r="H22" s="976" t="n"/>
    </row>
    <row r="23" ht="15.6" customFormat="1" customHeight="1" s="1590" thickBot="1" thickTop="1">
      <c r="A23" s="982" t="n"/>
      <c r="B23" s="388" t="n"/>
      <c r="C23" s="389" t="inlineStr">
        <is>
          <t>T.V.A. Récupérable de la période</t>
        </is>
      </c>
      <c r="D23" s="387" t="n"/>
      <c r="E23" s="387" t="n"/>
      <c r="F23" s="378" t="n"/>
      <c r="G23" s="381">
        <f>SUM(G17:G22)</f>
        <v/>
      </c>
      <c r="H23" s="979">
        <f>SUM(H17:H22)</f>
        <v/>
      </c>
    </row>
    <row r="24" ht="15.6" customFormat="1" customHeight="1" s="1590" thickBot="1" thickTop="1">
      <c r="A24" s="978" t="n"/>
      <c r="B24" s="388" t="n"/>
      <c r="C24" s="389" t="inlineStr">
        <is>
          <t>T.V.A. Récupérée de la période</t>
        </is>
      </c>
      <c r="D24" s="387" t="n"/>
      <c r="E24" s="387" t="n"/>
      <c r="F24" s="378" t="n"/>
      <c r="G24" s="382" t="n"/>
      <c r="H24" s="980" t="n"/>
    </row>
    <row r="25" ht="15.6" customFormat="1" customHeight="1" s="1590" thickBot="1" thickTop="1">
      <c r="A25" s="978" t="n"/>
      <c r="B25" s="388" t="n"/>
      <c r="C25" s="389" t="inlineStr">
        <is>
          <t>Prorata de déduction</t>
        </is>
      </c>
      <c r="D25" s="387" t="n"/>
      <c r="E25" s="387" t="n"/>
      <c r="F25" s="378" t="n"/>
      <c r="G25" s="382" t="n"/>
      <c r="H25" s="980" t="n"/>
    </row>
    <row r="26" ht="15" customFormat="1" customHeight="1" s="1590" thickTop="1">
      <c r="A26" s="975" t="n"/>
      <c r="B26" s="386" t="inlineStr">
        <is>
          <t>État, T.V.A. due</t>
        </is>
      </c>
      <c r="C26" s="387" t="n"/>
      <c r="D26" s="387" t="n"/>
      <c r="E26" s="387" t="n"/>
      <c r="F26" s="378" t="n"/>
      <c r="G26" s="379" t="n"/>
      <c r="H26" s="976" t="n"/>
    </row>
    <row r="27" ht="15" customFormat="1" customHeight="1" s="1590" thickBot="1">
      <c r="A27" s="975" t="n"/>
      <c r="B27" s="386" t="inlineStr">
        <is>
          <t>État, crédit de T.V.A. à reporter</t>
        </is>
      </c>
      <c r="C27" s="387" t="n"/>
      <c r="D27" s="387" t="n"/>
      <c r="E27" s="387" t="n"/>
      <c r="F27" s="378" t="n"/>
      <c r="G27" s="380" t="n"/>
      <c r="H27" s="977" t="n"/>
    </row>
    <row r="28" ht="15.6" customFormat="1" customHeight="1" s="1590" thickBot="1" thickTop="1">
      <c r="A28" s="983" t="n"/>
      <c r="B28" s="984" t="n"/>
      <c r="C28" s="985" t="inlineStr">
        <is>
          <t xml:space="preserve">T.V.A. Due ou crédit de T.V.A.        </t>
        </is>
      </c>
      <c r="D28" s="986" t="n"/>
      <c r="E28" s="986" t="n"/>
      <c r="F28" s="987" t="n"/>
      <c r="G28" s="988">
        <f>SUM(G26:G27)</f>
        <v/>
      </c>
      <c r="H28" s="989">
        <f>SUM(H26:H27)</f>
        <v/>
      </c>
    </row>
  </sheetData>
  <mergeCells count="8">
    <mergeCell ref="C2:H2"/>
    <mergeCell ref="A7:H7"/>
    <mergeCell ref="G1:H1"/>
    <mergeCell ref="C5:D5"/>
    <mergeCell ref="A9:F9"/>
    <mergeCell ref="B3:F3"/>
    <mergeCell ref="A1:B1"/>
    <mergeCell ref="C4:D4"/>
  </mergeCells>
  <dataValidations count="1">
    <dataValidation sqref="G10:H28" showDropDown="0" showInputMessage="1" showErrorMessage="1" allowBlank="1" errorTitle="Attention!" error="Valeur numérique attendue" type="whole">
      <formula1>-9999999999999</formula1>
      <formula2>9999999999999</formula2>
    </dataValidation>
  </dataValidations>
  <printOptions horizontalCentered="1"/>
  <pageMargins left="0.3937007874015748" right="0.3937007874015748" top="0.3543307086614174" bottom="0.3543307086614174" header="0.3149606299212598" footer="0.3149606299212598"/>
  <pageSetup orientation="portrait" paperSize="9" scale="87"/>
</worksheet>
</file>

<file path=xl/worksheets/sheet73.xml><?xml version="1.0" encoding="utf-8"?>
<worksheet xmlns="http://schemas.openxmlformats.org/spreadsheetml/2006/main">
  <sheetPr codeName="Feuil71">
    <tabColor theme="4" tint="0.5999938962981048"/>
    <outlinePr summaryBelow="1" summaryRight="1"/>
    <pageSetUpPr fitToPage="1"/>
  </sheetPr>
  <dimension ref="A1:H12"/>
  <sheetViews>
    <sheetView showGridLines="0" workbookViewId="0">
      <selection activeCell="B14" sqref="B14"/>
    </sheetView>
  </sheetViews>
  <sheetFormatPr baseColWidth="10" defaultRowHeight="15"/>
  <cols>
    <col width="12.7109375" customWidth="1" style="1225" min="1" max="1"/>
    <col width="19" customWidth="1" style="1225" min="2" max="2"/>
    <col width="10.28515625" customWidth="1" style="1225" min="4" max="6"/>
    <col width="16.5703125" customWidth="1" style="1225" min="7" max="8"/>
  </cols>
  <sheetData>
    <row r="1" ht="18.75" customFormat="1" customHeight="1" s="48">
      <c r="A1" s="1438" t="inlineStr">
        <is>
          <t>SYSTEME NORMAL</t>
        </is>
      </c>
      <c r="B1" s="1411" t="n"/>
      <c r="C1" s="1429" t="n"/>
      <c r="D1" s="1429" t="n"/>
      <c r="E1" s="1429" t="inlineStr">
        <is>
          <t>- 0 -</t>
        </is>
      </c>
      <c r="G1" s="1903" t="inlineStr">
        <is>
          <t xml:space="preserve">ETAT SUPPLEMENTAIRE N°4 </t>
        </is>
      </c>
      <c r="H1" s="1411" t="n"/>
    </row>
    <row r="2" ht="15" customFormat="1" customHeight="1" s="48">
      <c r="A2" s="1451" t="inlineStr">
        <is>
          <t>Dénomination sociale de l'entité :</t>
        </is>
      </c>
      <c r="B2" s="135" t="n"/>
      <c r="C2" s="1276">
        <f>'Liste ETATS SUPPL DGI'!C3</f>
        <v/>
      </c>
      <c r="D2" s="1277" t="n"/>
      <c r="E2" s="1277" t="n"/>
      <c r="F2" s="1277" t="n"/>
      <c r="G2" s="1277" t="n"/>
      <c r="H2" s="1277" t="n"/>
    </row>
    <row r="3" ht="15" customFormat="1" customHeight="1" s="48">
      <c r="A3" s="1451" t="inlineStr">
        <is>
          <t>Adresse :</t>
        </is>
      </c>
      <c r="B3" s="1276">
        <f>'Liste ETATS SUPPL DGI'!B4</f>
        <v/>
      </c>
      <c r="C3" s="1277" t="n"/>
      <c r="D3" s="1277" t="n"/>
      <c r="E3" s="1277" t="n"/>
      <c r="F3" s="1277" t="n"/>
      <c r="G3" s="1589" t="inlineStr">
        <is>
          <t>Sigle usuel :</t>
        </is>
      </c>
      <c r="H3" s="1276">
        <f>'SUPPL3-TVA (1)'!H3</f>
        <v/>
      </c>
    </row>
    <row r="4" ht="15" customFormat="1" customHeight="1" s="48">
      <c r="A4" s="1451" t="inlineStr">
        <is>
          <t>N° IFU :</t>
        </is>
      </c>
      <c r="B4" s="1451" t="n"/>
      <c r="C4" s="1280">
        <f>'Liste ETATS SUPPL DGI'!C5</f>
        <v/>
      </c>
      <c r="D4" s="1279" t="n"/>
      <c r="E4" s="1589" t="inlineStr">
        <is>
          <t>Exercice clos le :</t>
        </is>
      </c>
      <c r="F4" s="1563">
        <f>'Liste ETATS SUPPL DGI'!F5</f>
        <v/>
      </c>
      <c r="G4" s="1589" t="inlineStr">
        <is>
          <t>Durée (en mois) :</t>
        </is>
      </c>
      <c r="H4" s="1285">
        <f>'SUPPL3-TVA (1)'!H4</f>
        <v/>
      </c>
    </row>
    <row r="5" ht="15" customFormat="1" customHeight="1" s="48">
      <c r="A5" s="259" t="inlineStr">
        <is>
          <t xml:space="preserve">N° de télédéclarant (NES): </t>
        </is>
      </c>
      <c r="B5" s="1451" t="n"/>
      <c r="C5" s="1520">
        <f>'Liste ETATS SUPPL DGI'!C6</f>
        <v/>
      </c>
      <c r="D5" s="1521" t="n"/>
      <c r="E5" s="302" t="n"/>
      <c r="F5" s="302" t="n"/>
      <c r="G5" s="302" t="n"/>
      <c r="H5" s="302" t="n"/>
    </row>
    <row r="6" ht="6" customFormat="1" customHeight="1" s="48">
      <c r="A6" s="1451" t="n"/>
      <c r="B6" s="1451" t="n"/>
      <c r="C6" s="2030" t="n"/>
      <c r="D6" s="2030" t="n"/>
      <c r="E6" s="1589" t="n"/>
      <c r="F6" s="236" t="n"/>
      <c r="G6" s="1589" t="n"/>
      <c r="H6" s="2030" t="n"/>
    </row>
    <row r="7">
      <c r="A7" s="1902" t="inlineStr">
        <is>
          <t>ETAT SUPPLEMENTAIRE COMPTABILITE NATIONALE</t>
        </is>
      </c>
      <c r="B7" s="1253" t="n"/>
      <c r="C7" s="1253" t="n"/>
      <c r="D7" s="1253" t="n"/>
      <c r="E7" s="1253" t="n"/>
      <c r="F7" s="1253" t="n"/>
      <c r="G7" s="1253" t="n"/>
      <c r="H7" s="1274" t="n"/>
    </row>
    <row r="8" ht="6" customHeight="1" s="1225" thickBot="1">
      <c r="A8" s="255" t="n"/>
      <c r="B8" s="256" t="n"/>
      <c r="C8" s="256" t="n"/>
      <c r="D8" s="256" t="n"/>
      <c r="E8" s="256" t="n"/>
      <c r="F8" s="256" t="n"/>
      <c r="G8" s="256" t="n"/>
      <c r="H8" s="257" t="n"/>
    </row>
    <row r="9" ht="36.75" customHeight="1" s="1225">
      <c r="A9" s="1906" t="inlineStr">
        <is>
          <t>ETAT TVA SUPPORTEE NON DEDUCTIBLE
(Inscrire les mouvements de la période et non les soldes des comptes)</t>
        </is>
      </c>
      <c r="B9" s="1300" t="n"/>
      <c r="C9" s="1300" t="n"/>
      <c r="D9" s="1300" t="n"/>
      <c r="E9" s="1300" t="n"/>
      <c r="F9" s="1907" t="n"/>
      <c r="G9" s="990" t="inlineStr">
        <is>
          <t>Exercice N</t>
        </is>
      </c>
      <c r="H9" s="991" t="inlineStr">
        <is>
          <t>Exercice N-1</t>
        </is>
      </c>
    </row>
    <row r="10" ht="17.1" customFormat="1" customHeight="1" s="1590">
      <c r="A10" s="992" t="n"/>
      <c r="B10" s="384" t="inlineStr">
        <is>
          <t>T.V.A. supportée non déductible sur les immobilisations</t>
        </is>
      </c>
      <c r="C10" s="390" t="n"/>
      <c r="D10" s="390" t="n"/>
      <c r="E10" s="390" t="n"/>
      <c r="F10" s="391" t="n"/>
      <c r="G10" s="394" t="n"/>
      <c r="H10" s="993" t="n"/>
    </row>
    <row r="11" ht="17.1" customFormat="1" customHeight="1" s="1590">
      <c r="A11" s="994" t="n"/>
      <c r="B11" s="386" t="inlineStr">
        <is>
          <t>T.V.A. supportée non déductible sur les achats de biens et de services</t>
        </is>
      </c>
      <c r="C11" s="392" t="n"/>
      <c r="D11" s="392" t="n"/>
      <c r="E11" s="392" t="n"/>
      <c r="F11" s="393" t="n"/>
      <c r="G11" s="395" t="n"/>
      <c r="H11" s="995" t="n"/>
    </row>
    <row r="12" ht="17.1" customFormat="1" customHeight="1" s="1590" thickBot="1">
      <c r="A12" s="996" t="n"/>
      <c r="B12" s="997" t="n"/>
      <c r="C12" s="998" t="inlineStr">
        <is>
          <t>Total T.V.A. supportée non déductible de la période</t>
        </is>
      </c>
      <c r="D12" s="998" t="n"/>
      <c r="E12" s="998" t="n"/>
      <c r="F12" s="999" t="n"/>
      <c r="G12" s="1000">
        <f>SUM(G10:G11)</f>
        <v/>
      </c>
      <c r="H12" s="1001">
        <f>SUM(H10:H11)</f>
        <v/>
      </c>
    </row>
  </sheetData>
  <mergeCells count="8">
    <mergeCell ref="C2:H2"/>
    <mergeCell ref="A7:H7"/>
    <mergeCell ref="G1:H1"/>
    <mergeCell ref="A9:F9"/>
    <mergeCell ref="B3:F3"/>
    <mergeCell ref="C5:D5"/>
    <mergeCell ref="A1:B1"/>
    <mergeCell ref="C4:D4"/>
  </mergeCells>
  <dataValidations count="1">
    <dataValidation sqref="G10:H11" showDropDown="0" showInputMessage="1" showErrorMessage="1" allowBlank="1" errorTitle="Attention!" error="Valeur numérique attendue" type="whole">
      <formula1>-9999999999999</formula1>
      <formula2>9999999999999</formula2>
    </dataValidation>
  </dataValidations>
  <printOptions horizontalCentered="1"/>
  <pageMargins left="0.3937007874015748" right="0.3937007874015748" top="0.3543307086614174" bottom="0.3543307086614174" header="0.3149606299212598" footer="0.3149606299212598"/>
  <pageSetup orientation="portrait" paperSize="9" scale="80"/>
</worksheet>
</file>

<file path=xl/worksheets/sheet74.xml><?xml version="1.0" encoding="utf-8"?>
<worksheet xmlns="http://schemas.openxmlformats.org/spreadsheetml/2006/main">
  <sheetPr codeName="Feuil72">
    <tabColor theme="4" tint="0.5999938962981048"/>
    <outlinePr summaryBelow="1" summaryRight="1"/>
    <pageSetUpPr fitToPage="1"/>
  </sheetPr>
  <dimension ref="A1:N42"/>
  <sheetViews>
    <sheetView showGridLines="0" topLeftCell="A28" workbookViewId="0">
      <selection activeCell="B14" sqref="B14"/>
    </sheetView>
  </sheetViews>
  <sheetFormatPr baseColWidth="10" defaultRowHeight="15"/>
  <cols>
    <col width="34.5703125" customWidth="1" style="1225" min="1" max="1"/>
    <col width="6.5703125" customWidth="1" style="1225" min="2" max="2"/>
    <col width="6.42578125" customWidth="1" style="1225" min="3" max="3"/>
    <col width="11" customWidth="1" style="1225" min="4" max="4"/>
    <col width="4.140625" customWidth="1" style="1225" min="5" max="5"/>
    <col width="11" customWidth="1" style="1225" min="6" max="6"/>
    <col width="4.140625" customWidth="1" style="1225" min="7" max="7"/>
    <col width="0.5703125" customWidth="1" style="1225" min="8" max="8"/>
    <col width="36.28515625" customWidth="1" style="1225" min="9" max="9"/>
    <col width="8.5703125" customWidth="1" style="1225" min="10" max="10"/>
    <col width="9.85546875" customWidth="1" style="1225" min="11" max="11"/>
    <col width="15.7109375" customWidth="1" style="1225" min="12" max="12"/>
    <col width="9.85546875" customWidth="1" style="1225" min="13" max="13"/>
    <col width="15.7109375" customWidth="1" style="1225" min="14" max="14"/>
  </cols>
  <sheetData>
    <row r="1">
      <c r="A1" s="1429" t="inlineStr">
        <is>
          <t>- 0 -</t>
        </is>
      </c>
    </row>
    <row r="2" ht="18" customHeight="1" s="1225">
      <c r="A2" s="304" t="n"/>
      <c r="B2" s="29" t="n"/>
      <c r="C2" s="1429" t="n"/>
      <c r="D2" s="1429" t="n"/>
      <c r="E2" s="1429" t="n"/>
      <c r="F2" s="1429" t="n"/>
      <c r="G2" s="1429" t="n"/>
      <c r="H2" s="1429" t="n"/>
      <c r="L2" s="1903" t="inlineStr">
        <is>
          <t>ETAT SUPPLEMENTAIRE N°5</t>
        </is>
      </c>
      <c r="M2" s="1420" t="n"/>
      <c r="N2" s="1411" t="n"/>
    </row>
    <row r="3" ht="21.95" customFormat="1" customHeight="1" s="1382">
      <c r="A3" s="1451" t="inlineStr">
        <is>
          <t>Dénomination sociale de l'entité :</t>
        </is>
      </c>
      <c r="B3" s="1276">
        <f>'Liste ETATS SUPPL DGI'!C3</f>
        <v/>
      </c>
      <c r="C3" s="1277" t="n"/>
      <c r="D3" s="1277" t="n"/>
      <c r="E3" s="1277" t="n"/>
      <c r="F3" s="1277" t="n"/>
      <c r="G3" s="1277" t="n"/>
      <c r="H3" s="1277" t="n"/>
      <c r="I3" s="1277" t="n"/>
      <c r="J3" s="1277" t="n"/>
      <c r="K3" s="1277" t="n"/>
      <c r="L3" s="1277" t="n"/>
      <c r="M3" s="1277" t="n"/>
      <c r="N3" s="1277" t="n"/>
    </row>
    <row r="4" ht="15" customFormat="1" customHeight="1" s="1382">
      <c r="A4" s="1451" t="inlineStr">
        <is>
          <t>Adresse :</t>
        </is>
      </c>
      <c r="B4" s="1276">
        <f>'Liste ETATS SUPPL DGI'!B4</f>
        <v/>
      </c>
      <c r="C4" s="1277" t="n"/>
      <c r="D4" s="1277" t="n"/>
      <c r="E4" s="1277" t="n"/>
      <c r="F4" s="1277" t="n"/>
      <c r="G4" s="1277" t="n"/>
      <c r="H4" s="1277" t="n"/>
      <c r="I4" s="1277" t="n"/>
      <c r="J4" s="1277" t="n"/>
      <c r="K4" s="1277" t="n"/>
      <c r="L4" s="1589" t="inlineStr">
        <is>
          <t>Sigle usuel :</t>
        </is>
      </c>
      <c r="M4" s="1285">
        <f>'SUPPL4-TVA (2)'!H3</f>
        <v/>
      </c>
      <c r="N4" s="1277" t="n"/>
    </row>
    <row r="5" ht="15" customFormat="1" customHeight="1" s="1382">
      <c r="A5" s="1451" t="inlineStr">
        <is>
          <t>N° IFU :</t>
        </is>
      </c>
      <c r="B5" s="1280">
        <f>'Liste ETATS SUPPL DGI'!C5</f>
        <v/>
      </c>
      <c r="C5" s="1279" t="n"/>
      <c r="D5" s="1279" t="n"/>
      <c r="E5" s="1279" t="n"/>
      <c r="F5" s="1279" t="n"/>
      <c r="G5" s="1279" t="n"/>
      <c r="H5" s="364" t="n"/>
      <c r="I5" s="1282" t="inlineStr">
        <is>
          <t>Exercice clos le :</t>
        </is>
      </c>
      <c r="J5" s="1601">
        <f>'Liste ETATS SUPPL DGI'!F5</f>
        <v/>
      </c>
      <c r="K5" s="1279" t="n"/>
      <c r="M5" s="1589" t="inlineStr">
        <is>
          <t>Durée (en mois) :</t>
        </is>
      </c>
      <c r="N5" s="1285">
        <f>'SUPPL4-TVA (2)'!H4</f>
        <v/>
      </c>
    </row>
    <row r="6" ht="15" customFormat="1" customHeight="1" s="1382">
      <c r="A6" s="259" t="inlineStr">
        <is>
          <t xml:space="preserve">N° de télédéclarant (NES): </t>
        </is>
      </c>
      <c r="B6" s="1520">
        <f>'Liste ETATS SUPPL DGI'!C6</f>
        <v/>
      </c>
      <c r="C6" s="1521" t="n"/>
      <c r="D6" s="1521" t="n"/>
      <c r="E6" s="1521" t="n"/>
      <c r="F6" s="1521" t="n"/>
      <c r="G6" s="1521" t="n"/>
      <c r="H6" s="261" t="n"/>
      <c r="I6" s="253" t="n"/>
      <c r="J6" s="1970" t="n"/>
      <c r="K6" s="1970" t="n"/>
      <c r="L6" s="258" t="n"/>
      <c r="M6" s="254" t="n"/>
      <c r="N6" s="1970" t="n"/>
    </row>
    <row r="7" ht="30" customHeight="1" s="1225" thickBot="1">
      <c r="A7" s="1341" t="inlineStr">
        <is>
          <t>ETAT SUPPLEMENTAIRE : ELEMENTS STATISTIQUES UEMOA</t>
        </is>
      </c>
    </row>
    <row r="8" ht="13.5" customFormat="1" customHeight="1" s="1356">
      <c r="A8" s="1915" t="inlineStr">
        <is>
          <t>COMPLEMENT NOTE ANNEXE (Valeur en francs CFA)</t>
        </is>
      </c>
      <c r="B8" s="1300" t="n"/>
      <c r="C8" s="1300" t="n"/>
      <c r="D8" s="1300" t="n"/>
      <c r="E8" s="1300" t="n"/>
      <c r="F8" s="1300" t="n"/>
      <c r="G8" s="1301" t="n"/>
      <c r="H8" s="55" t="n"/>
      <c r="I8" s="1915" t="inlineStr">
        <is>
          <t>COMPLEMENT NOTE 32 (Valeurs en francs CFA)</t>
        </is>
      </c>
      <c r="J8" s="1300" t="n"/>
      <c r="K8" s="1300" t="n"/>
      <c r="L8" s="1300" t="n"/>
      <c r="M8" s="1300" t="n"/>
      <c r="N8" s="1301" t="n"/>
    </row>
    <row r="9" ht="15" customFormat="1" customHeight="1" s="1356">
      <c r="A9" s="1677" t="inlineStr">
        <is>
          <t>COMPLEMENT ETAT ANNEXE</t>
        </is>
      </c>
      <c r="B9" s="1582" t="n"/>
      <c r="C9" s="1583" t="n"/>
      <c r="D9" s="1419" t="inlineStr">
        <is>
          <t>Montant
autres Etats
de l'UEMOA</t>
        </is>
      </c>
      <c r="E9" s="1583" t="n"/>
      <c r="F9" s="1419" t="inlineStr">
        <is>
          <t>Montant autres
Etats de la
Région hors de
l'UEMOA</t>
        </is>
      </c>
      <c r="G9" s="1583" t="n"/>
      <c r="H9" s="55" t="n"/>
      <c r="I9" s="1677" t="inlineStr">
        <is>
          <t>DESIGNATION DU PRODUIT</t>
        </is>
      </c>
      <c r="J9" s="1419" t="inlineStr">
        <is>
          <t>UNITE DE QUANTITE CHOISIE</t>
        </is>
      </c>
      <c r="K9" s="1419" t="inlineStr">
        <is>
          <t>PRODUCTION VENDUE
DANS LES AUTRES ETATS
DE L'UEMOA</t>
        </is>
      </c>
      <c r="L9" s="1583" t="n"/>
      <c r="M9" s="1419" t="inlineStr">
        <is>
          <t>PRODUCTION VENDUE
AUTRES ETATS DE LA
REGION HORS
DE L'UEMOA</t>
        </is>
      </c>
      <c r="N9" s="1583" t="n"/>
    </row>
    <row r="10" ht="10.15" customFormat="1" customHeight="1" s="1356">
      <c r="A10" s="1756" t="n"/>
      <c r="C10" s="1550" t="n"/>
      <c r="D10" s="1641" t="n"/>
      <c r="E10" s="1550" t="n"/>
      <c r="F10" s="1641" t="n"/>
      <c r="G10" s="1550" t="n"/>
      <c r="H10" s="55" t="n"/>
      <c r="I10" s="1863" t="n"/>
      <c r="J10" s="1758" t="n"/>
      <c r="K10" s="1641" t="n"/>
      <c r="L10" s="1550" t="n"/>
      <c r="M10" s="1641" t="n"/>
      <c r="N10" s="1550" t="n"/>
    </row>
    <row r="11" ht="15.75" customFormat="1" customHeight="1" s="1356">
      <c r="A11" s="1756" t="n"/>
      <c r="C11" s="1550" t="n"/>
      <c r="D11" s="1641" t="n"/>
      <c r="E11" s="1550" t="n"/>
      <c r="F11" s="1641" t="n"/>
      <c r="G11" s="1550" t="n"/>
      <c r="H11" s="55" t="n"/>
      <c r="I11" s="1863" t="n"/>
      <c r="J11" s="1758" t="n"/>
      <c r="K11" s="1594" t="n"/>
      <c r="L11" s="1517" t="n"/>
      <c r="M11" s="1594" t="n"/>
      <c r="N11" s="1517" t="n"/>
    </row>
    <row r="12" ht="13.5" customHeight="1" s="1225">
      <c r="A12" s="1720" t="n"/>
      <c r="B12" s="1516" t="n"/>
      <c r="C12" s="1517" t="n"/>
      <c r="D12" s="1594" t="n"/>
      <c r="E12" s="1517" t="n"/>
      <c r="F12" s="1594" t="n"/>
      <c r="G12" s="1517" t="n"/>
      <c r="H12" s="55" t="n"/>
      <c r="I12" s="1927" t="n"/>
      <c r="J12" s="1524" t="n"/>
      <c r="K12" s="1419" t="inlineStr">
        <is>
          <t>Quantité</t>
        </is>
      </c>
      <c r="L12" s="1419" t="inlineStr">
        <is>
          <t>Valeur</t>
        </is>
      </c>
      <c r="M12" s="1419" t="inlineStr">
        <is>
          <t>Quantité</t>
        </is>
      </c>
      <c r="N12" s="1745" t="inlineStr">
        <is>
          <t>Valeur</t>
        </is>
      </c>
    </row>
    <row r="13" ht="12.95" customHeight="1" s="1225">
      <c r="A13" s="1002" t="n"/>
      <c r="B13" s="55" t="n"/>
      <c r="C13" s="55" t="n"/>
      <c r="D13" s="1938" t="n"/>
      <c r="E13" s="1583" t="n"/>
      <c r="F13" s="1938" t="n"/>
      <c r="G13" s="1583" t="n"/>
      <c r="H13" s="55" t="n"/>
      <c r="I13" s="1933" t="n"/>
      <c r="J13" s="166" t="n"/>
      <c r="K13" s="1909" t="n"/>
      <c r="L13" s="1909" t="n"/>
      <c r="M13" s="1909" t="n"/>
      <c r="N13" s="1910" t="n"/>
    </row>
    <row r="14" ht="12.95" customHeight="1" s="1225">
      <c r="A14" s="1930" t="inlineStr">
        <is>
          <t>I - B12 - 1 DETAIL DE PRODUITS :</t>
        </is>
      </c>
      <c r="D14" s="1911" t="n"/>
      <c r="E14" s="1550" t="n"/>
      <c r="F14" s="1911" t="n"/>
      <c r="G14" s="1550" t="n"/>
      <c r="H14" s="55" t="n"/>
      <c r="I14" s="1933" t="n"/>
      <c r="J14" s="166" t="n"/>
      <c r="K14" s="1909" t="n"/>
      <c r="L14" s="1909" t="n"/>
      <c r="M14" s="1909" t="n"/>
      <c r="N14" s="1910" t="n"/>
    </row>
    <row r="15" ht="12.95" customHeight="1" s="1225">
      <c r="A15" s="1002" t="n"/>
      <c r="B15" s="55" t="n"/>
      <c r="C15" s="55" t="n"/>
      <c r="D15" s="1911" t="n"/>
      <c r="E15" s="1550" t="n"/>
      <c r="F15" s="1911" t="n"/>
      <c r="G15" s="1550" t="n"/>
      <c r="H15" s="55" t="n"/>
      <c r="I15" s="1933" t="n"/>
      <c r="J15" s="166" t="n"/>
      <c r="K15" s="1909" t="n"/>
      <c r="L15" s="1909" t="n"/>
      <c r="M15" s="1909" t="n"/>
      <c r="N15" s="1910" t="n"/>
    </row>
    <row r="16" ht="12.95" customHeight="1" s="1225">
      <c r="A16" s="1003" t="n"/>
      <c r="B16" s="1356" t="n"/>
      <c r="C16" s="1356" t="n"/>
      <c r="D16" s="1911" t="n"/>
      <c r="E16" s="1550" t="n"/>
      <c r="F16" s="1911" t="n"/>
      <c r="G16" s="1550" t="n"/>
      <c r="H16" s="55" t="n"/>
      <c r="I16" s="1933" t="n"/>
      <c r="J16" s="166" t="n"/>
      <c r="K16" s="1909" t="n"/>
      <c r="L16" s="1909" t="n"/>
      <c r="M16" s="1909" t="n"/>
      <c r="N16" s="1910" t="n"/>
    </row>
    <row r="17" ht="12.95" customHeight="1" s="1225">
      <c r="A17" s="1914" t="inlineStr">
        <is>
          <t xml:space="preserve">Redevances pour brevets, concessions, </t>
        </is>
      </c>
      <c r="D17" s="1911" t="n"/>
      <c r="E17" s="1550" t="n"/>
      <c r="F17" s="1911" t="n"/>
      <c r="G17" s="1550" t="n"/>
      <c r="H17" s="55" t="n"/>
      <c r="I17" s="1933" t="n"/>
      <c r="J17" s="166" t="n"/>
      <c r="K17" s="1909" t="n"/>
      <c r="L17" s="1909" t="n"/>
      <c r="M17" s="1909" t="n"/>
      <c r="N17" s="1910" t="n"/>
    </row>
    <row r="18" ht="12.95" customHeight="1" s="1225">
      <c r="A18" s="1914" t="inlineStr">
        <is>
          <t>licences, marques et droits similaires :</t>
        </is>
      </c>
      <c r="B18" s="122" t="n"/>
      <c r="C18" s="122" t="n"/>
      <c r="D18" s="1918" t="n"/>
      <c r="E18" s="1841" t="n"/>
      <c r="F18" s="1918" t="n"/>
      <c r="G18" s="1841" t="n"/>
      <c r="H18" s="55" t="n"/>
      <c r="I18" s="1933" t="n"/>
      <c r="J18" s="166" t="n"/>
      <c r="K18" s="1909" t="n"/>
      <c r="L18" s="1909" t="n"/>
      <c r="M18" s="1909" t="n"/>
      <c r="N18" s="1910" t="n"/>
    </row>
    <row r="19" ht="12.95" customHeight="1" s="1225">
      <c r="A19" s="1916" t="inlineStr">
        <is>
          <t>Redevances pour location de terrains agricoles :</t>
        </is>
      </c>
      <c r="D19" s="1909" t="n"/>
      <c r="E19" s="1396" t="n"/>
      <c r="F19" s="1909" t="n"/>
      <c r="G19" s="1396" t="n"/>
      <c r="H19" s="55" t="n"/>
      <c r="I19" s="1933" t="n"/>
      <c r="J19" s="166" t="n"/>
      <c r="K19" s="1909" t="n"/>
      <c r="L19" s="1909" t="n"/>
      <c r="M19" s="1909" t="n"/>
      <c r="N19" s="1910" t="n"/>
    </row>
    <row r="20" ht="12.95" customHeight="1" s="1225">
      <c r="A20" s="1002" t="n"/>
      <c r="B20" s="55" t="n"/>
      <c r="C20" s="55" t="n"/>
      <c r="D20" s="1911" t="n"/>
      <c r="E20" s="1550" t="n"/>
      <c r="F20" s="1911" t="n"/>
      <c r="G20" s="1550" t="n"/>
      <c r="H20" s="55" t="n"/>
      <c r="I20" s="1933" t="n"/>
      <c r="J20" s="166" t="n"/>
      <c r="K20" s="1909" t="n"/>
      <c r="L20" s="1909" t="n"/>
      <c r="M20" s="1909" t="n"/>
      <c r="N20" s="1910" t="n"/>
    </row>
    <row r="21" ht="12.95" customHeight="1" s="1225">
      <c r="A21" s="1930" t="inlineStr">
        <is>
          <t>I - C1 - BIENS ACQUIS D'OCCASION :</t>
        </is>
      </c>
      <c r="D21" s="1911" t="n"/>
      <c r="E21" s="1550" t="n"/>
      <c r="F21" s="1911" t="n"/>
      <c r="G21" s="1550" t="n"/>
      <c r="H21" s="55" t="n"/>
      <c r="I21" s="1933" t="n"/>
      <c r="J21" s="166" t="n"/>
      <c r="K21" s="1909" t="n"/>
      <c r="L21" s="1909" t="n"/>
      <c r="M21" s="1909" t="n"/>
      <c r="N21" s="1910" t="n"/>
    </row>
    <row r="22" ht="12.95" customHeight="1" s="1225">
      <c r="A22" s="1920" t="n"/>
      <c r="B22" s="1229" t="n"/>
      <c r="C22" s="1229" t="n"/>
      <c r="D22" s="1918" t="n"/>
      <c r="E22" s="1841" t="n"/>
      <c r="F22" s="1918" t="n"/>
      <c r="G22" s="1841" t="n"/>
      <c r="H22" s="55" t="n"/>
      <c r="I22" s="1933" t="n"/>
      <c r="J22" s="166" t="n"/>
      <c r="K22" s="1909" t="n"/>
      <c r="L22" s="1909" t="n"/>
      <c r="M22" s="1909" t="n"/>
      <c r="N22" s="1910" t="n"/>
    </row>
    <row r="23" ht="12.95" customHeight="1" s="1225">
      <c r="A23" s="1912" t="n"/>
      <c r="B23" s="1395" t="n"/>
      <c r="C23" s="1395" t="n"/>
      <c r="D23" s="1909" t="n"/>
      <c r="E23" s="1396" t="n"/>
      <c r="F23" s="1909" t="n"/>
      <c r="G23" s="1396" t="n"/>
      <c r="H23" s="55" t="n"/>
      <c r="I23" s="1933" t="n"/>
      <c r="J23" s="166" t="n"/>
      <c r="K23" s="1909" t="n"/>
      <c r="L23" s="1909" t="n"/>
      <c r="M23" s="1909" t="n"/>
      <c r="N23" s="1910" t="n"/>
    </row>
    <row r="24" ht="12.95" customHeight="1" s="1225">
      <c r="A24" s="1912" t="n"/>
      <c r="B24" s="1395" t="n"/>
      <c r="C24" s="1395" t="n"/>
      <c r="D24" s="1909" t="n"/>
      <c r="E24" s="1396" t="n"/>
      <c r="F24" s="1909" t="n"/>
      <c r="G24" s="1396" t="n"/>
      <c r="H24" s="55" t="n"/>
      <c r="I24" s="1933" t="n"/>
      <c r="J24" s="166" t="n"/>
      <c r="K24" s="1909" t="n"/>
      <c r="L24" s="1909" t="n"/>
      <c r="M24" s="1909" t="n"/>
      <c r="N24" s="1910" t="n"/>
    </row>
    <row r="25" ht="12.95" customHeight="1" s="1225">
      <c r="A25" s="1912" t="n"/>
      <c r="B25" s="1395" t="n"/>
      <c r="C25" s="1395" t="n"/>
      <c r="D25" s="1909" t="n"/>
      <c r="E25" s="1396" t="n"/>
      <c r="F25" s="1909" t="n"/>
      <c r="G25" s="1396" t="n"/>
      <c r="H25" s="55" t="n"/>
      <c r="I25" s="1933" t="n"/>
      <c r="J25" s="166" t="n"/>
      <c r="K25" s="1909" t="n"/>
      <c r="L25" s="1909" t="n"/>
      <c r="M25" s="1909" t="n"/>
      <c r="N25" s="1910" t="n"/>
    </row>
    <row r="26" ht="12.95" customHeight="1" s="1225">
      <c r="A26" s="1912" t="n"/>
      <c r="B26" s="1395" t="n"/>
      <c r="C26" s="1395" t="n"/>
      <c r="D26" s="1909" t="n"/>
      <c r="E26" s="1396" t="n"/>
      <c r="F26" s="1909" t="n"/>
      <c r="G26" s="1396" t="n"/>
      <c r="H26" s="55" t="n"/>
      <c r="I26" s="1933" t="n"/>
      <c r="J26" s="166" t="n"/>
      <c r="K26" s="1909" t="n"/>
      <c r="L26" s="1909" t="n"/>
      <c r="M26" s="1909" t="n"/>
      <c r="N26" s="1910" t="n"/>
    </row>
    <row r="27" ht="12.95" customHeight="1" s="1225">
      <c r="A27" s="1912" t="n"/>
      <c r="B27" s="1395" t="n"/>
      <c r="C27" s="1395" t="n"/>
      <c r="D27" s="1909" t="n"/>
      <c r="E27" s="1396" t="n"/>
      <c r="F27" s="1909" t="n"/>
      <c r="G27" s="1396" t="n"/>
      <c r="H27" s="55" t="n"/>
      <c r="I27" s="1933" t="n"/>
      <c r="J27" s="166" t="n"/>
      <c r="K27" s="1909" t="n"/>
      <c r="L27" s="1909" t="n"/>
      <c r="M27" s="1909" t="n"/>
      <c r="N27" s="1910" t="n"/>
    </row>
    <row r="28" ht="12.95" customHeight="1" s="1225">
      <c r="A28" s="1912" t="n"/>
      <c r="B28" s="1395" t="n"/>
      <c r="C28" s="1395" t="n"/>
      <c r="D28" s="1909" t="n"/>
      <c r="E28" s="1396" t="n"/>
      <c r="F28" s="1909" t="n"/>
      <c r="G28" s="1396" t="n"/>
      <c r="H28" s="55" t="n"/>
      <c r="I28" s="1933" t="n"/>
      <c r="J28" s="166" t="n"/>
      <c r="K28" s="1909" t="n"/>
      <c r="L28" s="1909" t="n"/>
      <c r="M28" s="1909" t="n"/>
      <c r="N28" s="1910" t="n"/>
    </row>
    <row r="29" ht="12.95" customHeight="1" s="1225">
      <c r="A29" s="1912" t="n"/>
      <c r="B29" s="1395" t="n"/>
      <c r="C29" s="1395" t="n"/>
      <c r="D29" s="1909" t="n"/>
      <c r="E29" s="1396" t="n"/>
      <c r="F29" s="1909" t="n"/>
      <c r="G29" s="1396" t="n"/>
      <c r="H29" s="55" t="n"/>
      <c r="I29" s="1933" t="n"/>
      <c r="J29" s="166" t="n"/>
      <c r="K29" s="1909" t="n"/>
      <c r="L29" s="1909" t="n"/>
      <c r="M29" s="1909" t="n"/>
      <c r="N29" s="1910" t="n"/>
    </row>
    <row r="30" ht="12.95" customHeight="1" s="1225">
      <c r="A30" s="1912" t="n"/>
      <c r="B30" s="1395" t="n"/>
      <c r="C30" s="1395" t="n"/>
      <c r="D30" s="1909" t="n"/>
      <c r="E30" s="1396" t="n"/>
      <c r="F30" s="1909" t="n"/>
      <c r="G30" s="1396" t="n"/>
      <c r="H30" s="55" t="n"/>
      <c r="I30" s="1939" t="inlineStr">
        <is>
          <t>NON VENTILE</t>
        </is>
      </c>
      <c r="J30" s="1411" t="n"/>
      <c r="K30" s="1909" t="n"/>
      <c r="L30" s="1909" t="n"/>
      <c r="M30" s="1909" t="n"/>
      <c r="N30" s="1910" t="n"/>
    </row>
    <row r="31" ht="12.95" customHeight="1" s="1225" thickBot="1">
      <c r="A31" s="1933" t="n"/>
      <c r="B31" s="1395" t="n"/>
      <c r="C31" s="1396" t="n"/>
      <c r="D31" s="1917" t="n"/>
      <c r="E31" s="1655" t="n"/>
      <c r="F31" s="1917" t="n"/>
      <c r="G31" s="1655" t="n"/>
      <c r="H31" s="55" t="n"/>
      <c r="I31" s="1929" t="inlineStr">
        <is>
          <t>TOTAL</t>
        </is>
      </c>
      <c r="J31" s="1528" t="n"/>
      <c r="K31" s="1010">
        <f>SUM(K13:K30)</f>
        <v/>
      </c>
      <c r="L31" s="1010">
        <f>SUM(L13:L30)</f>
        <v/>
      </c>
      <c r="M31" s="1010">
        <f>SUM(M13:M30)</f>
        <v/>
      </c>
      <c r="N31" s="1011">
        <f>SUM(N13:N30)</f>
        <v/>
      </c>
    </row>
    <row r="32" ht="2.25" customHeight="1" s="1225" thickBot="1">
      <c r="A32" s="1002" t="n"/>
      <c r="B32" s="55" t="n"/>
      <c r="C32" s="55" t="n"/>
      <c r="D32" s="55" t="n"/>
      <c r="E32" s="55" t="n"/>
      <c r="F32" s="55" t="n"/>
      <c r="G32" s="1004" t="n"/>
      <c r="H32" s="55" t="n"/>
      <c r="I32" s="55" t="n"/>
      <c r="J32" s="55" t="n"/>
      <c r="K32" s="55" t="n"/>
      <c r="L32" s="55" t="n"/>
      <c r="M32" s="55" t="n"/>
      <c r="N32" s="55" t="n"/>
    </row>
    <row r="33" ht="13.5" customHeight="1" s="1225">
      <c r="A33" s="1012" t="inlineStr">
        <is>
          <t>COMPLEMENT NOTE 27 B</t>
        </is>
      </c>
      <c r="B33" s="1932" t="inlineStr">
        <is>
          <t>AUTRE ETATS DE L'UEMOA</t>
        </is>
      </c>
      <c r="C33" s="1509" t="n"/>
      <c r="D33" s="1509" t="n"/>
      <c r="E33" s="1509" t="n"/>
      <c r="F33" s="1509" t="n"/>
      <c r="G33" s="1510" t="n"/>
      <c r="H33" s="55" t="n"/>
      <c r="I33" s="1940" t="inlineStr">
        <is>
          <t>COMPLEMENT NOTE 33 ACHATS DESTINES A LA PRODUCTION EN F CFA</t>
        </is>
      </c>
      <c r="J33" s="1509" t="n"/>
      <c r="K33" s="1509" t="n"/>
      <c r="L33" s="1562" t="n"/>
      <c r="M33" s="1937" t="inlineStr">
        <is>
          <t>Exercice N</t>
        </is>
      </c>
      <c r="N33" s="1560" t="n"/>
    </row>
    <row r="34" ht="22.5" customHeight="1" s="1225">
      <c r="A34" s="1926" t="inlineStr">
        <is>
          <t>PERSONNEL PROPRE</t>
        </is>
      </c>
      <c r="B34" s="1721" t="inlineStr">
        <is>
          <t>EFFECTIFS</t>
        </is>
      </c>
      <c r="C34" s="1411" t="n"/>
      <c r="D34" s="1721" t="inlineStr">
        <is>
          <t>MASSE SALARIALE</t>
        </is>
      </c>
      <c r="E34" s="1420" t="n"/>
      <c r="F34" s="1420" t="n"/>
      <c r="G34" s="1411" t="n"/>
      <c r="H34" s="55" t="n"/>
      <c r="I34" s="1913" t="inlineStr">
        <is>
          <t>Achats de marchandises dans l'UEMOA</t>
        </is>
      </c>
      <c r="J34" s="1582" t="n"/>
      <c r="K34" s="1582" t="n"/>
      <c r="L34" s="1583" t="n"/>
      <c r="M34" s="1910" t="n"/>
      <c r="N34" s="1399" t="n"/>
    </row>
    <row r="35" ht="12" customHeight="1" s="1225">
      <c r="A35" s="1927" t="n"/>
      <c r="B35" s="1721" t="inlineStr">
        <is>
          <t>M</t>
        </is>
      </c>
      <c r="C35" s="1721" t="inlineStr">
        <is>
          <t>F</t>
        </is>
      </c>
      <c r="D35" s="1721" t="inlineStr">
        <is>
          <t>M</t>
        </is>
      </c>
      <c r="E35" s="1411" t="n"/>
      <c r="F35" s="1721" t="inlineStr">
        <is>
          <t>F</t>
        </is>
      </c>
      <c r="G35" s="1411" t="n"/>
      <c r="H35" s="55" t="n"/>
      <c r="I35" s="1779" t="inlineStr">
        <is>
          <t>Achats de marchandises au groupe dans</t>
        </is>
      </c>
      <c r="L35" s="1550" t="n"/>
      <c r="M35" s="1910" t="n"/>
      <c r="N35" s="1935" t="n"/>
    </row>
    <row r="36" ht="12.95" customHeight="1" s="1225">
      <c r="A36" s="1002" t="inlineStr">
        <is>
          <t>1. CADRE SUPERIEURS</t>
        </is>
      </c>
      <c r="B36" s="164" t="n"/>
      <c r="C36" s="164" t="n"/>
      <c r="D36" s="1909" t="n"/>
      <c r="E36" s="1396" t="n"/>
      <c r="F36" s="1909" t="n"/>
      <c r="G36" s="1396" t="n"/>
      <c r="H36" s="55" t="n"/>
      <c r="I36" s="1914" t="inlineStr">
        <is>
          <t>l'UEMOA</t>
        </is>
      </c>
      <c r="J36" s="122" t="n"/>
      <c r="K36" s="122" t="n"/>
      <c r="L36" s="123" t="n"/>
      <c r="M36" s="1936" t="n"/>
      <c r="N36" s="1609" t="n"/>
    </row>
    <row r="37" ht="24.75" customHeight="1" s="1225">
      <c r="A37" s="1002" t="inlineStr">
        <is>
          <t>2. TECHNICIENS SUPERIEURS ET
    CADRES MOYENS</t>
        </is>
      </c>
      <c r="B37" s="165" t="n"/>
      <c r="C37" s="165" t="n"/>
      <c r="D37" s="1917" t="n"/>
      <c r="E37" s="1655" t="n"/>
      <c r="F37" s="1917" t="n"/>
      <c r="G37" s="1655" t="n"/>
      <c r="H37" s="55" t="n"/>
      <c r="I37" s="1908" t="inlineStr">
        <is>
          <t>Achats de marchandises</t>
        </is>
      </c>
      <c r="J37" s="1420" t="n"/>
      <c r="K37" s="1420" t="n"/>
      <c r="L37" s="1411" t="n"/>
      <c r="M37" s="1922">
        <f>SUM(M34:N36)</f>
        <v/>
      </c>
      <c r="N37" s="1532" t="n"/>
    </row>
    <row r="38" ht="24.75" customHeight="1" s="1225">
      <c r="A38" s="1002" t="inlineStr">
        <is>
          <t>3. TECHNICIENS, AGENTS DE
    MAITRISE ET OUVRIERS QUALIFIES</t>
        </is>
      </c>
      <c r="B38" s="165" t="n"/>
      <c r="C38" s="165" t="n"/>
      <c r="D38" s="1917" t="n"/>
      <c r="E38" s="1655" t="n"/>
      <c r="F38" s="1917" t="n"/>
      <c r="G38" s="1655" t="n"/>
      <c r="H38" s="55" t="n"/>
      <c r="I38" s="1913" t="inlineStr">
        <is>
          <t>Achats de matières premières dans l'UEMOA</t>
        </is>
      </c>
      <c r="J38" s="1582" t="n"/>
      <c r="K38" s="1582" t="n"/>
      <c r="L38" s="1583" t="n"/>
      <c r="M38" s="1910" t="n"/>
      <c r="N38" s="1399" t="n"/>
    </row>
    <row r="39" ht="24.75" customHeight="1" s="1225">
      <c r="A39" s="1002" t="inlineStr">
        <is>
          <t>4. EMPLOYES, MANŒUVRES,
    OUVRIERS ET APPRENTIS</t>
        </is>
      </c>
      <c r="B39" s="165" t="n"/>
      <c r="C39" s="165" t="n"/>
      <c r="D39" s="1917" t="n"/>
      <c r="E39" s="1655" t="n"/>
      <c r="F39" s="1917" t="n"/>
      <c r="G39" s="1655" t="n"/>
      <c r="H39" s="55" t="n"/>
      <c r="I39" s="1779" t="inlineStr">
        <is>
          <t>Achats de matières premières au groupe dans l'UEMOA</t>
        </is>
      </c>
      <c r="L39" s="1550" t="n"/>
      <c r="M39" s="1910" t="n"/>
      <c r="N39" s="1399" t="n"/>
    </row>
    <row r="40" ht="12.95" customFormat="1" customHeight="1" s="1590">
      <c r="A40" s="1005" t="inlineStr">
        <is>
          <t>TOTAL</t>
        </is>
      </c>
      <c r="B40" s="305">
        <f>SUM(B36:B39)</f>
        <v/>
      </c>
      <c r="C40" s="305">
        <f>SUM(C36:C39)</f>
        <v/>
      </c>
      <c r="D40" s="1923">
        <f>SUM(D36:E39)</f>
        <v/>
      </c>
      <c r="E40" s="1411" t="n"/>
      <c r="F40" s="1922">
        <f>SUM(F36:G39)</f>
        <v/>
      </c>
      <c r="G40" s="1532" t="n"/>
      <c r="H40" s="55" t="n"/>
      <c r="I40" s="1941" t="n"/>
      <c r="L40" s="1550" t="n"/>
      <c r="M40" s="1921" t="n"/>
      <c r="N40" s="1408" t="n"/>
    </row>
    <row r="41" ht="12.95" customFormat="1" customHeight="1" s="1590">
      <c r="A41" s="1006" t="inlineStr">
        <is>
          <t>PERMANENTS</t>
        </is>
      </c>
      <c r="B41" s="164" t="n"/>
      <c r="C41" s="164" t="n"/>
      <c r="D41" s="1924" t="n"/>
      <c r="E41" s="1396" t="n"/>
      <c r="F41" s="1909" t="n"/>
      <c r="G41" s="1396" t="n"/>
      <c r="H41" s="55" t="n"/>
      <c r="I41" s="1013" t="n"/>
      <c r="J41" s="56" t="n"/>
      <c r="K41" s="56" t="n"/>
      <c r="L41" s="57" t="n"/>
      <c r="M41" s="1934" t="n"/>
      <c r="N41" s="1408" t="n"/>
    </row>
    <row r="42" ht="12.95" customFormat="1" customHeight="1" s="1590" thickBot="1">
      <c r="A42" s="1007" t="inlineStr">
        <is>
          <t>SAISONNIERS</t>
        </is>
      </c>
      <c r="B42" s="1008" t="n"/>
      <c r="C42" s="1008" t="n"/>
      <c r="D42" s="1928" t="n"/>
      <c r="E42" s="1416" t="n"/>
      <c r="F42" s="1931" t="n"/>
      <c r="G42" s="1416" t="n"/>
      <c r="H42" s="163" t="n"/>
      <c r="I42" s="1919" t="inlineStr">
        <is>
          <t>Achats de matières premières</t>
        </is>
      </c>
      <c r="J42" s="1303" t="n"/>
      <c r="K42" s="1303" t="n"/>
      <c r="L42" s="1303" t="n"/>
      <c r="M42" s="1925">
        <f>SUM(M38:N41)</f>
        <v/>
      </c>
      <c r="N42" s="1592" t="n"/>
    </row>
  </sheetData>
  <mergeCells count="109">
    <mergeCell ref="D20:E20"/>
    <mergeCell ref="F29:G29"/>
    <mergeCell ref="F16:G16"/>
    <mergeCell ref="F25:G25"/>
    <mergeCell ref="I38:L38"/>
    <mergeCell ref="D22:E22"/>
    <mergeCell ref="A21:C21"/>
    <mergeCell ref="D36:E36"/>
    <mergeCell ref="D31:E31"/>
    <mergeCell ref="A26:C26"/>
    <mergeCell ref="J9:J12"/>
    <mergeCell ref="I40:L40"/>
    <mergeCell ref="B4:K4"/>
    <mergeCell ref="A23:C23"/>
    <mergeCell ref="F15:G15"/>
    <mergeCell ref="D13:E13"/>
    <mergeCell ref="D9:E12"/>
    <mergeCell ref="F9:G12"/>
    <mergeCell ref="B5:G5"/>
    <mergeCell ref="F23:G23"/>
    <mergeCell ref="M33:N33"/>
    <mergeCell ref="F13:G13"/>
    <mergeCell ref="D24:E24"/>
    <mergeCell ref="I9:I12"/>
    <mergeCell ref="D26:E26"/>
    <mergeCell ref="D35:E35"/>
    <mergeCell ref="I30:J30"/>
    <mergeCell ref="I39:L39"/>
    <mergeCell ref="A8:G8"/>
    <mergeCell ref="D19:E19"/>
    <mergeCell ref="F19:G19"/>
    <mergeCell ref="K9:L11"/>
    <mergeCell ref="M9:N11"/>
    <mergeCell ref="A9:C12"/>
    <mergeCell ref="A1:N1"/>
    <mergeCell ref="F30:G30"/>
    <mergeCell ref="A14:C14"/>
    <mergeCell ref="F20:G20"/>
    <mergeCell ref="F18:G18"/>
    <mergeCell ref="F42:G42"/>
    <mergeCell ref="D34:G34"/>
    <mergeCell ref="A29:C29"/>
    <mergeCell ref="B3:N3"/>
    <mergeCell ref="F17:G17"/>
    <mergeCell ref="B33:G33"/>
    <mergeCell ref="A31:C31"/>
    <mergeCell ref="D37:E37"/>
    <mergeCell ref="F31:G31"/>
    <mergeCell ref="F28:G28"/>
    <mergeCell ref="M41:N41"/>
    <mergeCell ref="A24:C24"/>
    <mergeCell ref="D39:E39"/>
    <mergeCell ref="F39:G39"/>
    <mergeCell ref="D15:E15"/>
    <mergeCell ref="D29:E29"/>
    <mergeCell ref="D23:E23"/>
    <mergeCell ref="D38:E38"/>
    <mergeCell ref="M35:N36"/>
    <mergeCell ref="I33:L33"/>
    <mergeCell ref="I42:L42"/>
    <mergeCell ref="A25:C25"/>
    <mergeCell ref="M34:N34"/>
    <mergeCell ref="I35:L35"/>
    <mergeCell ref="M39:N39"/>
    <mergeCell ref="F21:G21"/>
    <mergeCell ref="D27:E27"/>
    <mergeCell ref="A22:C22"/>
    <mergeCell ref="F36:G36"/>
    <mergeCell ref="D17:E17"/>
    <mergeCell ref="M40:N40"/>
    <mergeCell ref="A28:C28"/>
    <mergeCell ref="M37:N37"/>
    <mergeCell ref="B34:C34"/>
    <mergeCell ref="D28:E28"/>
    <mergeCell ref="F22:G22"/>
    <mergeCell ref="A30:C30"/>
    <mergeCell ref="L2:N2"/>
    <mergeCell ref="I37:L37"/>
    <mergeCell ref="D25:E25"/>
    <mergeCell ref="D30:E30"/>
    <mergeCell ref="M38:N38"/>
    <mergeCell ref="D14:E14"/>
    <mergeCell ref="F14:G14"/>
    <mergeCell ref="J5:K5"/>
    <mergeCell ref="A27:C27"/>
    <mergeCell ref="D40:E40"/>
    <mergeCell ref="F40:G40"/>
    <mergeCell ref="D21:E21"/>
    <mergeCell ref="F24:G24"/>
    <mergeCell ref="I34:L34"/>
    <mergeCell ref="A7:N7"/>
    <mergeCell ref="A17:C17"/>
    <mergeCell ref="I8:N8"/>
    <mergeCell ref="D41:E41"/>
    <mergeCell ref="F26:G26"/>
    <mergeCell ref="F41:G41"/>
    <mergeCell ref="F35:G35"/>
    <mergeCell ref="B6:G6"/>
    <mergeCell ref="D16:E16"/>
    <mergeCell ref="A19:C19"/>
    <mergeCell ref="F38:G38"/>
    <mergeCell ref="M42:N42"/>
    <mergeCell ref="D18:E18"/>
    <mergeCell ref="F27:G27"/>
    <mergeCell ref="F37:G37"/>
    <mergeCell ref="A34:A35"/>
    <mergeCell ref="D42:E42"/>
    <mergeCell ref="I31:J31"/>
    <mergeCell ref="M4:N4"/>
  </mergeCells>
  <dataValidations count="1">
    <dataValidation sqref="B36:G39 B41:G42 D19:G19 D23:G31 K13:N30 M34:N36 M38:N39"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80"/>
</worksheet>
</file>

<file path=xl/worksheets/sheet75.xml><?xml version="1.0" encoding="utf-8"?>
<worksheet xmlns="http://schemas.openxmlformats.org/spreadsheetml/2006/main">
  <sheetPr codeName="Feuil73">
    <tabColor theme="4" tint="0.5999938962981048"/>
    <outlinePr summaryBelow="1" summaryRight="1"/>
    <pageSetUpPr fitToPage="1"/>
  </sheetPr>
  <dimension ref="A1:J31"/>
  <sheetViews>
    <sheetView showGridLines="0" topLeftCell="A4" workbookViewId="0">
      <selection activeCell="B14" sqref="B14"/>
    </sheetView>
  </sheetViews>
  <sheetFormatPr baseColWidth="10" defaultRowHeight="15"/>
  <cols>
    <col width="18.42578125" customWidth="1" style="1225" min="2" max="2"/>
    <col width="13.7109375" customWidth="1" style="1225" min="5" max="5"/>
    <col width="17.28515625" customWidth="1" style="1225" min="6" max="6"/>
    <col width="15.7109375" customWidth="1" style="1225" min="7" max="10"/>
  </cols>
  <sheetData>
    <row r="1">
      <c r="A1" s="1429" t="inlineStr">
        <is>
          <t>- 0 -</t>
        </is>
      </c>
    </row>
    <row r="2" ht="18" customHeight="1" s="1225">
      <c r="A2" s="307" t="n"/>
      <c r="B2" s="307" t="n"/>
      <c r="C2" s="1429" t="n"/>
      <c r="D2" s="1429" t="n"/>
      <c r="E2" s="1429" t="n"/>
      <c r="F2" s="1429" t="n"/>
      <c r="G2" s="1429" t="n"/>
      <c r="I2" s="1903" t="inlineStr">
        <is>
          <t>ETAT SUPPLEMENTAIRE N°6</t>
        </is>
      </c>
      <c r="J2" s="1411" t="n"/>
    </row>
    <row r="3" ht="21.95" customFormat="1" customHeight="1" s="1382">
      <c r="A3" s="1451" t="inlineStr">
        <is>
          <t>Dénomination sociale de l'entité :</t>
        </is>
      </c>
      <c r="B3" s="355" t="n"/>
      <c r="C3" s="1276">
        <f>'Liste ETATS SUPPL DGI'!C3</f>
        <v/>
      </c>
      <c r="D3" s="1277" t="n"/>
      <c r="E3" s="1277" t="n"/>
      <c r="F3" s="1277" t="n"/>
      <c r="G3" s="1277" t="n"/>
      <c r="H3" s="1277" t="n"/>
      <c r="I3" s="1277" t="n"/>
      <c r="J3" s="1277" t="n"/>
    </row>
    <row r="4" ht="15" customFormat="1" customHeight="1" s="1382">
      <c r="A4" s="1451" t="inlineStr">
        <is>
          <t>Adresse :</t>
        </is>
      </c>
      <c r="B4" s="1280">
        <f>'Liste ETATS SUPPL DGI'!B4</f>
        <v/>
      </c>
      <c r="C4" s="1279" t="n"/>
      <c r="D4" s="1279" t="n"/>
      <c r="E4" s="1279" t="n"/>
      <c r="F4" s="1279" t="n"/>
      <c r="G4" s="1279" t="n"/>
      <c r="H4" s="1279" t="n"/>
      <c r="I4" s="1589" t="inlineStr">
        <is>
          <t>Sigle usuel :</t>
        </is>
      </c>
      <c r="J4" s="1276">
        <f>SUPPL5!M4</f>
        <v/>
      </c>
    </row>
    <row r="5" ht="15" customFormat="1" customHeight="1" s="1382">
      <c r="A5" s="1451" t="inlineStr">
        <is>
          <t>N° IFU :</t>
        </is>
      </c>
      <c r="C5" s="1280">
        <f>'Liste ETATS SUPPL DGI'!C5</f>
        <v/>
      </c>
      <c r="D5" s="1279" t="n"/>
      <c r="E5" s="1279" t="n"/>
      <c r="F5" s="1279" t="n"/>
      <c r="G5" s="1282" t="inlineStr">
        <is>
          <t>Exercice clos le :</t>
        </is>
      </c>
      <c r="H5" s="1601">
        <f>'Liste ETATS SUPPL DGI'!F5</f>
        <v/>
      </c>
      <c r="I5" s="1589" t="inlineStr">
        <is>
          <t>Durée (en mois) :</t>
        </is>
      </c>
      <c r="J5" s="1285">
        <f>SUPPL5!N5</f>
        <v/>
      </c>
    </row>
    <row r="6" ht="15" customFormat="1" customHeight="1" s="1382">
      <c r="A6" s="259" t="inlineStr">
        <is>
          <t xml:space="preserve">N° de télédéclarant (NES): </t>
        </is>
      </c>
      <c r="C6" s="1520">
        <f>'Liste ETATS SUPPL DGI'!C6</f>
        <v/>
      </c>
      <c r="D6" s="1521" t="n"/>
      <c r="E6" s="1521" t="n"/>
      <c r="F6" s="1521" t="n"/>
      <c r="G6" s="253" t="n"/>
      <c r="H6" s="302" t="n"/>
      <c r="I6" s="254" t="n"/>
      <c r="J6" s="1970" t="n"/>
    </row>
    <row r="7" ht="30" customHeight="1" s="1225" thickBot="1">
      <c r="A7" s="1341" t="inlineStr">
        <is>
          <t>REPARTITION DU RESULTAT FISCAL DES SOCIETES DE PERSONNES</t>
        </is>
      </c>
    </row>
    <row r="8" ht="78" customHeight="1" s="1225">
      <c r="A8" s="1755" t="inlineStr">
        <is>
          <t>Nom et Prénoms des Associés</t>
        </is>
      </c>
      <c r="B8" s="1562" t="n"/>
      <c r="C8" s="1738" t="inlineStr">
        <is>
          <t>Adresse du Domicile Fiscal</t>
        </is>
      </c>
      <c r="D8" s="1509" t="n"/>
      <c r="E8" s="1562" t="n"/>
      <c r="F8" s="1738" t="inlineStr">
        <is>
          <t>N° de Compte
Contribuable</t>
        </is>
      </c>
      <c r="G8" s="1738" t="inlineStr">
        <is>
          <t>Part des résultats
avant réintégration
de leurs
rémunération et
AN et part de l'IMF</t>
        </is>
      </c>
      <c r="H8" s="1738" t="inlineStr">
        <is>
          <t>Rémunération et
avantages en
nature et part de
l'IMF leur revenant</t>
        </is>
      </c>
      <c r="I8" s="1738" t="inlineStr">
        <is>
          <t>Total imposable au
nom de chaque
associé</t>
        </is>
      </c>
      <c r="J8" s="1761" t="inlineStr">
        <is>
          <t>N° note / ref
autres parties
états financiers</t>
        </is>
      </c>
    </row>
    <row r="9" customFormat="1" s="1590">
      <c r="A9" s="1943" t="n"/>
      <c r="B9" s="1944" t="n"/>
      <c r="C9" s="1946" t="n"/>
      <c r="D9" s="1944" t="n"/>
      <c r="E9" s="1947" t="n"/>
      <c r="F9" s="167" t="n"/>
      <c r="G9" s="168" t="n"/>
      <c r="H9" s="168" t="n"/>
      <c r="I9" s="168" t="n"/>
      <c r="J9" s="1014" t="n"/>
    </row>
    <row r="10" customFormat="1" s="1590">
      <c r="A10" s="1943" t="n"/>
      <c r="B10" s="1944" t="n"/>
      <c r="C10" s="1946" t="n"/>
      <c r="D10" s="1944" t="n"/>
      <c r="E10" s="1947" t="n"/>
      <c r="F10" s="167" t="n"/>
      <c r="G10" s="168" t="n"/>
      <c r="H10" s="168" t="n"/>
      <c r="I10" s="168" t="n"/>
      <c r="J10" s="1014" t="n"/>
    </row>
    <row r="11" customFormat="1" s="1590">
      <c r="A11" s="1943" t="n"/>
      <c r="B11" s="1944" t="n"/>
      <c r="C11" s="1946" t="n"/>
      <c r="D11" s="1944" t="n"/>
      <c r="E11" s="1947" t="n"/>
      <c r="F11" s="167" t="n"/>
      <c r="G11" s="168" t="n"/>
      <c r="H11" s="168" t="n"/>
      <c r="I11" s="168" t="n"/>
      <c r="J11" s="1014" t="n"/>
    </row>
    <row r="12" customFormat="1" s="1590">
      <c r="A12" s="1943" t="n"/>
      <c r="B12" s="1944" t="n"/>
      <c r="C12" s="1946" t="n"/>
      <c r="D12" s="1944" t="n"/>
      <c r="E12" s="1947" t="n"/>
      <c r="F12" s="167" t="n"/>
      <c r="G12" s="168" t="n"/>
      <c r="H12" s="168" t="n"/>
      <c r="I12" s="168" t="n"/>
      <c r="J12" s="1014" t="n"/>
    </row>
    <row r="13" customFormat="1" s="1590">
      <c r="A13" s="1943" t="n"/>
      <c r="B13" s="1944" t="n"/>
      <c r="C13" s="1946" t="n"/>
      <c r="D13" s="1944" t="n"/>
      <c r="E13" s="1947" t="n"/>
      <c r="F13" s="167" t="n"/>
      <c r="G13" s="168" t="n"/>
      <c r="H13" s="168" t="n"/>
      <c r="I13" s="168" t="n"/>
      <c r="J13" s="1014" t="n"/>
    </row>
    <row r="14" customFormat="1" s="1590">
      <c r="A14" s="1943" t="n"/>
      <c r="B14" s="1944" t="n"/>
      <c r="C14" s="1946" t="n"/>
      <c r="D14" s="1944" t="n"/>
      <c r="E14" s="1947" t="n"/>
      <c r="F14" s="167" t="n"/>
      <c r="G14" s="168" t="n"/>
      <c r="H14" s="168" t="n"/>
      <c r="I14" s="168" t="n"/>
      <c r="J14" s="1014" t="n"/>
    </row>
    <row r="15" customFormat="1" s="1590">
      <c r="A15" s="1943" t="n"/>
      <c r="B15" s="1944" t="n"/>
      <c r="C15" s="1946" t="n"/>
      <c r="D15" s="1944" t="n"/>
      <c r="E15" s="1947" t="n"/>
      <c r="F15" s="167" t="n"/>
      <c r="G15" s="168" t="n"/>
      <c r="H15" s="168" t="n"/>
      <c r="I15" s="168" t="n"/>
      <c r="J15" s="1014" t="n"/>
    </row>
    <row r="16" customFormat="1" s="1590">
      <c r="A16" s="1943" t="n"/>
      <c r="B16" s="1944" t="n"/>
      <c r="C16" s="1946" t="n"/>
      <c r="D16" s="1944" t="n"/>
      <c r="E16" s="1947" t="n"/>
      <c r="F16" s="167" t="n"/>
      <c r="G16" s="168" t="n"/>
      <c r="H16" s="168" t="n"/>
      <c r="I16" s="168" t="n"/>
      <c r="J16" s="1014" t="n"/>
    </row>
    <row r="17" customFormat="1" s="1590">
      <c r="A17" s="1943" t="n"/>
      <c r="B17" s="1944" t="n"/>
      <c r="C17" s="1946" t="n"/>
      <c r="D17" s="1944" t="n"/>
      <c r="E17" s="1947" t="n"/>
      <c r="F17" s="167" t="n"/>
      <c r="G17" s="168" t="n"/>
      <c r="H17" s="168" t="n"/>
      <c r="I17" s="168" t="n"/>
      <c r="J17" s="1014" t="n"/>
    </row>
    <row r="18" customFormat="1" s="1590">
      <c r="A18" s="1943" t="n"/>
      <c r="B18" s="1944" t="n"/>
      <c r="C18" s="1946" t="n"/>
      <c r="D18" s="1944" t="n"/>
      <c r="E18" s="1947" t="n"/>
      <c r="F18" s="167" t="n"/>
      <c r="G18" s="168" t="n"/>
      <c r="H18" s="168" t="n"/>
      <c r="I18" s="168" t="n"/>
      <c r="J18" s="1014" t="n"/>
    </row>
    <row r="19" customFormat="1" s="1590">
      <c r="A19" s="1943" t="n"/>
      <c r="B19" s="1944" t="n"/>
      <c r="C19" s="1946" t="n"/>
      <c r="D19" s="1944" t="n"/>
      <c r="E19" s="1947" t="n"/>
      <c r="F19" s="167" t="n"/>
      <c r="G19" s="168" t="n"/>
      <c r="H19" s="168" t="n"/>
      <c r="I19" s="168" t="n"/>
      <c r="J19" s="1014" t="n"/>
    </row>
    <row r="20" customFormat="1" s="1590">
      <c r="A20" s="1943" t="n"/>
      <c r="B20" s="1944" t="n"/>
      <c r="C20" s="1946" t="n"/>
      <c r="D20" s="1944" t="n"/>
      <c r="E20" s="1947" t="n"/>
      <c r="F20" s="167" t="n"/>
      <c r="G20" s="168" t="n"/>
      <c r="H20" s="168" t="n"/>
      <c r="I20" s="168" t="n"/>
      <c r="J20" s="1014" t="n"/>
    </row>
    <row r="21" customFormat="1" s="1590">
      <c r="A21" s="1943" t="n"/>
      <c r="B21" s="1944" t="n"/>
      <c r="C21" s="1946" t="n"/>
      <c r="D21" s="1944" t="n"/>
      <c r="E21" s="1947" t="n"/>
      <c r="F21" s="167" t="n"/>
      <c r="G21" s="168" t="n"/>
      <c r="H21" s="168" t="n"/>
      <c r="I21" s="168" t="n"/>
      <c r="J21" s="1014" t="n"/>
    </row>
    <row r="22" customFormat="1" s="1590">
      <c r="A22" s="1943" t="n"/>
      <c r="B22" s="1944" t="n"/>
      <c r="C22" s="1946" t="n"/>
      <c r="D22" s="1944" t="n"/>
      <c r="E22" s="1947" t="n"/>
      <c r="F22" s="167" t="n"/>
      <c r="G22" s="168" t="n"/>
      <c r="H22" s="168" t="n"/>
      <c r="I22" s="168" t="n"/>
      <c r="J22" s="1014" t="n"/>
    </row>
    <row r="23" customFormat="1" s="1590">
      <c r="A23" s="1943" t="n"/>
      <c r="B23" s="1944" t="n"/>
      <c r="C23" s="1946" t="n"/>
      <c r="D23" s="1944" t="n"/>
      <c r="E23" s="1947" t="n"/>
      <c r="F23" s="167" t="n"/>
      <c r="G23" s="168" t="n"/>
      <c r="H23" s="168" t="n"/>
      <c r="I23" s="168" t="n"/>
      <c r="J23" s="1014" t="n"/>
    </row>
    <row r="24" customFormat="1" s="1590">
      <c r="A24" s="1943" t="n"/>
      <c r="B24" s="1944" t="n"/>
      <c r="C24" s="1946" t="n"/>
      <c r="D24" s="1944" t="n"/>
      <c r="E24" s="1947" t="n"/>
      <c r="F24" s="167" t="n"/>
      <c r="G24" s="168" t="n"/>
      <c r="H24" s="168" t="n"/>
      <c r="I24" s="168" t="n"/>
      <c r="J24" s="1014" t="n"/>
    </row>
    <row r="25" customFormat="1" s="1590">
      <c r="A25" s="1943" t="n"/>
      <c r="B25" s="1944" t="n"/>
      <c r="C25" s="1946" t="n"/>
      <c r="D25" s="1944" t="n"/>
      <c r="E25" s="1947" t="n"/>
      <c r="F25" s="167" t="n"/>
      <c r="G25" s="168" t="n"/>
      <c r="H25" s="168" t="n"/>
      <c r="I25" s="168" t="n"/>
      <c r="J25" s="1014" t="n"/>
    </row>
    <row r="26" customFormat="1" s="1590">
      <c r="A26" s="1943" t="n"/>
      <c r="B26" s="1944" t="n"/>
      <c r="C26" s="1946" t="n"/>
      <c r="D26" s="1944" t="n"/>
      <c r="E26" s="1947" t="n"/>
      <c r="F26" s="167" t="n"/>
      <c r="G26" s="168" t="n"/>
      <c r="H26" s="168" t="n"/>
      <c r="I26" s="168" t="n"/>
      <c r="J26" s="1014" t="n"/>
    </row>
    <row r="27" customFormat="1" s="1590">
      <c r="A27" s="1943" t="n"/>
      <c r="B27" s="1944" t="n"/>
      <c r="C27" s="1946" t="n"/>
      <c r="D27" s="1944" t="n"/>
      <c r="E27" s="1947" t="n"/>
      <c r="F27" s="167" t="n"/>
      <c r="G27" s="168" t="n"/>
      <c r="H27" s="168" t="n"/>
      <c r="I27" s="168" t="n"/>
      <c r="J27" s="1014" t="n"/>
    </row>
    <row r="28" customFormat="1" s="1590">
      <c r="A28" s="1943" t="n"/>
      <c r="B28" s="1944" t="n"/>
      <c r="C28" s="1946" t="n"/>
      <c r="D28" s="1944" t="n"/>
      <c r="E28" s="1947" t="n"/>
      <c r="F28" s="167" t="n"/>
      <c r="G28" s="168" t="n"/>
      <c r="H28" s="168" t="n"/>
      <c r="I28" s="168" t="n"/>
      <c r="J28" s="1014" t="n"/>
    </row>
    <row r="29" customFormat="1" s="1590">
      <c r="A29" s="1943" t="n"/>
      <c r="B29" s="1944" t="n"/>
      <c r="C29" s="1945" t="n"/>
      <c r="D29" s="1395" t="n"/>
      <c r="E29" s="1396" t="n"/>
      <c r="F29" s="167" t="n"/>
      <c r="G29" s="168" t="n"/>
      <c r="H29" s="168" t="n"/>
      <c r="I29" s="168" t="n"/>
      <c r="J29" s="1014" t="n"/>
    </row>
    <row r="30" customFormat="1" s="1590">
      <c r="A30" s="1948" t="n"/>
      <c r="B30" s="1396" t="n"/>
      <c r="C30" s="1945" t="n"/>
      <c r="D30" s="1395" t="n"/>
      <c r="E30" s="1396" t="n"/>
      <c r="F30" s="167" t="n"/>
      <c r="G30" s="168" t="n"/>
      <c r="H30" s="168" t="n"/>
      <c r="I30" s="168" t="n"/>
      <c r="J30" s="1014" t="n"/>
    </row>
    <row r="31" ht="15" customFormat="1" customHeight="1" s="1590" thickBot="1">
      <c r="A31" s="1942" t="inlineStr">
        <is>
          <t>TOTAL</t>
        </is>
      </c>
      <c r="B31" s="1527" t="n"/>
      <c r="C31" s="1527" t="n"/>
      <c r="D31" s="1527" t="n"/>
      <c r="E31" s="1527" t="n"/>
      <c r="F31" s="1528" t="n"/>
      <c r="G31" s="1015">
        <f>SUM(G9:G30)</f>
        <v/>
      </c>
      <c r="H31" s="1015">
        <f>SUM(H9:H30)</f>
        <v/>
      </c>
      <c r="I31" s="1015">
        <f>SUM(I9:I30)</f>
        <v/>
      </c>
      <c r="J31" s="1016">
        <f>SUM(J9:J30)</f>
        <v/>
      </c>
    </row>
  </sheetData>
  <mergeCells count="54">
    <mergeCell ref="C16:E16"/>
    <mergeCell ref="C3:J3"/>
    <mergeCell ref="A24:B24"/>
    <mergeCell ref="A30:B30"/>
    <mergeCell ref="A15:B15"/>
    <mergeCell ref="I2:J2"/>
    <mergeCell ref="A11:B11"/>
    <mergeCell ref="C22:E22"/>
    <mergeCell ref="C9:E9"/>
    <mergeCell ref="C21:E21"/>
    <mergeCell ref="C12:E12"/>
    <mergeCell ref="C11:E11"/>
    <mergeCell ref="A16:B16"/>
    <mergeCell ref="C27:E27"/>
    <mergeCell ref="A25:B25"/>
    <mergeCell ref="B4:H4"/>
    <mergeCell ref="C23:E23"/>
    <mergeCell ref="C8:E8"/>
    <mergeCell ref="C6:F6"/>
    <mergeCell ref="C17:E17"/>
    <mergeCell ref="A18:B18"/>
    <mergeCell ref="C5:F5"/>
    <mergeCell ref="A27:B27"/>
    <mergeCell ref="A12:B12"/>
    <mergeCell ref="A1:J1"/>
    <mergeCell ref="A21:B21"/>
    <mergeCell ref="A26:B26"/>
    <mergeCell ref="C28:E28"/>
    <mergeCell ref="C13:E13"/>
    <mergeCell ref="C19:E19"/>
    <mergeCell ref="C18:E18"/>
    <mergeCell ref="A31:F31"/>
    <mergeCell ref="A7:J7"/>
    <mergeCell ref="A14:B14"/>
    <mergeCell ref="A17:B17"/>
    <mergeCell ref="A23:B23"/>
    <mergeCell ref="C30:E30"/>
    <mergeCell ref="A8:B8"/>
    <mergeCell ref="C15:E15"/>
    <mergeCell ref="A22:B22"/>
    <mergeCell ref="C24:E24"/>
    <mergeCell ref="A20:B20"/>
    <mergeCell ref="C14:E14"/>
    <mergeCell ref="A29:B29"/>
    <mergeCell ref="A19:B19"/>
    <mergeCell ref="A10:B10"/>
    <mergeCell ref="A28:B28"/>
    <mergeCell ref="A13:B13"/>
    <mergeCell ref="C26:E26"/>
    <mergeCell ref="C29:E29"/>
    <mergeCell ref="A9:B9"/>
    <mergeCell ref="C20:E20"/>
    <mergeCell ref="C25:E25"/>
    <mergeCell ref="C10:E10"/>
  </mergeCells>
  <printOptions horizontalCentered="1"/>
  <pageMargins left="0.3149606299212598" right="0.3149606299212598" top="0.3543307086614174" bottom="0.3543307086614174" header="0.3149606299212598" footer="0.3149606299212598"/>
  <pageSetup orientation="landscape" paperSize="9" scale="96"/>
</worksheet>
</file>

<file path=xl/worksheets/sheet76.xml><?xml version="1.0" encoding="utf-8"?>
<worksheet xmlns="http://schemas.openxmlformats.org/spreadsheetml/2006/main">
  <sheetPr codeName="Feuil74">
    <tabColor theme="4" tint="0.5999938962981048"/>
    <outlinePr summaryBelow="1" summaryRight="1"/>
    <pageSetUpPr fitToPage="1"/>
  </sheetPr>
  <dimension ref="A1:N12"/>
  <sheetViews>
    <sheetView showGridLines="0" workbookViewId="0">
      <selection activeCell="B14" sqref="B14"/>
    </sheetView>
  </sheetViews>
  <sheetFormatPr baseColWidth="10" defaultRowHeight="15"/>
  <cols>
    <col width="17.28515625" customWidth="1" style="1225" min="2" max="2"/>
    <col width="14.7109375" customWidth="1" style="1225" min="7" max="7"/>
    <col width="11.28515625" customWidth="1" style="1225" min="8" max="8"/>
    <col width="14.28515625" customWidth="1" style="1225" min="9" max="9"/>
    <col width="16.85546875" customWidth="1" style="1225" min="10" max="10"/>
    <col width="15" customWidth="1" style="1225" min="11" max="11"/>
  </cols>
  <sheetData>
    <row r="1">
      <c r="A1" s="1429" t="inlineStr">
        <is>
          <t>- 0 -</t>
        </is>
      </c>
    </row>
    <row r="2" ht="18" customHeight="1" s="1225">
      <c r="A2" s="307" t="n"/>
      <c r="B2" s="307" t="n"/>
      <c r="C2" s="1429" t="n"/>
      <c r="D2" s="1429" t="n"/>
      <c r="E2" s="1429" t="n"/>
      <c r="F2" s="1429" t="n"/>
      <c r="G2" s="1429" t="n"/>
      <c r="J2" s="1903" t="inlineStr">
        <is>
          <t>ETAT SUPPLEMENTAIRE N°7</t>
        </is>
      </c>
      <c r="K2" s="1411" t="n"/>
    </row>
    <row r="3" ht="21.95" customFormat="1" customHeight="1" s="1382">
      <c r="A3" s="1451" t="inlineStr">
        <is>
          <t>Dénomination sociale de l'entité :</t>
        </is>
      </c>
      <c r="B3" s="355" t="n"/>
      <c r="C3" s="1276">
        <f>'Liste ETATS SUPPL DGI'!C3</f>
        <v/>
      </c>
      <c r="D3" s="1277" t="n"/>
      <c r="E3" s="1277" t="n"/>
      <c r="F3" s="1277" t="n"/>
      <c r="G3" s="1277" t="n"/>
      <c r="H3" s="1277" t="n"/>
      <c r="I3" s="1277" t="n"/>
      <c r="J3" s="1277" t="n"/>
      <c r="K3" s="1277" t="n"/>
    </row>
    <row r="4" ht="15" customFormat="1" customHeight="1" s="1382">
      <c r="A4" s="1451" t="inlineStr">
        <is>
          <t>Adresse :</t>
        </is>
      </c>
      <c r="B4" s="1280">
        <f>'Liste ETATS SUPPL DGI'!B4</f>
        <v/>
      </c>
      <c r="C4" s="1279" t="n"/>
      <c r="D4" s="1279" t="n"/>
      <c r="E4" s="1279" t="n"/>
      <c r="F4" s="1279" t="n"/>
      <c r="G4" s="1279" t="n"/>
      <c r="H4" s="1279" t="n"/>
      <c r="I4" s="1279" t="n"/>
      <c r="J4" s="1589" t="inlineStr">
        <is>
          <t>Sigle usuel :</t>
        </is>
      </c>
      <c r="K4" s="1276">
        <f>SUPPL6!J4</f>
        <v/>
      </c>
    </row>
    <row r="5" ht="15" customFormat="1" customHeight="1" s="1382">
      <c r="A5" s="1451" t="inlineStr">
        <is>
          <t>N° IFU :</t>
        </is>
      </c>
      <c r="C5" s="1276">
        <f>'Liste ETATS SUPPL DGI'!C5</f>
        <v/>
      </c>
      <c r="D5" s="1277" t="n"/>
      <c r="E5" s="1277" t="n"/>
      <c r="F5" s="1277" t="n"/>
      <c r="G5" s="1457" t="inlineStr">
        <is>
          <t>Exercice clos le :</t>
        </is>
      </c>
      <c r="H5" s="1563">
        <f>'Liste ETATS SUPPL DGI'!F5</f>
        <v/>
      </c>
      <c r="I5" s="1277" t="n"/>
      <c r="J5" s="1589" t="inlineStr">
        <is>
          <t>Durée (en mois) :</t>
        </is>
      </c>
      <c r="K5" s="1285">
        <f>'Liste ETATS SUPPL DGI'!I5</f>
        <v/>
      </c>
    </row>
    <row r="6" ht="15" customFormat="1" customHeight="1" s="1382">
      <c r="A6" s="259" t="inlineStr">
        <is>
          <t xml:space="preserve">N° de télédéclarant (NES): </t>
        </is>
      </c>
      <c r="C6" s="1520">
        <f>'Liste ETATS SUPPL DGI'!C6</f>
        <v/>
      </c>
      <c r="D6" s="1521" t="n"/>
      <c r="E6" s="1521" t="n"/>
      <c r="F6" s="1521" t="n"/>
      <c r="G6" s="253" t="n"/>
      <c r="H6" s="1970" t="n"/>
      <c r="I6" s="1970" t="n"/>
      <c r="J6" s="254" t="n"/>
      <c r="K6" s="1970" t="n"/>
    </row>
    <row r="7" ht="30" customHeight="1" s="1225" thickBot="1">
      <c r="A7" s="1341" t="inlineStr">
        <is>
          <t>COMPLEMENT INFORMATIONS ENTITES INDIVIDUELLES</t>
        </is>
      </c>
    </row>
    <row r="8" ht="52.5" customHeight="1" s="1225">
      <c r="A8" s="1017" t="n"/>
      <c r="B8" s="1018" t="n"/>
      <c r="C8" s="1018" t="n"/>
      <c r="D8" s="1018" t="n"/>
      <c r="E8" s="1953" t="inlineStr">
        <is>
          <t>EXPLOITANTS INDIVIDUELS</t>
        </is>
      </c>
      <c r="F8" s="1509" t="n"/>
      <c r="G8" s="1509" t="n"/>
      <c r="H8" s="1018" t="n"/>
      <c r="I8" s="1018" t="n"/>
      <c r="J8" s="1019" t="n"/>
      <c r="K8" s="1508" t="inlineStr">
        <is>
          <t>N° note / ref
autres parties
des états financiers</t>
        </is>
      </c>
      <c r="L8" s="1448" t="n"/>
      <c r="M8" s="1448" t="n"/>
      <c r="N8" s="1448" t="n"/>
    </row>
    <row r="9" ht="30" customHeight="1" s="1225">
      <c r="A9" s="1951" t="inlineStr">
        <is>
          <t xml:space="preserve"> APPORTS FINANCIERS AU COURS EXERCICE</t>
        </is>
      </c>
      <c r="B9" s="1420" t="n"/>
      <c r="C9" s="1420" t="n"/>
      <c r="D9" s="1420" t="n"/>
      <c r="E9" s="1420" t="n"/>
      <c r="F9" s="1420" t="n"/>
      <c r="G9" s="1420" t="n"/>
      <c r="H9" s="1411" t="n"/>
      <c r="I9" s="1949" t="n"/>
      <c r="J9" s="1396" t="n"/>
      <c r="K9" s="1020" t="n"/>
      <c r="L9" s="1448" t="n"/>
      <c r="M9" s="1448" t="n"/>
      <c r="N9" s="1448" t="n"/>
    </row>
    <row r="10" ht="30" customHeight="1" s="1225">
      <c r="A10" s="1951" t="inlineStr">
        <is>
          <t xml:space="preserve"> PRELEVEMENTS FINANCIERS AU COURS EXERCICE</t>
        </is>
      </c>
      <c r="B10" s="1420" t="n"/>
      <c r="C10" s="1420" t="n"/>
      <c r="D10" s="1420" t="n"/>
      <c r="E10" s="1420" t="n"/>
      <c r="F10" s="1420" t="n"/>
      <c r="G10" s="1420" t="n"/>
      <c r="H10" s="1411" t="n"/>
      <c r="I10" s="1949" t="n"/>
      <c r="J10" s="1396" t="n"/>
      <c r="K10" s="1020" t="n"/>
      <c r="L10" s="1448" t="n"/>
      <c r="M10" s="1448" t="n"/>
      <c r="N10" s="1448" t="n"/>
    </row>
    <row r="11" ht="30" customHeight="1" s="1225">
      <c r="A11" s="1951" t="inlineStr">
        <is>
          <t xml:space="preserve"> AVANTAGES EN NATURE VALEUR REELLE</t>
        </is>
      </c>
      <c r="B11" s="1420" t="n"/>
      <c r="C11" s="1420" t="n"/>
      <c r="D11" s="1420" t="n"/>
      <c r="E11" s="1420" t="n"/>
      <c r="F11" s="1420" t="n"/>
      <c r="G11" s="1420" t="n"/>
      <c r="H11" s="1411" t="n"/>
      <c r="I11" s="1949" t="n"/>
      <c r="J11" s="1396" t="n"/>
      <c r="K11" s="1020" t="n"/>
      <c r="L11" s="1448" t="n"/>
      <c r="M11" s="1448" t="n"/>
      <c r="N11" s="1448" t="n"/>
    </row>
    <row r="12" ht="30" customHeight="1" s="1225" thickBot="1">
      <c r="A12" s="1950" t="inlineStr">
        <is>
          <t xml:space="preserve"> REMUNERATIONS CONJOINT EXPLOITANT</t>
        </is>
      </c>
      <c r="B12" s="1527" t="n"/>
      <c r="C12" s="1527" t="n"/>
      <c r="D12" s="1527" t="n"/>
      <c r="E12" s="1527" t="n"/>
      <c r="F12" s="1527" t="n"/>
      <c r="G12" s="1527" t="n"/>
      <c r="H12" s="1528" t="n"/>
      <c r="I12" s="1952" t="n"/>
      <c r="J12" s="1416" t="n"/>
      <c r="K12" s="1021" t="n"/>
      <c r="L12" s="1448" t="n"/>
      <c r="M12" s="1448" t="n"/>
      <c r="N12" s="1448" t="n"/>
    </row>
  </sheetData>
  <mergeCells count="17">
    <mergeCell ref="A12:H12"/>
    <mergeCell ref="A9:H9"/>
    <mergeCell ref="I12:J12"/>
    <mergeCell ref="J2:K2"/>
    <mergeCell ref="A7:K7"/>
    <mergeCell ref="I10:J10"/>
    <mergeCell ref="E8:G8"/>
    <mergeCell ref="A10:H10"/>
    <mergeCell ref="C6:F6"/>
    <mergeCell ref="I11:J11"/>
    <mergeCell ref="H5:I5"/>
    <mergeCell ref="C3:K3"/>
    <mergeCell ref="A11:H11"/>
    <mergeCell ref="C5:F5"/>
    <mergeCell ref="A1:K1"/>
    <mergeCell ref="I9:J9"/>
    <mergeCell ref="B4:I4"/>
  </mergeCells>
  <dataValidations count="1">
    <dataValidation sqref="I9:J12"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5"/>
</worksheet>
</file>

<file path=xl/worksheets/sheet77.xml><?xml version="1.0" encoding="utf-8"?>
<worksheet xmlns="http://schemas.openxmlformats.org/spreadsheetml/2006/main">
  <sheetPr>
    <tabColor theme="4" tint="0.5999938962981048"/>
    <outlinePr summaryBelow="1" summaryRight="1"/>
    <pageSetUpPr fitToPage="1"/>
  </sheetPr>
  <dimension ref="A1:K15"/>
  <sheetViews>
    <sheetView showGridLines="0" zoomScaleNormal="100" workbookViewId="0">
      <selection activeCell="B14" sqref="B14"/>
    </sheetView>
  </sheetViews>
  <sheetFormatPr baseColWidth="10" defaultRowHeight="15"/>
  <cols>
    <col width="4.28515625" customWidth="1" style="1225" min="1" max="1"/>
    <col width="34.42578125" customWidth="1" style="1225" min="2" max="2"/>
    <col width="10.28515625" customWidth="1" style="1225" min="3" max="3"/>
    <col width="15.140625" bestFit="1" customWidth="1" style="1225" min="4" max="4"/>
    <col width="15.7109375" customWidth="1" style="1225" min="5" max="5"/>
    <col width="14.7109375" customWidth="1" style="1467" min="6" max="6"/>
    <col width="13.7109375" bestFit="1" customWidth="1" style="1225" min="7" max="7"/>
    <col width="15.5703125" customWidth="1" style="1225" min="8" max="8"/>
    <col width="15.42578125" customWidth="1" style="1225" min="9" max="9"/>
    <col width="17.28515625" customWidth="1" style="1225" min="10" max="10"/>
    <col hidden="1" width="18" customWidth="1" style="1225" min="11" max="11"/>
  </cols>
  <sheetData>
    <row r="1">
      <c r="A1" s="1429" t="n"/>
    </row>
    <row r="2" ht="34.9" customHeight="1" s="1225">
      <c r="A2" s="307" t="n"/>
      <c r="B2" s="307" t="n"/>
      <c r="C2" s="1429" t="n"/>
      <c r="D2" s="1429" t="n"/>
      <c r="E2" s="1429" t="n"/>
      <c r="F2" s="1429" t="n"/>
      <c r="G2" s="1429" t="n"/>
      <c r="I2" s="1961" t="inlineStr">
        <is>
          <t>ETAT SUPPLEMENTAIRE N°8</t>
        </is>
      </c>
      <c r="J2" s="1411" t="n"/>
    </row>
    <row r="3" ht="21.95" customFormat="1" customHeight="1" s="1382">
      <c r="A3" s="1451" t="inlineStr">
        <is>
          <t>Dénomination sociale de l'entité :</t>
        </is>
      </c>
      <c r="B3" s="355" t="n"/>
      <c r="C3" s="355" t="n"/>
      <c r="D3" s="355" t="n"/>
      <c r="E3" s="355" t="n"/>
      <c r="F3" s="355" t="n"/>
      <c r="G3" s="355" t="n"/>
      <c r="H3" s="355" t="n"/>
      <c r="I3" s="355" t="n"/>
      <c r="J3" s="355" t="n"/>
      <c r="K3" s="355" t="n"/>
    </row>
    <row r="4" ht="15" customFormat="1" customHeight="1" s="1382">
      <c r="A4" s="1451" t="inlineStr">
        <is>
          <t>Adresse :</t>
        </is>
      </c>
      <c r="C4" s="355">
        <f>'[1]Liste ETATS SUPPL DGI'!B4</f>
        <v/>
      </c>
      <c r="D4" s="355" t="n"/>
      <c r="E4" s="355" t="n"/>
      <c r="F4" s="355" t="n"/>
      <c r="G4" s="355" t="n"/>
      <c r="H4" s="355" t="n"/>
      <c r="I4" s="1589" t="inlineStr">
        <is>
          <t>Sigle usuel :</t>
        </is>
      </c>
      <c r="J4" s="355" t="n"/>
      <c r="K4" s="355" t="n"/>
    </row>
    <row r="5" ht="15" customFormat="1" customHeight="1" s="1382">
      <c r="A5" s="1451" t="inlineStr">
        <is>
          <t>N° IFU :</t>
        </is>
      </c>
      <c r="C5" s="1276">
        <f>'[1]Liste ETATS SUPPL DGI'!C5</f>
        <v/>
      </c>
      <c r="D5" s="1277" t="n"/>
      <c r="E5" s="1277" t="n"/>
      <c r="F5" s="1277" t="n"/>
      <c r="G5" s="1451" t="inlineStr">
        <is>
          <t>Exercice clos le :</t>
        </is>
      </c>
      <c r="H5" s="1209">
        <f>'[1]Liste ETATS SUPPL DGI'!F5</f>
        <v/>
      </c>
      <c r="I5" s="1589" t="inlineStr">
        <is>
          <t>Durée (en mois) :</t>
        </is>
      </c>
      <c r="J5" s="1285">
        <f>'[1]Liste ETATS SUPPL DGI'!I5</f>
        <v/>
      </c>
      <c r="K5" s="1277" t="n"/>
    </row>
    <row r="6" ht="15" customFormat="1" customHeight="1" s="1382">
      <c r="A6" s="259" t="inlineStr">
        <is>
          <t xml:space="preserve">N° de télédéclarant (NES): </t>
        </is>
      </c>
      <c r="C6" s="1520">
        <f>'[1]Liste ETATS SUPPL DGI'!C6</f>
        <v/>
      </c>
      <c r="D6" s="1521" t="n"/>
      <c r="E6" s="1521" t="n"/>
      <c r="F6" s="1521" t="n"/>
      <c r="G6" s="253" t="n"/>
      <c r="H6" s="253" t="n"/>
      <c r="I6" s="1970" t="n"/>
      <c r="J6" s="1970" t="n"/>
    </row>
    <row r="7" ht="30" customHeight="1" s="1225" thickBot="1">
      <c r="A7" s="1341" t="inlineStr">
        <is>
          <t xml:space="preserve">TABLEAU  DES IMMOBILISATIONS ET DES AMORTISSEMENTS </t>
        </is>
      </c>
    </row>
    <row r="8" ht="14.45" customHeight="1" s="1225">
      <c r="B8" s="1963" t="inlineStr">
        <is>
          <t>DESIGNATION DES IMMOBILISATIONS</t>
        </is>
      </c>
      <c r="C8" s="1954" t="inlineStr">
        <is>
          <t>ACQUISITIONS</t>
        </is>
      </c>
      <c r="D8" s="1573" t="n"/>
      <c r="E8" s="1954" t="inlineStr">
        <is>
          <t>AMORTISEMENTS DE L'EXERCICE</t>
        </is>
      </c>
      <c r="F8" s="1475" t="n"/>
      <c r="G8" s="1573" t="n"/>
      <c r="H8" s="1954" t="inlineStr">
        <is>
          <t>Amortissement 
antérieur</t>
        </is>
      </c>
      <c r="I8" s="1962" t="inlineStr">
        <is>
          <t>Amortissement total</t>
        </is>
      </c>
      <c r="J8" s="1957" t="inlineStr">
        <is>
          <t>Valeur résiduelle</t>
        </is>
      </c>
    </row>
    <row r="9" ht="14.45" customHeight="1" s="1225">
      <c r="B9" s="1964" t="n"/>
      <c r="C9" s="1960" t="n"/>
      <c r="D9" s="1743" t="n"/>
      <c r="E9" s="1960" t="n"/>
      <c r="F9" s="1792" t="n"/>
      <c r="G9" s="1743" t="n"/>
      <c r="H9" s="1955" t="n"/>
      <c r="I9" s="1955" t="n"/>
      <c r="J9" s="1958" t="n"/>
    </row>
    <row r="10" ht="27" customHeight="1" s="1225">
      <c r="B10" s="1965" t="n"/>
      <c r="C10" s="1155" t="inlineStr">
        <is>
          <t>MOIS / ANNEE</t>
        </is>
      </c>
      <c r="D10" s="1197" t="inlineStr">
        <is>
          <t>Prix de revient</t>
        </is>
      </c>
      <c r="E10" s="1198" t="inlineStr">
        <is>
          <t>Taux</t>
        </is>
      </c>
      <c r="F10" s="1199" t="inlineStr">
        <is>
          <t>Nbre de mois</t>
        </is>
      </c>
      <c r="G10" s="1200" t="inlineStr">
        <is>
          <t>Dotation annuelle</t>
        </is>
      </c>
      <c r="H10" s="1956" t="n"/>
      <c r="I10" s="1956" t="n"/>
      <c r="J10" s="1959" t="n"/>
    </row>
    <row r="11" ht="21.6" customHeight="1" s="1225">
      <c r="B11" s="1151" t="n"/>
      <c r="C11" s="1149" t="n"/>
      <c r="D11" s="1150" t="n"/>
      <c r="E11" s="1152" t="n"/>
      <c r="F11" s="1149" t="n"/>
      <c r="G11" s="1153" t="n"/>
      <c r="H11" s="1154" t="n"/>
      <c r="I11" s="1155" t="n"/>
      <c r="J11" s="1156" t="n"/>
    </row>
    <row r="12">
      <c r="B12" s="1161" t="n"/>
      <c r="C12" s="1157" t="n"/>
      <c r="D12" s="1164" t="n"/>
      <c r="E12" s="1201" t="n"/>
      <c r="F12" s="1202" t="n"/>
      <c r="G12" s="1158" t="n"/>
      <c r="H12" s="1221" t="n"/>
      <c r="I12" s="1158" t="n"/>
      <c r="J12" s="1162" t="n"/>
    </row>
    <row r="13">
      <c r="B13" s="1161" t="n"/>
      <c r="C13" s="1157" t="n"/>
      <c r="D13" s="1164" t="n"/>
      <c r="E13" s="1201" t="n"/>
      <c r="F13" s="1202" t="n"/>
      <c r="G13" s="1158" t="n"/>
      <c r="H13" s="1221" t="n"/>
      <c r="I13" s="1158" t="n"/>
      <c r="J13" s="1162" t="n"/>
    </row>
    <row r="14">
      <c r="B14" s="1161" t="n"/>
      <c r="C14" s="1157" t="n"/>
      <c r="D14" s="1164" t="n"/>
      <c r="E14" s="1201" t="n"/>
      <c r="F14" s="1202" t="n"/>
      <c r="G14" s="1158" t="n"/>
      <c r="H14" s="1221" t="n"/>
      <c r="I14" s="1158" t="n"/>
      <c r="J14" s="1162" t="n"/>
    </row>
    <row r="15">
      <c r="B15" s="1159" t="inlineStr">
        <is>
          <t>SOUS TOTAL</t>
        </is>
      </c>
      <c r="C15" s="1160" t="n"/>
      <c r="D15" s="1160" t="n"/>
      <c r="E15" s="1203" t="n"/>
      <c r="F15" s="1203" t="n"/>
      <c r="G15" s="1160" t="n"/>
      <c r="H15" s="1160" t="n"/>
      <c r="I15" s="1160" t="n"/>
      <c r="J15" s="1163" t="n"/>
    </row>
  </sheetData>
  <mergeCells count="12">
    <mergeCell ref="C8:D9"/>
    <mergeCell ref="J5:K5"/>
    <mergeCell ref="I2:J2"/>
    <mergeCell ref="A7:K7"/>
    <mergeCell ref="C6:F6"/>
    <mergeCell ref="E8:G9"/>
    <mergeCell ref="I8:I10"/>
    <mergeCell ref="B8:B10"/>
    <mergeCell ref="C5:F5"/>
    <mergeCell ref="A1:K1"/>
    <mergeCell ref="H8:H10"/>
    <mergeCell ref="J8:J10"/>
  </mergeCells>
  <printOptions horizontalCentered="1"/>
  <pageMargins left="0.3149606299212598" right="0.3149606299212598" top="0.3543307086614174" bottom="0.3543307086614174" header="0.3149606299212598" footer="0.3149606299212598"/>
  <pageSetup orientation="landscape" paperSize="9" scale="84" fitToHeight="3"/>
</worksheet>
</file>

<file path=xl/worksheets/sheet78.xml><?xml version="1.0" encoding="utf-8"?>
<worksheet xmlns="http://schemas.openxmlformats.org/spreadsheetml/2006/main">
  <sheetPr codeName="Feuil76">
    <tabColor theme="4" tint="0.5999938962981048"/>
    <outlinePr summaryBelow="1" summaryRight="1"/>
    <pageSetUpPr fitToPage="1"/>
  </sheetPr>
  <dimension ref="A1:Q15"/>
  <sheetViews>
    <sheetView showGridLines="0" topLeftCell="A7" workbookViewId="0">
      <selection activeCell="B14" sqref="B14"/>
    </sheetView>
  </sheetViews>
  <sheetFormatPr baseColWidth="10" defaultRowHeight="15"/>
  <cols>
    <col width="10.28515625" customWidth="1" style="1225" min="1" max="1"/>
    <col width="18.85546875" customWidth="1" style="1225" min="2" max="2"/>
    <col width="6" customWidth="1" style="1225" min="3" max="3"/>
    <col width="8.42578125" customWidth="1" style="1225" min="4" max="17"/>
  </cols>
  <sheetData>
    <row r="1">
      <c r="A1" s="1429" t="inlineStr">
        <is>
          <t>- 0 -</t>
        </is>
      </c>
    </row>
    <row r="2" ht="18" customHeight="1" s="1225">
      <c r="A2" s="307" t="n"/>
      <c r="B2" s="307" t="n"/>
      <c r="C2" s="1429" t="n"/>
      <c r="D2" s="1429" t="n"/>
      <c r="E2" s="1429" t="n"/>
      <c r="F2" s="1429" t="n"/>
      <c r="G2" s="1429" t="n"/>
      <c r="N2" s="29" t="n"/>
      <c r="O2" s="1968" t="inlineStr">
        <is>
          <t>ETAT SUPPLEMENTAIRE N°9</t>
        </is>
      </c>
      <c r="P2" s="1445" t="n"/>
      <c r="Q2" s="1446" t="n"/>
    </row>
    <row r="3" ht="15" customFormat="1" customHeight="1" s="1382">
      <c r="A3" s="1451" t="inlineStr">
        <is>
          <t>Dénomination sociale de l'entité :</t>
        </is>
      </c>
      <c r="B3" s="135" t="n"/>
      <c r="C3" s="1488">
        <f>'Liste ETATS SUPPL DGI'!C3</f>
        <v/>
      </c>
      <c r="D3" s="1288" t="n"/>
      <c r="E3" s="1288" t="n"/>
      <c r="F3" s="1288" t="n"/>
      <c r="G3" s="1288" t="n"/>
      <c r="H3" s="1288" t="n"/>
      <c r="I3" s="1288" t="n"/>
      <c r="J3" s="1288" t="n"/>
      <c r="K3" s="1288" t="n"/>
      <c r="L3" s="1288" t="n"/>
      <c r="M3" s="1288" t="n"/>
      <c r="N3" s="1288" t="n"/>
      <c r="O3" s="1288" t="n"/>
      <c r="P3" s="1288" t="n"/>
      <c r="Q3" s="1288" t="n"/>
    </row>
    <row r="4" ht="15" customFormat="1" customHeight="1" s="1382">
      <c r="A4" s="1451" t="inlineStr">
        <is>
          <t>Adresse :</t>
        </is>
      </c>
      <c r="B4" s="1488">
        <f>'Liste ETATS SUPPL DGI'!B4</f>
        <v/>
      </c>
      <c r="C4" s="1288" t="n"/>
      <c r="D4" s="1288" t="n"/>
      <c r="E4" s="1288" t="n"/>
      <c r="F4" s="1288" t="n"/>
      <c r="G4" s="1288" t="n"/>
      <c r="H4" s="1288" t="n"/>
      <c r="I4" s="1288" t="n"/>
      <c r="J4" s="1288" t="n"/>
      <c r="K4" s="1288" t="n"/>
      <c r="L4" s="1288" t="n"/>
      <c r="M4" s="1288" t="n"/>
      <c r="N4" s="1457" t="inlineStr">
        <is>
          <t>Sigle usuel :</t>
        </is>
      </c>
      <c r="P4" s="1488">
        <f>SUPPL8!J4</f>
        <v/>
      </c>
      <c r="Q4" s="1288" t="n"/>
    </row>
    <row r="5" ht="15" customFormat="1" customHeight="1" s="1382">
      <c r="A5" s="1451" t="inlineStr">
        <is>
          <t>N° IFU :</t>
        </is>
      </c>
      <c r="C5" s="1488">
        <f>'Liste ETATS SUPPL DGI'!C5</f>
        <v/>
      </c>
      <c r="D5" s="1288" t="n"/>
      <c r="E5" s="1288" t="n"/>
      <c r="F5" s="1288" t="n"/>
      <c r="G5" s="1288" t="n"/>
      <c r="H5" s="1288" t="n"/>
      <c r="I5" s="1457" t="inlineStr">
        <is>
          <t>Exercice clos le :</t>
        </is>
      </c>
      <c r="K5" s="1634" t="n"/>
      <c r="L5" s="1288" t="n"/>
      <c r="M5" s="1288" t="n"/>
      <c r="N5" s="1457" t="inlineStr">
        <is>
          <t>Durée (en mois) :</t>
        </is>
      </c>
      <c r="P5" s="1970">
        <f>'Liste ETATS SUPPL DGI'!I5</f>
        <v/>
      </c>
      <c r="Q5" s="1288" t="n"/>
    </row>
    <row r="6" ht="15" customFormat="1" customHeight="1" s="1382">
      <c r="A6" s="259" t="inlineStr">
        <is>
          <t xml:space="preserve">N° de télédéclarant (NES): </t>
        </is>
      </c>
      <c r="C6" s="1488">
        <f>'Liste ETATS SUPPL DGI'!C6</f>
        <v/>
      </c>
      <c r="D6" s="1288" t="n"/>
      <c r="E6" s="1288" t="n"/>
      <c r="F6" s="1288" t="n"/>
      <c r="G6" s="253" t="n"/>
      <c r="H6" s="253" t="n"/>
      <c r="I6" s="1970" t="n"/>
      <c r="J6" s="1970" t="n"/>
      <c r="K6" s="258" t="n"/>
      <c r="L6" s="254" t="n"/>
      <c r="M6" s="1970" t="n"/>
      <c r="N6" s="1970" t="n"/>
      <c r="O6" s="1970" t="n"/>
      <c r="P6" s="254" t="n"/>
      <c r="Q6" s="254" t="n"/>
    </row>
    <row r="7" ht="30" customHeight="1" s="1225" thickBot="1">
      <c r="A7" s="1341" t="inlineStr">
        <is>
          <t>DETAIL DES FRAIS ACCESSOIRES SUR ACHATS</t>
        </is>
      </c>
    </row>
    <row r="8" ht="56.25" customFormat="1" customHeight="1" s="9">
      <c r="A8" s="1630" t="n"/>
      <c r="B8" s="1509" t="n"/>
      <c r="C8" s="1562" t="n"/>
      <c r="D8" s="1523" t="inlineStr">
        <is>
          <t>Achats de marchandises</t>
        </is>
      </c>
      <c r="E8" s="1562" t="n"/>
      <c r="F8" s="1523" t="inlineStr">
        <is>
          <t>Achats de
matières premières
et fournitures liées</t>
        </is>
      </c>
      <c r="G8" s="1562" t="n"/>
      <c r="H8" s="1523" t="inlineStr">
        <is>
          <t>Achats stockés
de matières et
fournitures
consommables</t>
        </is>
      </c>
      <c r="I8" s="1562" t="n"/>
      <c r="J8" s="1523" t="inlineStr">
        <is>
          <t>Achats
d'emballages</t>
        </is>
      </c>
      <c r="K8" s="1562" t="n"/>
      <c r="L8" s="1523" t="inlineStr">
        <is>
          <t>Autres achats</t>
        </is>
      </c>
      <c r="M8" s="1562" t="n"/>
      <c r="N8" s="1523" t="inlineStr">
        <is>
          <t>Total rubriques</t>
        </is>
      </c>
      <c r="O8" s="1562" t="n"/>
      <c r="P8" s="1523" t="inlineStr">
        <is>
          <t>Immobilisations</t>
        </is>
      </c>
      <c r="Q8" s="1562" t="n"/>
    </row>
    <row r="9" ht="21" customFormat="1" customHeight="1" s="10">
      <c r="A9" s="1553" t="inlineStr">
        <is>
          <t>Droits de douane</t>
        </is>
      </c>
      <c r="B9" s="1420" t="n"/>
      <c r="C9" s="1411" t="n"/>
      <c r="D9" s="1966" t="n"/>
      <c r="E9" s="1396" t="n"/>
      <c r="F9" s="1966" t="n"/>
      <c r="G9" s="1396" t="n"/>
      <c r="H9" s="1966" t="n"/>
      <c r="I9" s="1396" t="n"/>
      <c r="J9" s="1966" t="n"/>
      <c r="K9" s="1396" t="n"/>
      <c r="L9" s="1966" t="n"/>
      <c r="M9" s="1396" t="n"/>
      <c r="N9" s="1969">
        <f>SUM(D9:M9)</f>
        <v/>
      </c>
      <c r="O9" s="1411" t="n"/>
      <c r="P9" s="1966" t="n"/>
      <c r="Q9" s="1396" t="n"/>
    </row>
    <row r="10" ht="21" customFormat="1" customHeight="1" s="10">
      <c r="A10" s="1553" t="inlineStr">
        <is>
          <t>Frets et transports sur achats</t>
        </is>
      </c>
      <c r="B10" s="1420" t="n"/>
      <c r="C10" s="1411" t="n"/>
      <c r="D10" s="1966" t="n"/>
      <c r="E10" s="1396" t="n"/>
      <c r="F10" s="1966" t="n"/>
      <c r="G10" s="1396" t="n"/>
      <c r="H10" s="1966" t="n"/>
      <c r="I10" s="1396" t="n"/>
      <c r="J10" s="1966" t="n"/>
      <c r="K10" s="1396" t="n"/>
      <c r="L10" s="1966" t="n"/>
      <c r="M10" s="1396" t="n"/>
      <c r="N10" s="1969">
        <f>SUM(D10:M10)</f>
        <v/>
      </c>
      <c r="O10" s="1411" t="n"/>
      <c r="P10" s="1966" t="n"/>
      <c r="Q10" s="1396" t="n"/>
    </row>
    <row r="11" ht="21" customFormat="1" customHeight="1" s="10">
      <c r="A11" s="1553" t="inlineStr">
        <is>
          <t>Assurances transport sur achats</t>
        </is>
      </c>
      <c r="B11" s="1420" t="n"/>
      <c r="C11" s="1411" t="n"/>
      <c r="D11" s="1966" t="n"/>
      <c r="E11" s="1396" t="n"/>
      <c r="F11" s="1966" t="n"/>
      <c r="G11" s="1396" t="n"/>
      <c r="H11" s="1966" t="n"/>
      <c r="I11" s="1396" t="n"/>
      <c r="J11" s="1966" t="n"/>
      <c r="K11" s="1396" t="n"/>
      <c r="L11" s="1966" t="n"/>
      <c r="M11" s="1396" t="n"/>
      <c r="N11" s="1969">
        <f>SUM(D11:M11)</f>
        <v/>
      </c>
      <c r="O11" s="1411" t="n"/>
      <c r="P11" s="1966" t="n"/>
      <c r="Q11" s="1396" t="n"/>
    </row>
    <row r="12" ht="21" customFormat="1" customHeight="1" s="10">
      <c r="A12" s="1553" t="inlineStr">
        <is>
          <t>Commissions et courtages sur achats</t>
        </is>
      </c>
      <c r="B12" s="1420" t="n"/>
      <c r="C12" s="1411" t="n"/>
      <c r="D12" s="1966" t="n"/>
      <c r="E12" s="1396" t="n"/>
      <c r="F12" s="1966" t="n"/>
      <c r="G12" s="1396" t="n"/>
      <c r="H12" s="1966" t="n"/>
      <c r="I12" s="1396" t="n"/>
      <c r="J12" s="1966" t="n"/>
      <c r="K12" s="1396" t="n"/>
      <c r="L12" s="1966" t="n"/>
      <c r="M12" s="1396" t="n"/>
      <c r="N12" s="1969">
        <f>SUM(D12:M12)</f>
        <v/>
      </c>
      <c r="O12" s="1411" t="n"/>
      <c r="P12" s="1966" t="n"/>
      <c r="Q12" s="1396" t="n"/>
    </row>
    <row r="13" ht="21" customFormat="1" customHeight="1" s="10">
      <c r="A13" s="1553" t="inlineStr">
        <is>
          <t>Rémunération du transitaire</t>
        </is>
      </c>
      <c r="B13" s="1420" t="n"/>
      <c r="C13" s="1411" t="n"/>
      <c r="D13" s="1966" t="n"/>
      <c r="E13" s="1396" t="n"/>
      <c r="F13" s="1966" t="n"/>
      <c r="G13" s="1396" t="n"/>
      <c r="H13" s="1966" t="n"/>
      <c r="I13" s="1396" t="n"/>
      <c r="J13" s="1966" t="n"/>
      <c r="K13" s="1396" t="n"/>
      <c r="L13" s="1966" t="n"/>
      <c r="M13" s="1396" t="n"/>
      <c r="N13" s="1969">
        <f>SUM(D13:M13)</f>
        <v/>
      </c>
      <c r="O13" s="1411" t="n"/>
      <c r="P13" s="1966" t="n"/>
      <c r="Q13" s="1396" t="n"/>
    </row>
    <row r="14" ht="21" customFormat="1" customHeight="1" s="10">
      <c r="A14" s="1553" t="inlineStr">
        <is>
          <t>Autres frais accessoires d'achat</t>
        </is>
      </c>
      <c r="B14" s="1420" t="n"/>
      <c r="C14" s="1411" t="n"/>
      <c r="D14" s="1966" t="n"/>
      <c r="E14" s="1396" t="n"/>
      <c r="F14" s="1966" t="n"/>
      <c r="G14" s="1396" t="n"/>
      <c r="H14" s="1966" t="n"/>
      <c r="I14" s="1396" t="n"/>
      <c r="J14" s="1966" t="n"/>
      <c r="K14" s="1396" t="n"/>
      <c r="L14" s="1966" t="n"/>
      <c r="M14" s="1396" t="n"/>
      <c r="N14" s="1969">
        <f>SUM(D14:M14)</f>
        <v/>
      </c>
      <c r="O14" s="1411" t="n"/>
      <c r="P14" s="1966" t="n"/>
      <c r="Q14" s="1396" t="n"/>
    </row>
    <row r="15" ht="21" customFormat="1" customHeight="1" s="10" thickBot="1">
      <c r="A15" s="1971" t="inlineStr">
        <is>
          <t>Total frais accessoires d'achats</t>
        </is>
      </c>
      <c r="B15" s="1527" t="n"/>
      <c r="C15" s="1528" t="n"/>
      <c r="D15" s="1967">
        <f>SUM(D9:E14)</f>
        <v/>
      </c>
      <c r="E15" s="1528" t="n"/>
      <c r="F15" s="1972">
        <f>SUM(F9:G14)</f>
        <v/>
      </c>
      <c r="G15" s="1528" t="n"/>
      <c r="H15" s="1967">
        <f>SUM(H9:I14)</f>
        <v/>
      </c>
      <c r="I15" s="1528" t="n"/>
      <c r="J15" s="1967">
        <f>SUM(J9:K14)</f>
        <v/>
      </c>
      <c r="K15" s="1528" t="n"/>
      <c r="L15" s="1967">
        <f>SUM(L9:M14)</f>
        <v/>
      </c>
      <c r="M15" s="1528" t="n"/>
      <c r="N15" s="1967">
        <f>SUM(N9:O14)</f>
        <v/>
      </c>
      <c r="O15" s="1528" t="n"/>
      <c r="P15" s="1967">
        <f>SUM(P9:Q14)</f>
        <v/>
      </c>
      <c r="Q15" s="1528" t="n"/>
    </row>
  </sheetData>
  <mergeCells count="77">
    <mergeCell ref="N11:O11"/>
    <mergeCell ref="H10:I10"/>
    <mergeCell ref="J10:K10"/>
    <mergeCell ref="H9:I9"/>
    <mergeCell ref="J9:K9"/>
    <mergeCell ref="L12:M12"/>
    <mergeCell ref="F15:G15"/>
    <mergeCell ref="N12:O12"/>
    <mergeCell ref="D13:E13"/>
    <mergeCell ref="C6:F6"/>
    <mergeCell ref="N5:O5"/>
    <mergeCell ref="L14:M14"/>
    <mergeCell ref="N14:O14"/>
    <mergeCell ref="F13:G13"/>
    <mergeCell ref="P13:Q13"/>
    <mergeCell ref="H13:I13"/>
    <mergeCell ref="N15:O15"/>
    <mergeCell ref="P15:Q15"/>
    <mergeCell ref="K5:M5"/>
    <mergeCell ref="H15:I15"/>
    <mergeCell ref="D10:E10"/>
    <mergeCell ref="F10:G10"/>
    <mergeCell ref="P10:Q10"/>
    <mergeCell ref="A12:C12"/>
    <mergeCell ref="P9:Q9"/>
    <mergeCell ref="D11:E11"/>
    <mergeCell ref="A14:C14"/>
    <mergeCell ref="A7:Q7"/>
    <mergeCell ref="P11:Q11"/>
    <mergeCell ref="H11:I11"/>
    <mergeCell ref="A13:C13"/>
    <mergeCell ref="J11:K11"/>
    <mergeCell ref="A15:C15"/>
    <mergeCell ref="B4:M4"/>
    <mergeCell ref="N13:O13"/>
    <mergeCell ref="D9:E9"/>
    <mergeCell ref="F9:G9"/>
    <mergeCell ref="H12:I12"/>
    <mergeCell ref="J12:K12"/>
    <mergeCell ref="D15:E15"/>
    <mergeCell ref="P14:Q14"/>
    <mergeCell ref="H14:I14"/>
    <mergeCell ref="N4:O4"/>
    <mergeCell ref="P4:Q4"/>
    <mergeCell ref="L8:M8"/>
    <mergeCell ref="N8:O8"/>
    <mergeCell ref="F8:G8"/>
    <mergeCell ref="L10:M10"/>
    <mergeCell ref="N10:O10"/>
    <mergeCell ref="C3:Q3"/>
    <mergeCell ref="L9:M9"/>
    <mergeCell ref="D12:E12"/>
    <mergeCell ref="N9:O9"/>
    <mergeCell ref="P12:Q12"/>
    <mergeCell ref="C5:H5"/>
    <mergeCell ref="D14:E14"/>
    <mergeCell ref="L11:M11"/>
    <mergeCell ref="F14:G14"/>
    <mergeCell ref="P5:Q5"/>
    <mergeCell ref="F11:G11"/>
    <mergeCell ref="J14:K14"/>
    <mergeCell ref="J13:K13"/>
    <mergeCell ref="A1:Q1"/>
    <mergeCell ref="L13:M13"/>
    <mergeCell ref="F12:G12"/>
    <mergeCell ref="A8:C8"/>
    <mergeCell ref="J15:K15"/>
    <mergeCell ref="P8:Q8"/>
    <mergeCell ref="L15:M15"/>
    <mergeCell ref="O2:Q2"/>
    <mergeCell ref="A10:C10"/>
    <mergeCell ref="A9:C9"/>
    <mergeCell ref="I5:J5"/>
    <mergeCell ref="D8:E8"/>
    <mergeCell ref="A11:C11"/>
    <mergeCell ref="H8:I8"/>
    <mergeCell ref="J8:K8"/>
  </mergeCells>
  <dataValidations count="1">
    <dataValidation sqref="D9:M14 P9:Q14"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landscape" paperSize="9" scale="91"/>
</worksheet>
</file>

<file path=xl/worksheets/sheet79.xml><?xml version="1.0" encoding="utf-8"?>
<worksheet xmlns="http://schemas.openxmlformats.org/spreadsheetml/2006/main">
  <sheetPr codeName="Feuil77">
    <tabColor theme="4" tint="0.5999938962981048"/>
    <outlinePr summaryBelow="1" summaryRight="1"/>
    <pageSetUpPr fitToPage="1"/>
  </sheetPr>
  <dimension ref="A1:H27"/>
  <sheetViews>
    <sheetView showGridLines="0" zoomScaleNormal="100" workbookViewId="0">
      <selection activeCell="B14" sqref="B14"/>
    </sheetView>
  </sheetViews>
  <sheetFormatPr baseColWidth="10" defaultRowHeight="15"/>
  <cols>
    <col width="17.7109375" customWidth="1" style="1225" min="2" max="2"/>
    <col width="4.7109375" customWidth="1" style="1225" min="4" max="4"/>
    <col width="13.7109375" customWidth="1" style="1225" min="5" max="5"/>
    <col width="18.140625" customWidth="1" style="1225" min="7" max="8"/>
  </cols>
  <sheetData>
    <row r="1">
      <c r="A1" s="1429" t="inlineStr">
        <is>
          <t>- 0 -</t>
        </is>
      </c>
    </row>
    <row r="2" ht="18" customHeight="1" s="1225">
      <c r="A2" s="1976" t="n"/>
      <c r="C2" s="1429" t="n"/>
      <c r="D2" s="1429" t="n"/>
      <c r="E2" s="1429" t="n"/>
      <c r="F2" s="1429" t="n"/>
      <c r="G2" s="1978" t="inlineStr">
        <is>
          <t>ETAT SUPPLEMENTAIRE N°10</t>
        </is>
      </c>
      <c r="H2" s="1411" t="n"/>
    </row>
    <row r="3" ht="21.95" customFormat="1" customHeight="1" s="1382">
      <c r="A3" s="1451" t="inlineStr">
        <is>
          <t>Dénomination sociale de l'entité :</t>
        </is>
      </c>
      <c r="B3" s="135" t="n"/>
      <c r="C3" s="1276">
        <f>'Liste ETATS SUPPL DGI'!C3</f>
        <v/>
      </c>
      <c r="D3" s="1277" t="n"/>
      <c r="E3" s="1277" t="n"/>
      <c r="F3" s="1277" t="n"/>
      <c r="G3" s="1277" t="n"/>
      <c r="H3" s="1277" t="n"/>
    </row>
    <row r="4" ht="15" customFormat="1" customHeight="1" s="1382">
      <c r="A4" s="1451" t="inlineStr">
        <is>
          <t>Adresse :</t>
        </is>
      </c>
      <c r="B4" s="1276">
        <f>'Liste ETATS SUPPL DGI'!B4</f>
        <v/>
      </c>
      <c r="C4" s="1277" t="n"/>
      <c r="D4" s="1277" t="n"/>
      <c r="E4" s="1277" t="n"/>
      <c r="F4" s="1277" t="n"/>
      <c r="G4" s="1589" t="inlineStr">
        <is>
          <t>Sigle usuel :</t>
        </is>
      </c>
      <c r="H4" s="1285">
        <f>SUPPL9!P4</f>
        <v/>
      </c>
    </row>
    <row r="5" ht="15" customFormat="1" customHeight="1" s="1382">
      <c r="A5" s="1451" t="inlineStr">
        <is>
          <t>N° IFU :</t>
        </is>
      </c>
      <c r="C5" s="1280">
        <f>'Liste ETATS SUPPL DGI'!C5</f>
        <v/>
      </c>
      <c r="D5" s="1279" t="n"/>
      <c r="E5" s="1589" t="inlineStr">
        <is>
          <t>Exercice clos le :</t>
        </is>
      </c>
      <c r="F5" s="1563" t="n"/>
      <c r="G5" s="1589" t="inlineStr">
        <is>
          <t>Durée (en mois) :</t>
        </is>
      </c>
      <c r="H5" s="1285">
        <f>'Liste ETATS SUPPL DGI'!I5</f>
        <v/>
      </c>
    </row>
    <row r="6" ht="15" customFormat="1" customHeight="1" s="1382">
      <c r="A6" s="259" t="inlineStr">
        <is>
          <t xml:space="preserve">N° de télédéclarant (NES): </t>
        </is>
      </c>
      <c r="C6" s="1520">
        <f>'Liste ETATS SUPPL DGI'!C6</f>
        <v/>
      </c>
      <c r="D6" s="1521" t="n"/>
      <c r="E6" s="254" t="n"/>
      <c r="F6" s="1970" t="n"/>
      <c r="G6" s="254" t="n"/>
      <c r="H6" s="1970" t="n"/>
    </row>
    <row r="7" ht="42" customHeight="1" s="1225" thickBot="1">
      <c r="A7" s="1284" t="inlineStr">
        <is>
          <t xml:space="preserve">DETAIL DES AVANTAGES EN NATURE  
ALLOUES AU PERSONNEL </t>
        </is>
      </c>
    </row>
    <row r="8" ht="36" customHeight="1" s="1225">
      <c r="A8" s="1975" t="n"/>
      <c r="B8" s="1509" t="n"/>
      <c r="C8" s="1509" t="n"/>
      <c r="D8" s="1509" t="n"/>
      <c r="E8" s="1509" t="n"/>
      <c r="F8" s="1562" t="n"/>
      <c r="G8" s="1022" t="inlineStr">
        <is>
          <t>Forfait (Barème)
F.CFA</t>
        </is>
      </c>
      <c r="H8" s="1023" t="inlineStr">
        <is>
          <t>Montant réel
F.CFA</t>
        </is>
      </c>
    </row>
    <row r="9" ht="20.25" customFormat="1" customHeight="1" s="649">
      <c r="A9" s="1974" t="inlineStr">
        <is>
          <t>Loyers de logement du personnel</t>
        </is>
      </c>
      <c r="B9" s="1420" t="n"/>
      <c r="C9" s="1420" t="n"/>
      <c r="D9" s="1420" t="n"/>
      <c r="E9" s="1420" t="n"/>
      <c r="F9" s="1411" t="n"/>
      <c r="G9" s="648" t="n"/>
      <c r="H9" s="1024" t="n"/>
    </row>
    <row r="10" ht="20.25" customFormat="1" customHeight="1" s="649">
      <c r="A10" s="1974" t="inlineStr">
        <is>
          <t>Bâtiment de logement mis à la disposition du personnel</t>
        </is>
      </c>
      <c r="B10" s="1420" t="n"/>
      <c r="C10" s="1420" t="n"/>
      <c r="D10" s="1420" t="n"/>
      <c r="E10" s="1420" t="n"/>
      <c r="F10" s="1411" t="n"/>
      <c r="G10" s="648" t="n"/>
      <c r="H10" s="1024" t="n"/>
    </row>
    <row r="11" ht="20.25" customFormat="1" customHeight="1" s="649">
      <c r="A11" s="1974" t="inlineStr">
        <is>
          <t>Eau logement du personnel</t>
        </is>
      </c>
      <c r="B11" s="1420" t="n"/>
      <c r="C11" s="1420" t="n"/>
      <c r="D11" s="1420" t="n"/>
      <c r="E11" s="1420" t="n"/>
      <c r="F11" s="1411" t="n"/>
      <c r="G11" s="648" t="n"/>
      <c r="H11" s="1024" t="n"/>
    </row>
    <row r="12" ht="20.25" customFormat="1" customHeight="1" s="649">
      <c r="A12" s="1974" t="inlineStr">
        <is>
          <t>Electricité logement du personnel</t>
        </is>
      </c>
      <c r="B12" s="1420" t="n"/>
      <c r="C12" s="1420" t="n"/>
      <c r="D12" s="1420" t="n"/>
      <c r="E12" s="1420" t="n"/>
      <c r="F12" s="1411" t="n"/>
      <c r="G12" s="648" t="n"/>
      <c r="H12" s="1024" t="n"/>
    </row>
    <row r="13" ht="20.25" customFormat="1" customHeight="1" s="649">
      <c r="A13" s="1974" t="inlineStr">
        <is>
          <t>Télécommunication logement du personnel</t>
        </is>
      </c>
      <c r="B13" s="1420" t="n"/>
      <c r="C13" s="1420" t="n"/>
      <c r="D13" s="1420" t="n"/>
      <c r="E13" s="1420" t="n"/>
      <c r="F13" s="1411" t="n"/>
      <c r="G13" s="648" t="n"/>
      <c r="H13" s="1024" t="n"/>
    </row>
    <row r="14" ht="20.25" customFormat="1" customHeight="1" s="649">
      <c r="A14" s="1974" t="inlineStr">
        <is>
          <t>Frais de téléphone mobile</t>
        </is>
      </c>
      <c r="B14" s="1420" t="n"/>
      <c r="C14" s="1420" t="n"/>
      <c r="D14" s="1420" t="n"/>
      <c r="E14" s="1420" t="n"/>
      <c r="F14" s="1411" t="n"/>
      <c r="G14" s="648" t="n"/>
      <c r="H14" s="1024" t="n"/>
    </row>
    <row r="15" ht="20.25" customFormat="1" customHeight="1" s="649">
      <c r="A15" s="1974" t="inlineStr">
        <is>
          <t>Gardiennage logement du personnel</t>
        </is>
      </c>
      <c r="B15" s="1420" t="n"/>
      <c r="C15" s="1420" t="n"/>
      <c r="D15" s="1420" t="n"/>
      <c r="E15" s="1420" t="n"/>
      <c r="F15" s="1411" t="n"/>
      <c r="G15" s="648" t="n"/>
      <c r="H15" s="1024" t="n"/>
    </row>
    <row r="16" ht="20.25" customFormat="1" customHeight="1" s="649">
      <c r="A16" s="1974" t="inlineStr">
        <is>
          <t>Voyages congés personnel</t>
        </is>
      </c>
      <c r="B16" s="1420" t="n"/>
      <c r="C16" s="1420" t="n"/>
      <c r="D16" s="1420" t="n"/>
      <c r="E16" s="1420" t="n"/>
      <c r="F16" s="1411" t="n"/>
      <c r="G16" s="648" t="n"/>
      <c r="H16" s="1024" t="n"/>
    </row>
    <row r="17" ht="20.25" customFormat="1" customHeight="1" s="649">
      <c r="A17" s="1974" t="inlineStr">
        <is>
          <t>Matériels de transport mis à disposition du personnel</t>
        </is>
      </c>
      <c r="B17" s="1420" t="n"/>
      <c r="C17" s="1420" t="n"/>
      <c r="D17" s="1420" t="n"/>
      <c r="E17" s="1420" t="n"/>
      <c r="F17" s="1411" t="n"/>
      <c r="G17" s="648" t="n"/>
      <c r="H17" s="1024" t="n"/>
    </row>
    <row r="18" ht="20.25" customHeight="1" s="1225">
      <c r="A18" s="1979" t="inlineStr">
        <is>
          <t>Autres à préciser</t>
        </is>
      </c>
      <c r="B18" s="1420" t="n"/>
      <c r="C18" s="1420" t="n"/>
      <c r="D18" s="1420" t="n"/>
      <c r="E18" s="1420" t="n"/>
      <c r="F18" s="1411" t="n"/>
      <c r="G18" s="169" t="n"/>
      <c r="H18" s="1025" t="n"/>
    </row>
    <row r="19" ht="20.25" customHeight="1" s="1225">
      <c r="A19" s="1973" t="n"/>
      <c r="B19" s="1420" t="n"/>
      <c r="C19" s="1420" t="n"/>
      <c r="D19" s="1420" t="n"/>
      <c r="E19" s="1420" t="n"/>
      <c r="F19" s="1411" t="n"/>
      <c r="G19" s="169" t="n"/>
      <c r="H19" s="1025" t="n"/>
    </row>
    <row r="20" ht="20.25" customHeight="1" s="1225">
      <c r="A20" s="1973" t="n"/>
      <c r="B20" s="1420" t="n"/>
      <c r="C20" s="1420" t="n"/>
      <c r="D20" s="1420" t="n"/>
      <c r="E20" s="1420" t="n"/>
      <c r="F20" s="1411" t="n"/>
      <c r="G20" s="169" t="n"/>
      <c r="H20" s="1025" t="n"/>
    </row>
    <row r="21" ht="20.25" customHeight="1" s="1225">
      <c r="A21" s="1973" t="n"/>
      <c r="B21" s="1420" t="n"/>
      <c r="C21" s="1420" t="n"/>
      <c r="D21" s="1420" t="n"/>
      <c r="E21" s="1420" t="n"/>
      <c r="F21" s="1411" t="n"/>
      <c r="G21" s="169" t="n"/>
      <c r="H21" s="1025" t="n"/>
    </row>
    <row r="22" ht="20.25" customHeight="1" s="1225">
      <c r="A22" s="1973" t="n"/>
      <c r="B22" s="1420" t="n"/>
      <c r="C22" s="1420" t="n"/>
      <c r="D22" s="1420" t="n"/>
      <c r="E22" s="1420" t="n"/>
      <c r="F22" s="1411" t="n"/>
      <c r="G22" s="169" t="n"/>
      <c r="H22" s="1025" t="n"/>
    </row>
    <row r="23" ht="20.25" customHeight="1" s="1225">
      <c r="A23" s="1973" t="n"/>
      <c r="B23" s="1420" t="n"/>
      <c r="C23" s="1420" t="n"/>
      <c r="D23" s="1420" t="n"/>
      <c r="E23" s="1420" t="n"/>
      <c r="F23" s="1411" t="n"/>
      <c r="G23" s="169" t="n"/>
      <c r="H23" s="1025" t="n"/>
    </row>
    <row r="24" ht="20.25" customHeight="1" s="1225" thickBot="1">
      <c r="A24" s="1980" t="inlineStr">
        <is>
          <t>TOTAL (1)</t>
        </is>
      </c>
      <c r="B24" s="1527" t="n"/>
      <c r="C24" s="1527" t="n"/>
      <c r="D24" s="1528" t="n"/>
      <c r="E24" s="1977" t="n"/>
      <c r="F24" s="1528" t="n"/>
      <c r="G24" s="1026">
        <f>SUM(G9:G23)</f>
        <v/>
      </c>
      <c r="H24" s="1027">
        <f>SUM(H9:H23)</f>
        <v/>
      </c>
    </row>
    <row r="25" ht="3" customHeight="1" s="1225">
      <c r="A25" s="58" t="n"/>
      <c r="B25" s="58" t="n"/>
      <c r="C25" s="58" t="n"/>
      <c r="D25" s="58" t="n"/>
      <c r="E25" s="58" t="n"/>
      <c r="F25" s="58" t="n"/>
      <c r="G25" s="59" t="n"/>
      <c r="H25" s="59" t="n"/>
    </row>
    <row r="26">
      <c r="A26" s="650" t="n"/>
      <c r="B26" s="58" t="n"/>
      <c r="C26" s="58" t="n"/>
      <c r="D26" s="58" t="n"/>
      <c r="E26" s="58" t="n"/>
      <c r="F26" s="58" t="n"/>
      <c r="G26" s="59" t="n"/>
      <c r="H26" s="59" t="n"/>
    </row>
    <row r="27">
      <c r="A27" s="58" t="n"/>
      <c r="B27" s="58" t="n"/>
      <c r="C27" s="58" t="n"/>
      <c r="D27" s="58" t="n"/>
      <c r="E27" s="58" t="n"/>
      <c r="F27" s="58" t="n"/>
      <c r="G27" s="59" t="n"/>
      <c r="H27" s="59" t="n"/>
    </row>
  </sheetData>
  <mergeCells count="26">
    <mergeCell ref="B4:F4"/>
    <mergeCell ref="A16:F16"/>
    <mergeCell ref="C6:D6"/>
    <mergeCell ref="E24:F24"/>
    <mergeCell ref="G2:H2"/>
    <mergeCell ref="C5:D5"/>
    <mergeCell ref="A12:F12"/>
    <mergeCell ref="A18:F18"/>
    <mergeCell ref="A1:H1"/>
    <mergeCell ref="A21:F21"/>
    <mergeCell ref="A7:H7"/>
    <mergeCell ref="A14:F14"/>
    <mergeCell ref="A23:F23"/>
    <mergeCell ref="A8:F8"/>
    <mergeCell ref="A22:F22"/>
    <mergeCell ref="A17:F17"/>
    <mergeCell ref="A24:D24"/>
    <mergeCell ref="A20:F20"/>
    <mergeCell ref="A2:B2"/>
    <mergeCell ref="A10:F10"/>
    <mergeCell ref="A13:F13"/>
    <mergeCell ref="A19:F19"/>
    <mergeCell ref="A9:F9"/>
    <mergeCell ref="C3:H3"/>
    <mergeCell ref="A15:F15"/>
    <mergeCell ref="A11:F11"/>
  </mergeCells>
  <dataValidations count="1">
    <dataValidation sqref="G9:H23" showDropDown="0" showInputMessage="1" showErrorMessage="1" allowBlank="1" errorTitle="Attention!" error="Valeur numérique attendue" type="whole">
      <formula1>-9999999999999</formula1>
      <formula2>9999999999999</formula2>
    </dataValidation>
  </dataValidations>
  <printOptions horizontalCentered="1"/>
  <pageMargins left="0.3149606299212598" right="0.3149606299212598" top="0.3543307086614174" bottom="0.3543307086614174" header="0.3149606299212598" footer="0.3149606299212598"/>
  <pageSetup orientation="portrait" paperSize="9" scale="91"/>
</worksheet>
</file>

<file path=xl/worksheets/sheet80.xml><?xml version="1.0" encoding="utf-8"?>
<worksheet xmlns="http://schemas.openxmlformats.org/spreadsheetml/2006/main">
  <sheetPr codeName="Feuil78">
    <tabColor theme="4" tint="0.5999938962981048"/>
    <outlinePr summaryBelow="1" summaryRight="1"/>
    <pageSetUpPr fitToPage="1"/>
  </sheetPr>
  <dimension ref="A1:I29"/>
  <sheetViews>
    <sheetView showGridLines="0" zoomScaleNormal="100" workbookViewId="0">
      <selection activeCell="B14" sqref="B14"/>
    </sheetView>
  </sheetViews>
  <sheetFormatPr baseColWidth="10" defaultColWidth="11.42578125" defaultRowHeight="15"/>
  <cols>
    <col width="17" customWidth="1" style="1225" min="2" max="2"/>
    <col width="8" customWidth="1" style="1225" min="4" max="4"/>
    <col width="14.140625" customWidth="1" style="1225" min="5" max="5"/>
    <col width="7.42578125" customWidth="1" style="1225" min="7" max="7"/>
    <col width="15.28515625" customWidth="1" style="1225" min="8" max="8"/>
    <col width="20.7109375" customWidth="1" style="1225" min="9" max="9"/>
  </cols>
  <sheetData>
    <row r="1">
      <c r="A1" s="1429" t="inlineStr">
        <is>
          <t>- 0 -</t>
        </is>
      </c>
    </row>
    <row r="2" ht="18" customHeight="1" s="1225">
      <c r="A2" s="307" t="n"/>
      <c r="B2" s="307" t="n"/>
      <c r="C2" s="1429" t="n"/>
      <c r="D2" s="1429" t="n"/>
      <c r="E2" s="1429" t="n"/>
      <c r="F2" s="1429" t="n"/>
      <c r="H2" s="1978" t="inlineStr">
        <is>
          <t>ETAT SUPPLEMENTAIRE N°11</t>
        </is>
      </c>
      <c r="I2" s="1411" t="n"/>
    </row>
    <row r="3" ht="15" customFormat="1" customHeight="1" s="1382">
      <c r="A3" s="1451" t="inlineStr">
        <is>
          <t>Dénomination sociale de l'entité :</t>
        </is>
      </c>
      <c r="B3" s="135" t="n"/>
      <c r="C3" s="1488">
        <f>'Liste ETATS SUPPL DGI'!C3</f>
        <v/>
      </c>
      <c r="D3" s="1288" t="n"/>
      <c r="E3" s="1288" t="n"/>
      <c r="F3" s="1288" t="n"/>
      <c r="G3" s="1288" t="n"/>
      <c r="H3" s="1288" t="n"/>
      <c r="I3" s="1288" t="n"/>
    </row>
    <row r="4" ht="15" customFormat="1" customHeight="1" s="1382">
      <c r="A4" s="1451" t="inlineStr">
        <is>
          <t>Adresse :</t>
        </is>
      </c>
      <c r="B4" s="1488">
        <f>'Liste ETATS SUPPL DGI'!B4</f>
        <v/>
      </c>
      <c r="C4" s="1288" t="n"/>
      <c r="D4" s="1288" t="n"/>
      <c r="E4" s="1288" t="n"/>
      <c r="F4" s="1288" t="n"/>
      <c r="G4" s="1288" t="n"/>
      <c r="H4" s="1589" t="inlineStr">
        <is>
          <t>Sigle usuel :</t>
        </is>
      </c>
      <c r="I4" s="1285">
        <f>SUPPL10!H4</f>
        <v/>
      </c>
    </row>
    <row r="5" ht="15" customFormat="1" customHeight="1" s="1382">
      <c r="A5" s="1451" t="inlineStr">
        <is>
          <t>N° IFU :</t>
        </is>
      </c>
      <c r="C5" s="1276">
        <f>'Liste ETATS SUPPL DGI'!C5</f>
        <v/>
      </c>
      <c r="D5" s="1277" t="n"/>
      <c r="E5" s="1589" t="inlineStr">
        <is>
          <t>Exercice clos le :</t>
        </is>
      </c>
      <c r="F5" s="1502" t="n"/>
      <c r="G5" s="1346" t="n"/>
      <c r="H5" s="1589" t="inlineStr">
        <is>
          <t>Durée (en mois) :</t>
        </is>
      </c>
      <c r="I5" s="1285">
        <f>'Liste ETATS SUPPL DGI'!I5</f>
        <v/>
      </c>
    </row>
    <row r="6" ht="15" customFormat="1" customHeight="1" s="1382">
      <c r="A6" s="259" t="inlineStr">
        <is>
          <t xml:space="preserve">N° de télédéclarant (NES): </t>
        </is>
      </c>
      <c r="C6" s="1520">
        <f>'Liste ETATS SUPPL DGI'!C6</f>
        <v/>
      </c>
      <c r="D6" s="1521" t="n"/>
      <c r="E6" s="254" t="n"/>
      <c r="F6" s="1970" t="n"/>
      <c r="G6" s="1970" t="n"/>
      <c r="H6" s="254" t="n"/>
      <c r="I6" s="1970" t="n"/>
    </row>
    <row r="7" ht="42" customHeight="1" s="1225" thickBot="1">
      <c r="A7" s="1284" t="inlineStr">
        <is>
          <t>CREANCES &amp; DETTES ECHUES DE L'EXERCICE</t>
        </is>
      </c>
    </row>
    <row r="8" ht="19.5" customHeight="1" s="1225">
      <c r="A8" s="1986" t="inlineStr">
        <is>
          <t>CREANCES ECHUES DE L'EXERCICE</t>
        </is>
      </c>
      <c r="B8" s="1509" t="n"/>
      <c r="C8" s="1509" t="n"/>
      <c r="D8" s="1509" t="n"/>
      <c r="E8" s="1509" t="n"/>
      <c r="F8" s="1509" t="n"/>
      <c r="G8" s="1562" t="n"/>
      <c r="H8" s="1028" t="inlineStr">
        <is>
          <t>PRINCIPAL</t>
        </is>
      </c>
      <c r="I8" s="1029" t="inlineStr">
        <is>
          <t>INTERETS</t>
        </is>
      </c>
    </row>
    <row r="9">
      <c r="A9" s="1122" t="n"/>
      <c r="B9" s="1123" t="n"/>
      <c r="C9" s="1123" t="n"/>
      <c r="D9" s="1123" t="n"/>
      <c r="E9" s="1123" t="n"/>
      <c r="F9" s="1123" t="n"/>
      <c r="G9" s="1124" t="n"/>
      <c r="H9" s="397" t="n"/>
      <c r="I9" s="1030" t="n"/>
    </row>
    <row r="10">
      <c r="A10" s="1122" t="n"/>
      <c r="B10" s="1123" t="n"/>
      <c r="C10" s="1123" t="n"/>
      <c r="D10" s="1123" t="n"/>
      <c r="E10" s="1123" t="n"/>
      <c r="F10" s="1123" t="n"/>
      <c r="G10" s="1124" t="n"/>
      <c r="H10" s="397" t="n"/>
      <c r="I10" s="1031" t="n"/>
    </row>
    <row r="11">
      <c r="A11" s="1122" t="n"/>
      <c r="B11" s="1123" t="n"/>
      <c r="C11" s="1123" t="n"/>
      <c r="D11" s="1123" t="n"/>
      <c r="E11" s="1123" t="n"/>
      <c r="F11" s="1123" t="n"/>
      <c r="G11" s="1124" t="n"/>
      <c r="H11" s="397" t="n"/>
      <c r="I11" s="1031" t="n"/>
    </row>
    <row r="12">
      <c r="A12" s="1122" t="n"/>
      <c r="B12" s="1123" t="n"/>
      <c r="C12" s="1123" t="n"/>
      <c r="D12" s="1123" t="n"/>
      <c r="E12" s="1123" t="n"/>
      <c r="F12" s="1123" t="n"/>
      <c r="G12" s="1124" t="n"/>
      <c r="H12" s="397" t="n"/>
      <c r="I12" s="1031" t="n"/>
    </row>
    <row r="13">
      <c r="A13" s="1122" t="n"/>
      <c r="B13" s="1123" t="n"/>
      <c r="C13" s="1123" t="n"/>
      <c r="D13" s="1123" t="n"/>
      <c r="E13" s="1123" t="n"/>
      <c r="F13" s="1123" t="n"/>
      <c r="G13" s="1124" t="n"/>
      <c r="H13" s="397" t="n"/>
      <c r="I13" s="1031" t="n"/>
    </row>
    <row r="14">
      <c r="A14" s="1122" t="n"/>
      <c r="B14" s="1123" t="n"/>
      <c r="C14" s="1123" t="n"/>
      <c r="D14" s="1123" t="n"/>
      <c r="E14" s="1123" t="n"/>
      <c r="F14" s="1123" t="n"/>
      <c r="G14" s="1124" t="n"/>
      <c r="H14" s="397" t="n"/>
      <c r="I14" s="1031" t="n"/>
    </row>
    <row r="15">
      <c r="A15" s="1981" t="n"/>
      <c r="B15" s="1395" t="n"/>
      <c r="C15" s="1395" t="n"/>
      <c r="D15" s="1395" t="n"/>
      <c r="E15" s="1395" t="n"/>
      <c r="F15" s="1395" t="n"/>
      <c r="G15" s="1396" t="n"/>
      <c r="H15" s="397" t="n"/>
      <c r="I15" s="1031" t="n"/>
    </row>
    <row r="16">
      <c r="A16" s="1981" t="n"/>
      <c r="B16" s="1395" t="n"/>
      <c r="C16" s="1395" t="n"/>
      <c r="D16" s="1395" t="n"/>
      <c r="E16" s="1395" t="n"/>
      <c r="F16" s="1395" t="n"/>
      <c r="G16" s="1396" t="n"/>
      <c r="H16" s="397" t="n"/>
      <c r="I16" s="1031" t="n"/>
    </row>
    <row r="17">
      <c r="A17" s="1981" t="n"/>
      <c r="B17" s="1395" t="n"/>
      <c r="C17" s="1395" t="n"/>
      <c r="D17" s="1395" t="n"/>
      <c r="E17" s="1395" t="n"/>
      <c r="F17" s="1395" t="n"/>
      <c r="G17" s="1396" t="n"/>
      <c r="H17" s="397" t="n"/>
      <c r="I17" s="1031" t="n"/>
    </row>
    <row r="18">
      <c r="A18" s="1982" t="n"/>
      <c r="B18" s="1944" t="n"/>
      <c r="C18" s="1944" t="n"/>
      <c r="D18" s="1944" t="n"/>
      <c r="E18" s="1944" t="n"/>
      <c r="F18" s="1944" t="n"/>
      <c r="G18" s="1947" t="n"/>
      <c r="H18" s="398" t="n"/>
      <c r="I18" s="1032" t="n"/>
    </row>
    <row r="19" ht="19.5" customHeight="1" s="1225">
      <c r="A19" s="1985" t="inlineStr">
        <is>
          <t>DETTES ECHUES DE L'EXERCICE</t>
        </is>
      </c>
      <c r="B19" s="1420" t="n"/>
      <c r="C19" s="1420" t="n"/>
      <c r="D19" s="1420" t="n"/>
      <c r="E19" s="1420" t="n"/>
      <c r="F19" s="1420" t="n"/>
      <c r="G19" s="1411" t="n"/>
      <c r="H19" s="399" t="inlineStr">
        <is>
          <t>PRINCIPAL</t>
        </is>
      </c>
      <c r="I19" s="1033" t="inlineStr">
        <is>
          <t>INTERETS</t>
        </is>
      </c>
    </row>
    <row r="20">
      <c r="A20" s="1983" t="n"/>
      <c r="B20" s="1608" t="n"/>
      <c r="C20" s="1608" t="n"/>
      <c r="D20" s="1608" t="n"/>
      <c r="E20" s="1608" t="n"/>
      <c r="F20" s="1608" t="n"/>
      <c r="G20" s="1655" t="n"/>
      <c r="H20" s="396" t="n"/>
      <c r="I20" s="1030" t="n"/>
    </row>
    <row r="21">
      <c r="A21" s="1981" t="n"/>
      <c r="B21" s="1395" t="n"/>
      <c r="C21" s="1395" t="n"/>
      <c r="D21" s="1395" t="n"/>
      <c r="E21" s="1395" t="n"/>
      <c r="F21" s="1395" t="n"/>
      <c r="G21" s="1396" t="n"/>
      <c r="H21" s="397" t="n"/>
      <c r="I21" s="1031" t="n"/>
    </row>
    <row r="22">
      <c r="A22" s="1987" t="n"/>
      <c r="B22" s="1395" t="n"/>
      <c r="C22" s="1395" t="n"/>
      <c r="D22" s="1395" t="n"/>
      <c r="E22" s="1395" t="n"/>
      <c r="F22" s="1395" t="n"/>
      <c r="G22" s="1396" t="n"/>
      <c r="H22" s="1646" t="n"/>
      <c r="I22" s="1034" t="n"/>
    </row>
    <row r="23">
      <c r="A23" s="1981" t="n"/>
      <c r="B23" s="1395" t="n"/>
      <c r="C23" s="1395" t="n"/>
      <c r="D23" s="1395" t="n"/>
      <c r="E23" s="1395" t="n"/>
      <c r="F23" s="1395" t="n"/>
      <c r="G23" s="1396" t="n"/>
      <c r="H23" s="397" t="n"/>
      <c r="I23" s="1031" t="n"/>
    </row>
    <row r="24">
      <c r="A24" s="1981" t="n"/>
      <c r="B24" s="1395" t="n"/>
      <c r="C24" s="1395" t="n"/>
      <c r="D24" s="1395" t="n"/>
      <c r="E24" s="1395" t="n"/>
      <c r="F24" s="1395" t="n"/>
      <c r="G24" s="1396" t="n"/>
      <c r="H24" s="397" t="n"/>
      <c r="I24" s="1031" t="n"/>
    </row>
    <row r="25">
      <c r="A25" s="1981" t="n"/>
      <c r="B25" s="1395" t="n"/>
      <c r="C25" s="1395" t="n"/>
      <c r="D25" s="1395" t="n"/>
      <c r="E25" s="1395" t="n"/>
      <c r="F25" s="1395" t="n"/>
      <c r="G25" s="1396" t="n"/>
      <c r="H25" s="397" t="n"/>
      <c r="I25" s="1031" t="n"/>
    </row>
    <row r="26">
      <c r="A26" s="1981" t="n"/>
      <c r="B26" s="1395" t="n"/>
      <c r="C26" s="1395" t="n"/>
      <c r="D26" s="1395" t="n"/>
      <c r="E26" s="1395" t="n"/>
      <c r="F26" s="1395" t="n"/>
      <c r="G26" s="1396" t="n"/>
      <c r="H26" s="397" t="n"/>
      <c r="I26" s="1031" t="n"/>
    </row>
    <row r="27">
      <c r="A27" s="1981" t="n"/>
      <c r="B27" s="1395" t="n"/>
      <c r="C27" s="1395" t="n"/>
      <c r="D27" s="1395" t="n"/>
      <c r="E27" s="1395" t="n"/>
      <c r="F27" s="1395" t="n"/>
      <c r="G27" s="1396" t="n"/>
      <c r="H27" s="397" t="n"/>
      <c r="I27" s="1031" t="n"/>
    </row>
    <row r="28">
      <c r="A28" s="1981" t="n"/>
      <c r="B28" s="1395" t="n"/>
      <c r="C28" s="1395" t="n"/>
      <c r="D28" s="1395" t="n"/>
      <c r="E28" s="1395" t="n"/>
      <c r="F28" s="1395" t="n"/>
      <c r="G28" s="1396" t="n"/>
      <c r="H28" s="397" t="n"/>
      <c r="I28" s="1031" t="n"/>
    </row>
    <row r="29" ht="15" customHeight="1" s="1225" thickBot="1">
      <c r="A29" s="1984" t="n"/>
      <c r="B29" s="1389" t="n"/>
      <c r="C29" s="1389" t="n"/>
      <c r="D29" s="1389" t="n"/>
      <c r="E29" s="1389" t="n"/>
      <c r="F29" s="1389" t="n"/>
      <c r="G29" s="1416" t="n"/>
      <c r="H29" s="1035" t="n"/>
      <c r="I29" s="1036" t="n"/>
    </row>
  </sheetData>
  <mergeCells count="24">
    <mergeCell ref="A7:I7"/>
    <mergeCell ref="C6:D6"/>
    <mergeCell ref="A17:G17"/>
    <mergeCell ref="A8:G8"/>
    <mergeCell ref="A22:G22"/>
    <mergeCell ref="C5:D5"/>
    <mergeCell ref="A20:G20"/>
    <mergeCell ref="A29:G29"/>
    <mergeCell ref="A19:G19"/>
    <mergeCell ref="A28:G28"/>
    <mergeCell ref="C3:I3"/>
    <mergeCell ref="F5:G5"/>
    <mergeCell ref="A24:G24"/>
    <mergeCell ref="A15:G15"/>
    <mergeCell ref="H2:I2"/>
    <mergeCell ref="B4:G4"/>
    <mergeCell ref="A16:G16"/>
    <mergeCell ref="A25:G25"/>
    <mergeCell ref="A18:G18"/>
    <mergeCell ref="A27:G27"/>
    <mergeCell ref="A21:G21"/>
    <mergeCell ref="A1:I1"/>
    <mergeCell ref="A26:G26"/>
    <mergeCell ref="A23:G23"/>
  </mergeCells>
  <dataValidations count="1">
    <dataValidation sqref="H9:I18 H20:I29" showDropDown="0" showInputMessage="1" showErrorMessage="1" allowBlank="1" errorTitle="Attention!" error="Valeur numérique attendue" type="whole">
      <formula1>-9999999999999</formula1>
      <formula2>9999999999999</formula2>
    </dataValidation>
  </dataValidations>
  <printOptions horizontalCentered="1"/>
  <pageMargins left="0.3937007874015748" right="0.3937007874015748" top="0.3543307086614174" bottom="0.3543307086614174" header="0.3149606299212598" footer="0.3149606299212598"/>
  <pageSetup orientation="portrait" paperSize="9" scale="81"/>
</worksheet>
</file>

<file path=xl/worksheets/sheet81.xml><?xml version="1.0" encoding="utf-8"?>
<worksheet xmlns="http://schemas.openxmlformats.org/spreadsheetml/2006/main">
  <sheetPr>
    <tabColor theme="4" tint="0.5999938962981048"/>
    <outlinePr summaryBelow="1" summaryRight="1"/>
    <pageSetUpPr fitToPage="1"/>
  </sheetPr>
  <dimension ref="A1:M16"/>
  <sheetViews>
    <sheetView showGridLines="0" zoomScale="90" zoomScaleNormal="90" workbookViewId="0">
      <selection activeCell="B14" sqref="B14"/>
    </sheetView>
  </sheetViews>
  <sheetFormatPr baseColWidth="10" defaultRowHeight="15"/>
  <cols>
    <col width="29.85546875" customWidth="1" style="1225" min="1" max="1"/>
    <col width="9.42578125" customWidth="1" style="1225" min="2" max="2"/>
    <col width="10.5703125" customWidth="1" style="1225" min="3" max="3"/>
    <col width="21" bestFit="1" customWidth="1" style="1225" min="4" max="4"/>
    <col width="12.28515625" bestFit="1" customWidth="1" style="1225" min="5" max="5"/>
    <col width="8.7109375" bestFit="1" customWidth="1" style="1225" min="6" max="6"/>
    <col width="22" bestFit="1" customWidth="1" style="1225" min="7" max="7"/>
    <col width="17.140625" bestFit="1" customWidth="1" style="1225" min="8" max="9"/>
    <col width="20.42578125" customWidth="1" style="1225" min="10" max="10"/>
    <col width="17.140625" customWidth="1" style="1992" min="11" max="11"/>
    <col width="16.7109375" bestFit="1" customWidth="1" style="1225" min="12" max="12"/>
    <col width="9.7109375" customWidth="1" style="1225" min="13" max="13"/>
    <col width="17.7109375" bestFit="1" customWidth="1" style="1225" min="15" max="15"/>
    <col width="12.5703125" bestFit="1" customWidth="1" style="1225" min="16" max="17"/>
    <col width="12.5703125" bestFit="1" customWidth="1" style="1225" min="19" max="19"/>
  </cols>
  <sheetData>
    <row r="1" ht="15" customHeight="1" s="1225" thickBot="1">
      <c r="A1" s="1429" t="inlineStr">
        <is>
          <t>- 0 -</t>
        </is>
      </c>
    </row>
    <row r="2" ht="18" customHeight="1" s="1225" thickBot="1">
      <c r="A2" s="307" t="n"/>
      <c r="B2" s="307" t="n"/>
      <c r="C2" s="1429" t="n"/>
      <c r="D2" s="1429" t="n"/>
      <c r="E2" s="1429" t="n"/>
      <c r="F2" s="1429" t="n"/>
      <c r="G2" s="1429" t="n"/>
      <c r="I2" s="1989" t="inlineStr">
        <is>
          <t>ETAT SUPPLEMENTAIRE N°12</t>
        </is>
      </c>
      <c r="J2" s="1675" t="n"/>
      <c r="K2" s="1676" t="n"/>
      <c r="L2" s="664" t="n"/>
    </row>
    <row r="3" ht="21.95" customFormat="1" customHeight="1" s="1382">
      <c r="A3" s="1451" t="inlineStr">
        <is>
          <t>Dénomination sociale de l'entité :</t>
        </is>
      </c>
      <c r="B3" s="355" t="n"/>
      <c r="C3" s="1276">
        <f>'Liste ETATS SUPPL DGI'!C3</f>
        <v/>
      </c>
      <c r="D3" s="1277" t="n"/>
      <c r="E3" s="1277" t="n"/>
      <c r="F3" s="1277" t="n"/>
      <c r="G3" s="1277" t="n"/>
      <c r="H3" s="1277" t="n"/>
      <c r="I3" s="1277" t="n"/>
      <c r="J3" s="1277" t="n"/>
      <c r="K3" s="1140" t="n"/>
    </row>
    <row r="4" ht="15" customFormat="1" customHeight="1" s="1382">
      <c r="A4" s="1451" t="inlineStr">
        <is>
          <t>Adresse :</t>
        </is>
      </c>
      <c r="B4" s="1280">
        <f>'Liste ETATS SUPPL DGI'!B4</f>
        <v/>
      </c>
      <c r="C4" s="1279" t="n"/>
      <c r="D4" s="1279" t="n"/>
      <c r="E4" s="1279" t="n"/>
      <c r="F4" s="1279" t="n"/>
      <c r="G4" s="1279" t="n"/>
      <c r="H4" s="1279" t="n"/>
      <c r="I4" s="1589" t="inlineStr">
        <is>
          <t>Sigle usuel :</t>
        </is>
      </c>
      <c r="J4" s="1276">
        <f>'SUPPL  11'!I4</f>
        <v/>
      </c>
      <c r="K4" s="1140" t="n"/>
    </row>
    <row r="5" ht="15" customFormat="1" customHeight="1" s="1382">
      <c r="A5" s="1451" t="inlineStr">
        <is>
          <t>N° IFU :</t>
        </is>
      </c>
      <c r="B5" s="1712">
        <f>'Liste ETATS SUPPL DGI'!C5</f>
        <v/>
      </c>
      <c r="C5" s="1283" t="n"/>
      <c r="D5" s="672" t="n"/>
      <c r="E5" s="1993" t="inlineStr">
        <is>
          <t>Exercice clos le :</t>
        </is>
      </c>
      <c r="F5" s="1279" t="n"/>
      <c r="G5" s="1601" t="n"/>
      <c r="I5" s="1589" t="inlineStr">
        <is>
          <t>Durée (en mois) :</t>
        </is>
      </c>
      <c r="J5" s="1285">
        <f>'Liste ETATS SUPPL DGI'!I5</f>
        <v/>
      </c>
      <c r="K5" s="1140" t="n"/>
    </row>
    <row r="6" ht="15" customFormat="1" customHeight="1" s="1382">
      <c r="A6" s="259" t="inlineStr">
        <is>
          <t xml:space="preserve">N° de télédéclarant (NES): </t>
        </is>
      </c>
      <c r="C6" s="1712">
        <f>'Liste ETATS SUPPL DGI'!C6</f>
        <v/>
      </c>
      <c r="D6" s="1283" t="n"/>
      <c r="E6" s="1283" t="n"/>
      <c r="F6" s="1283" t="n"/>
      <c r="G6" s="1457" t="n"/>
      <c r="H6" s="135" t="n"/>
      <c r="I6" s="1589" t="n"/>
      <c r="J6" s="2030" t="n"/>
      <c r="K6" s="1140" t="n"/>
    </row>
    <row r="7" ht="30" customHeight="1" s="1225" thickBot="1">
      <c r="A7" s="1991" t="inlineStr">
        <is>
          <t>ETAT ANNUEL DES SALAIRES</t>
        </is>
      </c>
      <c r="L7" s="661" t="n"/>
      <c r="M7" s="661" t="n"/>
    </row>
    <row r="8" ht="36" customHeight="1" s="1225">
      <c r="A8" s="1994" t="inlineStr">
        <is>
          <t>DESIGNATION DES SALARIES</t>
        </is>
      </c>
      <c r="B8" s="1995" t="n"/>
      <c r="C8" s="1996" t="n"/>
      <c r="D8" s="1988" t="inlineStr">
        <is>
          <t>MONTANT des traitements ou Salaires bruts            4</t>
        </is>
      </c>
      <c r="E8" s="1988" t="inlineStr">
        <is>
          <t>NOMBRE de personnes à charge             5</t>
        </is>
      </c>
      <c r="F8" s="1988" t="inlineStr">
        <is>
          <t>PERIODE               6</t>
        </is>
      </c>
      <c r="G8" s="1988" t="inlineStr">
        <is>
          <t>MONTANT des allocations à la fonction                         7</t>
        </is>
      </c>
      <c r="H8" s="1988" t="inlineStr">
        <is>
          <t>INDEMNITE de logement              8</t>
        </is>
      </c>
      <c r="I8" s="1988" t="inlineStr">
        <is>
          <t>INDEMNITE de transport            9</t>
        </is>
      </c>
      <c r="J8" s="1988" t="inlineStr">
        <is>
          <t>RETENUES pour pension            11</t>
        </is>
      </c>
      <c r="K8" s="1990" t="inlineStr">
        <is>
          <t>RETENUES    IUTS                12</t>
        </is>
      </c>
    </row>
    <row r="9" ht="81" customFormat="1" customHeight="1" s="1590" thickBot="1">
      <c r="A9" s="662" t="inlineStr">
        <is>
          <t>NOM ET PRENOMS         1</t>
        </is>
      </c>
      <c r="B9" s="663" t="inlineStr">
        <is>
          <t>EMPLOI                                 2</t>
        </is>
      </c>
      <c r="C9" s="663" t="inlineStr">
        <is>
          <t>ADRESSE AU 1er JANVIER ou dernière adresse                                                       3</t>
        </is>
      </c>
      <c r="D9" s="1956" t="n"/>
      <c r="E9" s="1956" t="n"/>
      <c r="F9" s="1956" t="n"/>
      <c r="G9" s="1956" t="n"/>
      <c r="H9" s="1956" t="n"/>
      <c r="I9" s="1956" t="n"/>
      <c r="J9" s="1956" t="n"/>
      <c r="K9" s="1959" t="n"/>
    </row>
    <row r="10" customFormat="1" s="1590">
      <c r="A10" s="1210" t="n"/>
      <c r="B10" s="1184" t="inlineStr">
        <is>
          <t>AUTRE</t>
        </is>
      </c>
      <c r="C10" s="651" t="n"/>
      <c r="D10" s="1141" t="n"/>
      <c r="E10" s="1141" t="n"/>
      <c r="F10" s="1141" t="n"/>
      <c r="G10" s="1141" t="n"/>
      <c r="H10" s="1141" t="n"/>
      <c r="I10" s="1141" t="n"/>
      <c r="J10" s="1141" t="n"/>
      <c r="K10" s="1141" t="n"/>
    </row>
    <row r="11" customFormat="1" s="1590">
      <c r="A11" s="1211" t="n"/>
      <c r="B11" s="1184" t="inlineStr">
        <is>
          <t>CADRE</t>
        </is>
      </c>
      <c r="C11" s="651" t="n"/>
      <c r="D11" s="1141" t="n"/>
      <c r="E11" s="1141" t="n"/>
      <c r="F11" s="1141" t="n"/>
      <c r="G11" s="1141" t="n"/>
      <c r="H11" s="1141" t="n"/>
      <c r="I11" s="1141" t="n"/>
      <c r="J11" s="1141" t="n"/>
      <c r="K11" s="1141" t="n"/>
    </row>
    <row r="12" customFormat="1" s="1590">
      <c r="A12" s="1211" t="n"/>
      <c r="B12" s="1184" t="inlineStr">
        <is>
          <t>AUTRE</t>
        </is>
      </c>
      <c r="C12" s="651" t="n"/>
      <c r="D12" s="1141" t="n"/>
      <c r="E12" s="1141" t="n"/>
      <c r="F12" s="1141" t="n"/>
      <c r="G12" s="1141" t="n"/>
      <c r="H12" s="1141" t="n"/>
      <c r="I12" s="1141" t="n"/>
      <c r="J12" s="1141" t="n"/>
      <c r="K12" s="1141" t="n"/>
    </row>
    <row r="13" customFormat="1" s="1590">
      <c r="A13" s="1211" t="n"/>
      <c r="B13" s="1184" t="inlineStr">
        <is>
          <t>AUTRE</t>
        </is>
      </c>
      <c r="C13" s="651" t="n"/>
      <c r="D13" s="1141" t="n"/>
      <c r="E13" s="1141" t="n"/>
      <c r="F13" s="1141" t="n"/>
      <c r="G13" s="1141" t="n"/>
      <c r="H13" s="1141" t="n"/>
      <c r="I13" s="1141" t="n"/>
      <c r="J13" s="1141" t="n"/>
      <c r="K13" s="1141" t="n"/>
    </row>
    <row r="14">
      <c r="A14" s="1211" t="n"/>
      <c r="B14" s="1185" t="inlineStr">
        <is>
          <t>AUTRE</t>
        </is>
      </c>
      <c r="C14" s="2001" t="n"/>
      <c r="D14" s="1182" t="n"/>
      <c r="E14" s="1182" t="n"/>
      <c r="F14" s="1182" t="n"/>
      <c r="G14" s="1182" t="n"/>
      <c r="H14" s="1182" t="n"/>
      <c r="I14" s="1182" t="n"/>
      <c r="J14" s="1182" t="n"/>
      <c r="K14" s="1182" t="n"/>
    </row>
    <row r="15">
      <c r="A15" s="1212" t="n"/>
      <c r="B15" s="1186" t="n"/>
      <c r="C15" s="667" t="n"/>
      <c r="D15" s="667" t="n"/>
      <c r="E15" s="667" t="n"/>
      <c r="F15" s="667" t="n"/>
      <c r="G15" s="667" t="n"/>
      <c r="H15" s="667" t="n"/>
      <c r="I15" s="667" t="n"/>
      <c r="J15" s="667" t="n"/>
      <c r="K15" s="667" t="n"/>
    </row>
    <row r="16">
      <c r="A16" s="1212" t="n"/>
      <c r="B16" s="1186" t="n"/>
      <c r="C16" s="667" t="n"/>
      <c r="D16" s="1183">
        <f>SUM(D10:D15)</f>
        <v/>
      </c>
      <c r="E16" s="1183">
        <f>SUM(E10:E15)</f>
        <v/>
      </c>
      <c r="F16" s="1183">
        <f>SUM(F10:F15)</f>
        <v/>
      </c>
      <c r="G16" s="1183">
        <f>SUM(G10:G15)</f>
        <v/>
      </c>
      <c r="H16" s="1183">
        <f>SUM(H10:H15)</f>
        <v/>
      </c>
      <c r="I16" s="1183">
        <f>SUM(I10:I15)</f>
        <v/>
      </c>
      <c r="J16" s="1183">
        <f>SUM(J10:J15)</f>
        <v/>
      </c>
      <c r="K16" s="1183">
        <f>SUM(K10:K15)</f>
        <v/>
      </c>
    </row>
  </sheetData>
  <mergeCells count="17">
    <mergeCell ref="A1:J1"/>
    <mergeCell ref="C3:J3"/>
    <mergeCell ref="I2:K2"/>
    <mergeCell ref="E8:E9"/>
    <mergeCell ref="H8:H9"/>
    <mergeCell ref="I8:I9"/>
    <mergeCell ref="F8:F9"/>
    <mergeCell ref="G8:G9"/>
    <mergeCell ref="B4:H4"/>
    <mergeCell ref="B5:C5"/>
    <mergeCell ref="J8:J9"/>
    <mergeCell ref="K8:K9"/>
    <mergeCell ref="A7:K7"/>
    <mergeCell ref="D8:D9"/>
    <mergeCell ref="C6:F6"/>
    <mergeCell ref="E5:F5"/>
    <mergeCell ref="A8:C8"/>
  </mergeCells>
  <printOptions horizontalCentered="1"/>
  <pageMargins left="0.3149606299212598" right="0.3149606299212598" top="0.3543307086614174" bottom="0.3543307086614174" header="0.3149606299212598" footer="0.3149606299212598"/>
  <pageSetup orientation="portrait" paperSize="9" scale="45"/>
</worksheet>
</file>

<file path=xl/worksheets/sheet82.xml><?xml version="1.0" encoding="utf-8"?>
<worksheet xmlns="http://schemas.openxmlformats.org/spreadsheetml/2006/main">
  <sheetPr>
    <tabColor theme="4" tint="0.5999938962981048"/>
    <outlinePr summaryBelow="1" summaryRight="1"/>
    <pageSetUpPr/>
  </sheetPr>
  <dimension ref="A1:K24"/>
  <sheetViews>
    <sheetView workbookViewId="0">
      <selection activeCell="B14" sqref="B14"/>
    </sheetView>
  </sheetViews>
  <sheetFormatPr baseColWidth="10" defaultRowHeight="15"/>
  <cols>
    <col width="12.140625" customWidth="1" style="1225" min="1" max="1"/>
    <col width="15.28515625" customWidth="1" style="1225" min="2" max="2"/>
    <col width="8.28515625" customWidth="1" style="1225" min="3" max="3"/>
    <col width="6.5703125" customWidth="1" style="1225" min="4" max="4"/>
    <col width="9.42578125" customWidth="1" style="1225" min="5" max="5"/>
    <col width="5.140625" customWidth="1" style="1225" min="6" max="6"/>
    <col width="11.5703125" customWidth="1" style="1225" min="7" max="7"/>
    <col width="17.28515625" customWidth="1" style="1225" min="8" max="8"/>
    <col width="14.28515625" customWidth="1" style="1225" min="9" max="9"/>
    <col width="11.85546875" customWidth="1" style="1225" min="10" max="10"/>
    <col width="17.28515625" customWidth="1" style="1225" min="11" max="11"/>
  </cols>
  <sheetData>
    <row r="1" ht="15" customHeight="1" s="1225">
      <c r="A1" s="307" t="n"/>
      <c r="B1" s="1429" t="n"/>
      <c r="C1" s="1429" t="n"/>
      <c r="D1" s="1429" t="n"/>
      <c r="E1" s="1429" t="n"/>
      <c r="F1" s="1429" t="inlineStr">
        <is>
          <t>31</t>
        </is>
      </c>
      <c r="I1" s="1997" t="inlineStr">
        <is>
          <t>ETAT SUPPLEMENTAIRE N°13</t>
        </is>
      </c>
      <c r="J1" s="1796" t="n"/>
      <c r="K1" s="1507" t="n"/>
    </row>
    <row r="2">
      <c r="A2" s="1451" t="inlineStr">
        <is>
          <t>Dénomination sociale de l'entité :</t>
        </is>
      </c>
      <c r="C2" s="355">
        <f>SUPPL12!C3</f>
        <v/>
      </c>
      <c r="D2" s="355" t="n"/>
      <c r="E2" s="355" t="n"/>
      <c r="F2" s="355" t="n"/>
      <c r="G2" s="355" t="n"/>
      <c r="H2" s="355" t="n"/>
      <c r="I2" s="355" t="n"/>
      <c r="J2" s="355" t="n"/>
      <c r="K2" s="1382" t="n"/>
    </row>
    <row r="3">
      <c r="A3" s="1451" t="inlineStr">
        <is>
          <t>Adresse :</t>
        </is>
      </c>
      <c r="C3" s="672">
        <f>SUPPL12!B4</f>
        <v/>
      </c>
      <c r="D3" s="672" t="n"/>
      <c r="E3" s="672" t="n"/>
      <c r="F3" s="672" t="n"/>
      <c r="G3" s="672" t="n"/>
      <c r="J3" s="1450" t="inlineStr">
        <is>
          <t>Sigle usuel :</t>
        </is>
      </c>
      <c r="K3" s="1276">
        <f>SUPPL12!J4</f>
        <v/>
      </c>
    </row>
    <row r="4">
      <c r="A4" s="1451" t="inlineStr">
        <is>
          <t>N° IFU :</t>
        </is>
      </c>
      <c r="C4" s="2026">
        <f>SUPPL12!B5</f>
        <v/>
      </c>
      <c r="D4" s="672" t="n"/>
      <c r="F4" s="1597" t="inlineStr">
        <is>
          <t>Exercice clos le :</t>
        </is>
      </c>
      <c r="G4" s="1283" t="n"/>
      <c r="H4" s="1601">
        <f>SUPPL12!G5</f>
        <v/>
      </c>
      <c r="I4" s="1589" t="inlineStr">
        <is>
          <t>Durée (en mois) :</t>
        </is>
      </c>
      <c r="K4" s="1285">
        <f>SUPPL12!J5</f>
        <v/>
      </c>
    </row>
    <row r="5">
      <c r="A5" s="259" t="inlineStr">
        <is>
          <t xml:space="preserve">N° de télédéclarant (NES): </t>
        </is>
      </c>
      <c r="C5" s="2026">
        <f>SUPPL12!C6</f>
        <v/>
      </c>
      <c r="D5" s="2026" t="n"/>
      <c r="E5" s="2026" t="n"/>
      <c r="F5" s="1457" t="n"/>
      <c r="G5" s="135" t="n"/>
      <c r="H5" s="1589" t="n"/>
      <c r="I5" s="2030" t="n"/>
      <c r="J5" s="1382" t="n"/>
      <c r="K5" s="1382" t="n"/>
    </row>
    <row r="6" ht="15" customHeight="1" s="1225" thickBot="1">
      <c r="A6" s="2011" t="inlineStr">
        <is>
          <t>ETAT ANNUEL DES COMMISSIONS, VACATIONS, COURTAGES, RISTOURNES, HONORAIRES ET DROITS D'AUTEUR</t>
        </is>
      </c>
      <c r="B6" s="1303" t="n"/>
      <c r="C6" s="1303" t="n"/>
      <c r="D6" s="1303" t="n"/>
      <c r="E6" s="1303" t="n"/>
      <c r="F6" s="1303" t="n"/>
      <c r="G6" s="1303" t="n"/>
      <c r="H6" s="1303" t="n"/>
      <c r="I6" s="1303" t="n"/>
      <c r="J6" s="1303" t="n"/>
      <c r="K6" s="1303" t="n"/>
    </row>
    <row r="7" ht="21" customHeight="1" s="1225">
      <c r="A7" s="669" t="inlineStr">
        <is>
          <t xml:space="preserve">N° IFU </t>
        </is>
      </c>
      <c r="B7" s="1419" t="inlineStr">
        <is>
          <t>NOM, RAISON SOCIALE</t>
        </is>
      </c>
      <c r="C7" s="1420" t="n"/>
      <c r="D7" s="1411" t="n"/>
      <c r="E7" s="2007" t="inlineStr">
        <is>
          <t>TELEPHONE</t>
        </is>
      </c>
      <c r="F7" s="2008" t="n"/>
      <c r="G7" s="2007" t="inlineStr">
        <is>
          <t>NATURE DE L'OPERATION</t>
        </is>
      </c>
      <c r="H7" s="2008" t="n"/>
      <c r="I7" s="669" t="inlineStr">
        <is>
          <t>Montant annuel HTVA</t>
        </is>
      </c>
      <c r="J7" s="668" t="inlineStr">
        <is>
          <t>TVA</t>
        </is>
      </c>
      <c r="K7" s="1064" t="inlineStr">
        <is>
          <t>TOTAL TTC</t>
        </is>
      </c>
    </row>
    <row r="8" ht="15" customHeight="1" s="1225">
      <c r="A8" s="1096" t="n"/>
      <c r="B8" s="2000" t="n"/>
      <c r="C8" s="1796" t="n"/>
      <c r="D8" s="1507" t="n"/>
      <c r="E8" s="2010" t="n"/>
      <c r="F8" s="1743" t="n"/>
      <c r="G8" s="2004" t="n"/>
      <c r="H8" s="1507" t="n"/>
      <c r="I8" s="1094" t="n"/>
      <c r="J8" s="1091" t="n"/>
      <c r="K8" s="665">
        <f>SUM(I8:J8)</f>
        <v/>
      </c>
    </row>
    <row r="9">
      <c r="A9" s="673" t="n"/>
      <c r="B9" s="2000" t="n"/>
      <c r="C9" s="1796" t="n"/>
      <c r="D9" s="1507" t="n"/>
      <c r="E9" s="2004" t="n"/>
      <c r="F9" s="1507" t="n"/>
      <c r="G9" s="2000" t="n"/>
      <c r="H9" s="1507" t="n"/>
      <c r="I9" s="1094" t="n"/>
      <c r="J9" s="655" t="n"/>
      <c r="K9" s="665">
        <f>SUM(I9:J9)</f>
        <v/>
      </c>
    </row>
    <row r="10">
      <c r="A10" s="673" t="n"/>
      <c r="B10" s="2005" t="n"/>
      <c r="C10" s="1796" t="n"/>
      <c r="D10" s="1507" t="n"/>
      <c r="E10" s="2005" t="n"/>
      <c r="F10" s="1507" t="n"/>
      <c r="G10" s="2001" t="n"/>
      <c r="H10" s="1507" t="n"/>
      <c r="I10" s="670" t="n"/>
      <c r="J10" s="652" t="n"/>
      <c r="K10" s="665">
        <f>SUM(I10:J10)</f>
        <v/>
      </c>
    </row>
    <row r="11">
      <c r="A11" s="674" t="n"/>
      <c r="B11" s="2005" t="n"/>
      <c r="C11" s="1796" t="n"/>
      <c r="D11" s="1507" t="n"/>
      <c r="E11" s="2005" t="n"/>
      <c r="F11" s="1507" t="n"/>
      <c r="G11" s="2001" t="n"/>
      <c r="H11" s="1507" t="n"/>
      <c r="I11" s="670" t="n"/>
      <c r="J11" s="652" t="n"/>
      <c r="K11" s="665">
        <f>SUM(I11:J11)</f>
        <v/>
      </c>
    </row>
    <row r="12">
      <c r="A12" s="674" t="n"/>
      <c r="B12" s="2005" t="n"/>
      <c r="C12" s="1796" t="n"/>
      <c r="D12" s="1507" t="n"/>
      <c r="E12" s="2005" t="n"/>
      <c r="F12" s="1507" t="n"/>
      <c r="G12" s="2001" t="n"/>
      <c r="H12" s="1507" t="n"/>
      <c r="I12" s="670" t="n"/>
      <c r="J12" s="652" t="n"/>
      <c r="K12" s="665">
        <f>SUM(I12:J12)</f>
        <v/>
      </c>
    </row>
    <row r="13">
      <c r="A13" s="675" t="n"/>
      <c r="B13" s="2001" t="n"/>
      <c r="C13" s="1796" t="n"/>
      <c r="D13" s="1507" t="n"/>
      <c r="E13" s="2001" t="n"/>
      <c r="F13" s="1507" t="n"/>
      <c r="G13" s="2001" t="n"/>
      <c r="H13" s="1507" t="n"/>
      <c r="I13" s="670" t="n"/>
      <c r="J13" s="2001" t="n"/>
      <c r="K13" s="665">
        <f>SUM(I13:J13)</f>
        <v/>
      </c>
    </row>
    <row r="14">
      <c r="A14" s="675" t="n"/>
      <c r="B14" s="2001" t="n"/>
      <c r="C14" s="1796" t="n"/>
      <c r="D14" s="1507" t="n"/>
      <c r="E14" s="2001" t="n"/>
      <c r="F14" s="1507" t="n"/>
      <c r="G14" s="2001" t="n"/>
      <c r="H14" s="1507" t="n"/>
      <c r="I14" s="670" t="n"/>
      <c r="J14" s="2001" t="n"/>
      <c r="K14" s="665">
        <f>SUM(I14:J14)</f>
        <v/>
      </c>
    </row>
    <row r="15">
      <c r="A15" s="675" t="n"/>
      <c r="B15" s="2001" t="n"/>
      <c r="C15" s="1796" t="n"/>
      <c r="D15" s="1507" t="n"/>
      <c r="E15" s="2001" t="n"/>
      <c r="F15" s="1507" t="n"/>
      <c r="G15" s="2001" t="n"/>
      <c r="H15" s="1507" t="n"/>
      <c r="I15" s="670" t="n"/>
      <c r="J15" s="2001" t="n"/>
      <c r="K15" s="665">
        <f>SUM(I15:J15)</f>
        <v/>
      </c>
    </row>
    <row r="16">
      <c r="A16" s="675" t="n"/>
      <c r="B16" s="2001" t="n"/>
      <c r="C16" s="1796" t="n"/>
      <c r="D16" s="1507" t="n"/>
      <c r="E16" s="2001" t="n"/>
      <c r="F16" s="1507" t="n"/>
      <c r="G16" s="2001" t="n"/>
      <c r="H16" s="1507" t="n"/>
      <c r="I16" s="670" t="n"/>
      <c r="J16" s="2001" t="n"/>
      <c r="K16" s="665">
        <f>SUM(I16:J16)</f>
        <v/>
      </c>
    </row>
    <row r="17">
      <c r="A17" s="675" t="n"/>
      <c r="B17" s="2001" t="n"/>
      <c r="C17" s="1796" t="n"/>
      <c r="D17" s="1507" t="n"/>
      <c r="E17" s="2001" t="n"/>
      <c r="F17" s="1507" t="n"/>
      <c r="G17" s="2001" t="n"/>
      <c r="H17" s="1507" t="n"/>
      <c r="I17" s="670" t="n"/>
      <c r="J17" s="2001" t="n"/>
      <c r="K17" s="665">
        <f>SUM(I17:J17)</f>
        <v/>
      </c>
    </row>
    <row r="18" ht="15" customHeight="1" s="1225" thickBot="1">
      <c r="A18" s="676" t="n"/>
      <c r="B18" s="2002" t="n"/>
      <c r="C18" s="2009" t="n"/>
      <c r="D18" s="2003" t="n"/>
      <c r="E18" s="2002" t="n"/>
      <c r="F18" s="2003" t="n"/>
      <c r="G18" s="2002" t="n"/>
      <c r="H18" s="2003" t="n"/>
      <c r="I18" s="671" t="n"/>
      <c r="J18" s="2002" t="n"/>
      <c r="K18" s="659" t="n"/>
    </row>
    <row r="19" ht="15" customHeight="1" s="1225" thickBot="1">
      <c r="A19" s="677" t="inlineStr">
        <is>
          <t>TOTAL</t>
        </is>
      </c>
      <c r="B19" s="2006" t="n"/>
      <c r="C19" s="1675" t="n"/>
      <c r="D19" s="1999" t="n"/>
      <c r="E19" s="2006" t="n"/>
      <c r="F19" s="1999" t="n"/>
      <c r="G19" s="1998" t="n"/>
      <c r="H19" s="1999" t="n"/>
      <c r="I19" s="1097">
        <f>SUM(I8:I18)</f>
        <v/>
      </c>
      <c r="J19" s="2006">
        <f>SUM(J9:J18)</f>
        <v/>
      </c>
      <c r="K19" s="666">
        <f>SUM(K8:K18)</f>
        <v/>
      </c>
    </row>
    <row r="20">
      <c r="J20" s="1590" t="n"/>
      <c r="K20" s="1590" t="n"/>
    </row>
    <row r="21">
      <c r="J21" s="1590" t="n"/>
      <c r="K21" s="1590" t="n"/>
    </row>
    <row r="22">
      <c r="J22" s="1590" t="n"/>
      <c r="K22" s="1590" t="n"/>
    </row>
    <row r="23">
      <c r="J23" s="1590" t="n"/>
      <c r="K23" s="1590" t="n"/>
    </row>
    <row r="24">
      <c r="J24" s="1590" t="n"/>
      <c r="K24" s="1590" t="n"/>
    </row>
  </sheetData>
  <mergeCells count="43">
    <mergeCell ref="F4:G4"/>
    <mergeCell ref="E12:F12"/>
    <mergeCell ref="B11:D11"/>
    <mergeCell ref="G12:H12"/>
    <mergeCell ref="B14:D14"/>
    <mergeCell ref="B8:D8"/>
    <mergeCell ref="G11:H11"/>
    <mergeCell ref="B17:D17"/>
    <mergeCell ref="B13:D13"/>
    <mergeCell ref="E14:F14"/>
    <mergeCell ref="G8:H8"/>
    <mergeCell ref="E17:F17"/>
    <mergeCell ref="G17:H17"/>
    <mergeCell ref="E8:F8"/>
    <mergeCell ref="B10:D10"/>
    <mergeCell ref="A6:K6"/>
    <mergeCell ref="B19:D19"/>
    <mergeCell ref="G7:H7"/>
    <mergeCell ref="E10:F10"/>
    <mergeCell ref="G10:H10"/>
    <mergeCell ref="E19:F19"/>
    <mergeCell ref="I1:K1"/>
    <mergeCell ref="G19:H19"/>
    <mergeCell ref="B9:D9"/>
    <mergeCell ref="E13:F13"/>
    <mergeCell ref="G13:H13"/>
    <mergeCell ref="B15:D15"/>
    <mergeCell ref="G18:H18"/>
    <mergeCell ref="E9:F9"/>
    <mergeCell ref="E15:F15"/>
    <mergeCell ref="G15:H15"/>
    <mergeCell ref="E11:F11"/>
    <mergeCell ref="G14:H14"/>
    <mergeCell ref="B7:D7"/>
    <mergeCell ref="B16:D16"/>
    <mergeCell ref="I4:J4"/>
    <mergeCell ref="E16:F16"/>
    <mergeCell ref="E7:F7"/>
    <mergeCell ref="G16:H16"/>
    <mergeCell ref="B18:D18"/>
    <mergeCell ref="B12:D12"/>
    <mergeCell ref="G9:H9"/>
    <mergeCell ref="E18:F18"/>
  </mergeCells>
  <pageMargins left="0.7" right="0.7" top="0.75" bottom="0.75" header="0.3" footer="0.3"/>
  <pageSetup orientation="landscape" paperSize="9"/>
</worksheet>
</file>

<file path=xl/worksheets/sheet83.xml><?xml version="1.0" encoding="utf-8"?>
<worksheet xmlns="http://schemas.openxmlformats.org/spreadsheetml/2006/main">
  <sheetPr>
    <tabColor theme="4" tint="0.5999938962981048"/>
    <outlinePr summaryBelow="1" summaryRight="1"/>
    <pageSetUpPr/>
  </sheetPr>
  <dimension ref="A1:K22"/>
  <sheetViews>
    <sheetView workbookViewId="0">
      <selection activeCell="B14" sqref="B14"/>
    </sheetView>
  </sheetViews>
  <sheetFormatPr baseColWidth="10" defaultRowHeight="15"/>
  <cols>
    <col width="15" customWidth="1" style="1225" min="1" max="1"/>
    <col width="15.28515625" customWidth="1" style="1225" min="2" max="2"/>
    <col width="11" customWidth="1" style="1225" min="3" max="3"/>
    <col width="12.5703125" customWidth="1" style="1225" min="4" max="4"/>
    <col width="9.42578125" customWidth="1" style="1225" min="5" max="5"/>
    <col width="8.7109375" customWidth="1" style="1225" min="6" max="6"/>
    <col width="13.7109375" customWidth="1" style="1225" min="7" max="7"/>
    <col width="21.5703125" customWidth="1" style="1225" min="8" max="8"/>
    <col width="17.42578125" customWidth="1" style="1225" min="9" max="9"/>
    <col width="11.85546875" customWidth="1" style="1225" min="10" max="10"/>
    <col width="17.28515625" customWidth="1" style="1225" min="11" max="11"/>
  </cols>
  <sheetData>
    <row r="1" ht="15" customHeight="1" s="1225">
      <c r="A1" s="1037" t="n"/>
      <c r="B1" s="1037" t="n"/>
      <c r="C1" s="1038" t="n"/>
      <c r="D1" s="1038" t="n"/>
      <c r="E1" s="1038" t="n"/>
      <c r="F1" s="1038" t="n"/>
      <c r="H1" s="2017" t="inlineStr">
        <is>
          <t>ETAT SUPPLEMENTAIRE N°14</t>
        </is>
      </c>
      <c r="I1" s="1507" t="n"/>
    </row>
    <row r="2" ht="15" customHeight="1" s="1225">
      <c r="A2" s="1037" t="n"/>
      <c r="B2" s="1038" t="n"/>
      <c r="C2" s="1038" t="n"/>
      <c r="D2" s="1038" t="n"/>
      <c r="E2" s="1038" t="n"/>
      <c r="F2" s="1038" t="n"/>
      <c r="G2" s="649" t="n"/>
      <c r="H2" s="649" t="n"/>
      <c r="I2" s="649" t="n"/>
    </row>
    <row r="3">
      <c r="A3" s="1039" t="inlineStr">
        <is>
          <t>Dénomination sociale de l'entité :</t>
        </is>
      </c>
      <c r="B3" s="649" t="n"/>
      <c r="C3" s="2020">
        <f>'Liste ETATS SUPPL DGI'!C3</f>
        <v/>
      </c>
      <c r="D3" s="1277" t="n"/>
      <c r="E3" s="1277" t="n"/>
      <c r="F3" s="1277" t="n"/>
      <c r="G3" s="1277" t="n"/>
      <c r="H3" s="1277" t="n"/>
      <c r="I3" s="1277" t="n"/>
      <c r="J3" s="1382" t="n"/>
      <c r="K3" s="1382" t="n"/>
    </row>
    <row r="4">
      <c r="A4" s="1039" t="inlineStr">
        <is>
          <t>Adresse :</t>
        </is>
      </c>
      <c r="B4" s="649" t="n"/>
      <c r="C4" s="2012">
        <f>'Liste ETATS SUPPL DGI'!B4</f>
        <v/>
      </c>
      <c r="D4" s="1279" t="n"/>
      <c r="E4" s="1279" t="n"/>
      <c r="F4" s="1040" t="n"/>
      <c r="G4" s="1040" t="n"/>
      <c r="H4" s="1041" t="inlineStr">
        <is>
          <t>Sigle usuel :</t>
        </is>
      </c>
      <c r="I4" s="2020">
        <f>SUPPL13!K3</f>
        <v/>
      </c>
      <c r="K4" s="1382" t="n"/>
    </row>
    <row r="5">
      <c r="A5" s="1039" t="inlineStr">
        <is>
          <t>N° IFU :</t>
        </is>
      </c>
      <c r="B5" s="649" t="n"/>
      <c r="C5" s="2012">
        <f>'Liste ETATS SUPPL DGI'!C5</f>
        <v/>
      </c>
      <c r="D5" s="1279" t="n"/>
      <c r="E5" s="2018" t="inlineStr">
        <is>
          <t>Exercice clos le :</t>
        </is>
      </c>
      <c r="F5" s="1283" t="n"/>
      <c r="G5" s="1090" t="n"/>
      <c r="H5" s="1041" t="inlineStr">
        <is>
          <t>Durée (en mois) :</t>
        </is>
      </c>
      <c r="I5" s="1042">
        <f>'Liste ETATS SUPPL DGI'!I5</f>
        <v/>
      </c>
      <c r="K5" s="1382" t="n"/>
    </row>
    <row r="6">
      <c r="A6" s="1043" t="inlineStr">
        <is>
          <t xml:space="preserve">N° de télédéclarant (NES): </t>
        </is>
      </c>
      <c r="B6" s="649" t="n"/>
      <c r="C6" s="1044">
        <f>'Liste ETATS SUPPL DGI'!C6</f>
        <v/>
      </c>
      <c r="D6" s="1044" t="n"/>
      <c r="E6" s="1044" t="n"/>
      <c r="F6" s="1045" t="n"/>
      <c r="G6" s="1046" t="n"/>
      <c r="H6" s="1047" t="n"/>
      <c r="I6" s="1048" t="n"/>
      <c r="J6" s="1382" t="n"/>
      <c r="K6" s="1382" t="n"/>
    </row>
    <row r="7">
      <c r="A7" s="1043" t="n"/>
      <c r="B7" s="649" t="n"/>
      <c r="C7" s="1046" t="n"/>
      <c r="D7" s="1046" t="n"/>
      <c r="E7" s="1046" t="n"/>
      <c r="F7" s="1045" t="n"/>
      <c r="G7" s="1046" t="n"/>
      <c r="H7" s="1047" t="n"/>
      <c r="I7" s="1048" t="n"/>
      <c r="J7" s="1382" t="n"/>
      <c r="K7" s="1382" t="n"/>
    </row>
    <row r="8">
      <c r="A8" s="2021" t="inlineStr">
        <is>
          <t>ETAT ANNUEL DES REMUNERATIONS VERSEES AUX ASSOCIES ET DES PARTS DE BENEFICES SOCIAUX</t>
        </is>
      </c>
      <c r="J8" s="661" t="n"/>
      <c r="K8" s="661" t="n"/>
    </row>
    <row r="9" ht="15" customHeight="1" s="1225" thickBot="1">
      <c r="A9" s="1047" t="n"/>
      <c r="B9" s="1047" t="n"/>
      <c r="C9" s="1047" t="n"/>
      <c r="D9" s="1047" t="n"/>
      <c r="E9" s="1047" t="n"/>
      <c r="F9" s="1047" t="n"/>
      <c r="G9" s="1047" t="n"/>
      <c r="H9" s="1047" t="n"/>
      <c r="I9" s="1047" t="n"/>
      <c r="J9" s="661" t="n"/>
      <c r="K9" s="661" t="n"/>
    </row>
    <row r="10" ht="23.25" customHeight="1" s="1225">
      <c r="A10" s="1049" t="inlineStr">
        <is>
          <t xml:space="preserve">N° IFU </t>
        </is>
      </c>
      <c r="B10" s="2019" t="inlineStr">
        <is>
          <t>NOM, RAISON SOCIALE</t>
        </is>
      </c>
      <c r="C10" s="1995" t="n"/>
      <c r="D10" s="1996" t="n"/>
      <c r="E10" s="2019" t="inlineStr">
        <is>
          <t>TELEPHONE</t>
        </is>
      </c>
      <c r="F10" s="1996" t="n"/>
      <c r="G10" s="2019" t="inlineStr">
        <is>
          <t>Type de rémunération</t>
        </is>
      </c>
      <c r="H10" s="1996" t="n"/>
      <c r="I10" s="1050" t="inlineStr">
        <is>
          <t>Montant perçu</t>
        </is>
      </c>
    </row>
    <row r="11">
      <c r="A11" s="1051" t="n"/>
      <c r="B11" s="2000" t="n"/>
      <c r="C11" s="1796" t="n"/>
      <c r="D11" s="1507" t="n"/>
      <c r="E11" s="2004" t="n"/>
      <c r="F11" s="1507" t="n"/>
      <c r="G11" s="2000" t="n"/>
      <c r="H11" s="1507" t="n"/>
      <c r="I11" s="1080" t="n"/>
    </row>
    <row r="12">
      <c r="A12" s="1052" t="n"/>
      <c r="B12" s="2016" t="n"/>
      <c r="C12" s="1796" t="n"/>
      <c r="D12" s="1507" t="n"/>
      <c r="E12" s="2016" t="n"/>
      <c r="F12" s="1507" t="n"/>
      <c r="G12" s="2013" t="n"/>
      <c r="H12" s="1507" t="n"/>
      <c r="I12" s="1081" t="n"/>
    </row>
    <row r="13">
      <c r="A13" s="1052" t="n"/>
      <c r="B13" s="2016" t="n"/>
      <c r="C13" s="1796" t="n"/>
      <c r="D13" s="1507" t="n"/>
      <c r="E13" s="2016" t="n"/>
      <c r="F13" s="1507" t="n"/>
      <c r="G13" s="2013" t="n"/>
      <c r="H13" s="1507" t="n"/>
      <c r="I13" s="1081" t="n"/>
    </row>
    <row r="14">
      <c r="A14" s="1053" t="n"/>
      <c r="B14" s="2016" t="n"/>
      <c r="C14" s="1796" t="n"/>
      <c r="D14" s="1507" t="n"/>
      <c r="E14" s="2016" t="n"/>
      <c r="F14" s="1507" t="n"/>
      <c r="G14" s="2013" t="n"/>
      <c r="H14" s="1507" t="n"/>
      <c r="I14" s="1081" t="n"/>
    </row>
    <row r="15">
      <c r="A15" s="1053" t="n"/>
      <c r="B15" s="2016" t="n"/>
      <c r="C15" s="1796" t="n"/>
      <c r="D15" s="1507" t="n"/>
      <c r="E15" s="2016" t="n"/>
      <c r="F15" s="1507" t="n"/>
      <c r="G15" s="2013" t="n"/>
      <c r="H15" s="1507" t="n"/>
      <c r="I15" s="1081" t="n"/>
    </row>
    <row r="16">
      <c r="A16" s="1054" t="n"/>
      <c r="B16" s="2013" t="n"/>
      <c r="C16" s="1796" t="n"/>
      <c r="D16" s="1507" t="n"/>
      <c r="E16" s="2013" t="n"/>
      <c r="F16" s="1507" t="n"/>
      <c r="G16" s="2013" t="n"/>
      <c r="H16" s="1507" t="n"/>
      <c r="I16" s="1081" t="n"/>
    </row>
    <row r="17">
      <c r="A17" s="1054" t="n"/>
      <c r="B17" s="2013" t="n"/>
      <c r="C17" s="1796" t="n"/>
      <c r="D17" s="1507" t="n"/>
      <c r="E17" s="2013" t="n"/>
      <c r="F17" s="1507" t="n"/>
      <c r="G17" s="2013" t="n"/>
      <c r="H17" s="1507" t="n"/>
      <c r="I17" s="1081" t="n"/>
    </row>
    <row r="18">
      <c r="A18" s="1054" t="n"/>
      <c r="B18" s="2013" t="n"/>
      <c r="C18" s="1796" t="n"/>
      <c r="D18" s="1507" t="n"/>
      <c r="E18" s="2013" t="n"/>
      <c r="F18" s="1507" t="n"/>
      <c r="G18" s="2013" t="n"/>
      <c r="H18" s="1507" t="n"/>
      <c r="I18" s="1081" t="n"/>
    </row>
    <row r="19">
      <c r="A19" s="1054" t="n"/>
      <c r="B19" s="2013" t="n"/>
      <c r="C19" s="1796" t="n"/>
      <c r="D19" s="1507" t="n"/>
      <c r="E19" s="2013" t="n"/>
      <c r="F19" s="1507" t="n"/>
      <c r="G19" s="2013" t="n"/>
      <c r="H19" s="1507" t="n"/>
      <c r="I19" s="1081" t="n"/>
    </row>
    <row r="20">
      <c r="A20" s="1054" t="n"/>
      <c r="B20" s="2013" t="n"/>
      <c r="C20" s="1796" t="n"/>
      <c r="D20" s="1507" t="n"/>
      <c r="E20" s="2013" t="n"/>
      <c r="F20" s="1507" t="n"/>
      <c r="G20" s="2013" t="n"/>
      <c r="H20" s="1507" t="n"/>
      <c r="I20" s="1081" t="n"/>
    </row>
    <row r="21">
      <c r="A21" s="1054" t="n"/>
      <c r="B21" s="2013" t="n"/>
      <c r="C21" s="1796" t="n"/>
      <c r="D21" s="1507" t="n"/>
      <c r="E21" s="2013" t="n"/>
      <c r="F21" s="1507" t="n"/>
      <c r="G21" s="2013" t="n"/>
      <c r="H21" s="1507" t="n"/>
      <c r="I21" s="1081" t="n"/>
    </row>
    <row r="22" ht="15" customHeight="1" s="1225" thickBot="1">
      <c r="A22" s="1055" t="inlineStr">
        <is>
          <t>TOTAL</t>
        </is>
      </c>
      <c r="B22" s="2014" t="n"/>
      <c r="C22" s="2009" t="n"/>
      <c r="D22" s="2003" t="n"/>
      <c r="E22" s="2014" t="n"/>
      <c r="F22" s="2003" t="n"/>
      <c r="G22" s="2015" t="n"/>
      <c r="H22" s="2003" t="n"/>
      <c r="I22" s="1082">
        <f>SUM(I11:I21)</f>
        <v/>
      </c>
    </row>
  </sheetData>
  <mergeCells count="45">
    <mergeCell ref="B11:D11"/>
    <mergeCell ref="E12:F12"/>
    <mergeCell ref="G21:H21"/>
    <mergeCell ref="G12:H12"/>
    <mergeCell ref="B14:D14"/>
    <mergeCell ref="G11:H11"/>
    <mergeCell ref="H1:I1"/>
    <mergeCell ref="C5:D5"/>
    <mergeCell ref="B17:D17"/>
    <mergeCell ref="E5:F5"/>
    <mergeCell ref="B13:D13"/>
    <mergeCell ref="E14:F14"/>
    <mergeCell ref="E17:F17"/>
    <mergeCell ref="G17:H17"/>
    <mergeCell ref="B10:D10"/>
    <mergeCell ref="B19:D19"/>
    <mergeCell ref="E20:F20"/>
    <mergeCell ref="E10:F10"/>
    <mergeCell ref="C3:I3"/>
    <mergeCell ref="G10:H10"/>
    <mergeCell ref="E19:F19"/>
    <mergeCell ref="G19:H19"/>
    <mergeCell ref="A8:I8"/>
    <mergeCell ref="E13:F13"/>
    <mergeCell ref="G13:H13"/>
    <mergeCell ref="B15:D15"/>
    <mergeCell ref="G18:H18"/>
    <mergeCell ref="B20:D20"/>
    <mergeCell ref="E15:F15"/>
    <mergeCell ref="G15:H15"/>
    <mergeCell ref="E11:F11"/>
    <mergeCell ref="G14:H14"/>
    <mergeCell ref="B16:D16"/>
    <mergeCell ref="G20:H20"/>
    <mergeCell ref="E16:F16"/>
    <mergeCell ref="G16:H16"/>
    <mergeCell ref="B22:D22"/>
    <mergeCell ref="C4:E4"/>
    <mergeCell ref="B18:D18"/>
    <mergeCell ref="E22:F22"/>
    <mergeCell ref="B21:D21"/>
    <mergeCell ref="G22:H22"/>
    <mergeCell ref="B12:D12"/>
    <mergeCell ref="E18:F18"/>
    <mergeCell ref="E21:F21"/>
  </mergeCells>
  <pageMargins left="0.7" right="0.7" top="0.75" bottom="0.75" header="0.3" footer="0.3"/>
  <pageSetup orientation="landscape" paperSize="9"/>
</worksheet>
</file>

<file path=xl/worksheets/sheet84.xml><?xml version="1.0" encoding="utf-8"?>
<worksheet xmlns="http://schemas.openxmlformats.org/spreadsheetml/2006/main">
  <sheetPr>
    <tabColor theme="4" tint="0.5999938962981048"/>
    <outlinePr summaryBelow="1" summaryRight="1"/>
    <pageSetUpPr/>
  </sheetPr>
  <dimension ref="A1:I21"/>
  <sheetViews>
    <sheetView workbookViewId="0">
      <selection activeCell="B14" sqref="B14"/>
    </sheetView>
  </sheetViews>
  <sheetFormatPr baseColWidth="10" defaultRowHeight="15"/>
  <cols>
    <col width="16.42578125" customWidth="1" style="1225" min="1" max="1"/>
    <col width="13" customWidth="1" style="1225" min="2" max="2"/>
    <col width="11.7109375" customWidth="1" style="1225" min="3" max="3"/>
    <col width="9" customWidth="1" style="1225" min="4" max="4"/>
    <col width="24.42578125" customWidth="1" style="1225" min="5" max="5"/>
    <col width="12.5703125" customWidth="1" style="1225" min="6" max="6"/>
    <col width="8.7109375" customWidth="1" style="1225" min="7" max="7"/>
    <col width="14.5703125" customWidth="1" style="1225" min="8" max="8"/>
    <col width="16.28515625" customWidth="1" style="1225" min="9" max="9"/>
    <col width="10.140625" customWidth="1" style="1225" min="10" max="10"/>
    <col width="10" customWidth="1" style="1225" min="11" max="11"/>
  </cols>
  <sheetData>
    <row r="1" ht="14.45" customHeight="1" s="1225">
      <c r="A1" s="307" t="n"/>
      <c r="B1" s="1429" t="n"/>
      <c r="C1" s="1429" t="n"/>
      <c r="D1" s="1429" t="n"/>
      <c r="E1" s="1429" t="n"/>
      <c r="F1" s="2022" t="inlineStr">
        <is>
          <t>ETAT SUPPLEMENTAIRE N°15</t>
        </is>
      </c>
      <c r="G1" s="1796" t="n"/>
      <c r="H1" s="1507" t="n"/>
    </row>
    <row r="2">
      <c r="A2" s="1451" t="inlineStr">
        <is>
          <t>Dénomination sociale de l'entité :</t>
        </is>
      </c>
      <c r="C2" s="355">
        <f>SUPPL14!C3</f>
        <v/>
      </c>
      <c r="D2" s="355" t="n"/>
      <c r="E2" s="355" t="n"/>
      <c r="F2" s="355" t="n"/>
      <c r="G2" s="355" t="n"/>
      <c r="H2" s="355" t="n"/>
      <c r="I2" s="355" t="n"/>
    </row>
    <row r="3">
      <c r="A3" s="1451" t="inlineStr">
        <is>
          <t>Adresse :</t>
        </is>
      </c>
      <c r="C3" s="672">
        <f>SUPPL14!C4</f>
        <v/>
      </c>
      <c r="D3" s="672" t="n"/>
      <c r="E3" s="672" t="n"/>
      <c r="F3" s="672" t="n"/>
      <c r="G3" s="672" t="n"/>
      <c r="H3" s="1589" t="inlineStr">
        <is>
          <t>Sigle usuel :</t>
        </is>
      </c>
      <c r="I3" s="1798">
        <f>SUPPL14!I4</f>
        <v/>
      </c>
    </row>
    <row r="4">
      <c r="A4" s="1451" t="inlineStr">
        <is>
          <t>N° IFU :</t>
        </is>
      </c>
      <c r="C4" s="2026">
        <f>SUPPL14!C5</f>
        <v/>
      </c>
      <c r="D4" s="1283" t="n"/>
      <c r="E4" s="1282" t="inlineStr">
        <is>
          <t>Exercice clos le :</t>
        </is>
      </c>
      <c r="F4" s="1601">
        <f>SUPPL14!G5</f>
        <v/>
      </c>
      <c r="H4" s="1589" t="inlineStr">
        <is>
          <t>Durée (en mois) :</t>
        </is>
      </c>
      <c r="I4" s="1285">
        <f>SUPPL14!I5</f>
        <v/>
      </c>
    </row>
    <row r="5">
      <c r="A5" s="259" t="inlineStr">
        <is>
          <t xml:space="preserve">N° de télédéclarant (NES): </t>
        </is>
      </c>
      <c r="C5" s="1670">
        <f>+SUPPL14!C6</f>
        <v/>
      </c>
      <c r="E5" s="2026" t="n"/>
      <c r="F5" s="1457" t="n"/>
      <c r="G5" s="135" t="n"/>
      <c r="H5" s="1589" t="n"/>
      <c r="I5" s="2030" t="n"/>
    </row>
    <row r="6">
      <c r="A6" s="259" t="n"/>
      <c r="C6" s="2030" t="n"/>
      <c r="E6" s="135" t="n"/>
      <c r="F6" s="1457" t="n"/>
      <c r="G6" s="135" t="n"/>
      <c r="H6" s="1589" t="n"/>
      <c r="I6" s="2030" t="n"/>
    </row>
    <row r="7" ht="15" customHeight="1" s="1225" thickBot="1">
      <c r="A7" s="2028" t="inlineStr">
        <is>
          <t>ETAT DES LOYERS PASSES EN CHARGES</t>
        </is>
      </c>
      <c r="B7" s="1500" t="n"/>
      <c r="C7" s="1500" t="n"/>
      <c r="D7" s="1500" t="n"/>
      <c r="E7" s="1500" t="n"/>
      <c r="F7" s="1500" t="n"/>
      <c r="G7" s="1500" t="n"/>
      <c r="H7" s="1500" t="n"/>
      <c r="I7" s="2029" t="n"/>
    </row>
    <row r="8" ht="20.45" customHeight="1" s="1225">
      <c r="A8" s="1056" t="inlineStr">
        <is>
          <t>N° IFU du bailleur (éventuellement)</t>
        </is>
      </c>
      <c r="B8" s="2027" t="inlineStr">
        <is>
          <t>NOM DU BAILLEUR</t>
        </is>
      </c>
      <c r="C8" s="1995" t="n"/>
      <c r="D8" s="1996" t="n"/>
      <c r="E8" s="2027" t="inlineStr">
        <is>
          <t>Adresse, Téléphone</t>
        </is>
      </c>
      <c r="F8" s="2027" t="inlineStr">
        <is>
          <t>Lieu de situation de l'immeuble loué</t>
        </is>
      </c>
      <c r="G8" s="1996" t="n"/>
      <c r="H8" s="2027" t="inlineStr">
        <is>
          <t>Loyer mensuel</t>
        </is>
      </c>
      <c r="I8" s="1058" t="inlineStr">
        <is>
          <t>Montant total loyers passés en charges</t>
        </is>
      </c>
    </row>
    <row r="9" ht="14.45" customHeight="1" s="1225">
      <c r="A9" s="2032" t="n"/>
      <c r="B9" s="2005" t="n"/>
      <c r="C9" s="1796" t="n"/>
      <c r="D9" s="1507" t="n"/>
      <c r="E9" s="2005" t="n"/>
      <c r="F9" s="2023" t="n"/>
      <c r="G9" s="1507" t="n"/>
      <c r="H9" s="1083" t="n"/>
      <c r="I9" s="1084" t="n"/>
    </row>
    <row r="10" ht="14.45" customHeight="1" s="1225">
      <c r="A10" s="2034" t="n"/>
      <c r="B10" s="2005" t="n"/>
      <c r="C10" s="1796" t="n"/>
      <c r="D10" s="1507" t="n"/>
      <c r="E10" s="2005" t="n"/>
      <c r="F10" s="2023" t="n"/>
      <c r="G10" s="1507" t="n"/>
      <c r="H10" s="1083" t="n"/>
      <c r="I10" s="1084" t="n"/>
    </row>
    <row r="11" ht="14.45" customHeight="1" s="1225">
      <c r="A11" s="2034" t="n"/>
      <c r="B11" s="2005" t="n"/>
      <c r="C11" s="1796" t="n"/>
      <c r="D11" s="1507" t="n"/>
      <c r="E11" s="2005" t="n"/>
      <c r="F11" s="2023" t="n"/>
      <c r="G11" s="1507" t="n"/>
      <c r="H11" s="1083" t="n"/>
      <c r="I11" s="1084" t="n"/>
    </row>
    <row r="12">
      <c r="A12" s="2036" t="n"/>
      <c r="B12" s="2005" t="n"/>
      <c r="C12" s="1796" t="n"/>
      <c r="D12" s="1507" t="n"/>
      <c r="E12" s="2001" t="n"/>
      <c r="F12" s="2001" t="n"/>
      <c r="G12" s="1507" t="n"/>
      <c r="H12" s="1083" t="n"/>
      <c r="I12" s="1084" t="n"/>
    </row>
    <row r="13">
      <c r="A13" s="2036" t="n"/>
      <c r="B13" s="2005" t="n"/>
      <c r="C13" s="1796" t="n"/>
      <c r="D13" s="1507" t="n"/>
      <c r="E13" s="2001" t="n"/>
      <c r="F13" s="2001" t="n"/>
      <c r="G13" s="1507" t="n"/>
      <c r="H13" s="1083" t="n"/>
      <c r="I13" s="1084" t="n"/>
    </row>
    <row r="14">
      <c r="A14" s="2031" t="n"/>
      <c r="B14" s="2001" t="n"/>
      <c r="C14" s="1796" t="n"/>
      <c r="D14" s="1507" t="n"/>
      <c r="E14" s="2001" t="n"/>
      <c r="F14" s="2001" t="n"/>
      <c r="G14" s="1507" t="n"/>
      <c r="H14" s="1083" t="n"/>
      <c r="I14" s="1084" t="n"/>
    </row>
    <row r="15">
      <c r="A15" s="2031" t="n"/>
      <c r="B15" s="2001" t="n"/>
      <c r="C15" s="1796" t="n"/>
      <c r="D15" s="1507" t="n"/>
      <c r="E15" s="2001" t="n"/>
      <c r="F15" s="2001" t="n"/>
      <c r="G15" s="1507" t="n"/>
      <c r="H15" s="1083" t="n"/>
      <c r="I15" s="1084" t="n"/>
    </row>
    <row r="16">
      <c r="A16" s="2031" t="n"/>
      <c r="B16" s="2001" t="n"/>
      <c r="C16" s="1796" t="n"/>
      <c r="D16" s="1507" t="n"/>
      <c r="E16" s="2001" t="n"/>
      <c r="F16" s="2001" t="n"/>
      <c r="G16" s="1507" t="n"/>
      <c r="H16" s="1083" t="n"/>
      <c r="I16" s="1084" t="n"/>
    </row>
    <row r="17">
      <c r="A17" s="2031" t="n"/>
      <c r="B17" s="2001" t="n"/>
      <c r="C17" s="1796" t="n"/>
      <c r="D17" s="1507" t="n"/>
      <c r="E17" s="2001" t="n"/>
      <c r="F17" s="2001" t="n"/>
      <c r="G17" s="1507" t="n"/>
      <c r="H17" s="1083" t="n"/>
      <c r="I17" s="1084" t="n"/>
    </row>
    <row r="18">
      <c r="A18" s="2031" t="n"/>
      <c r="B18" s="2001" t="n"/>
      <c r="C18" s="1796" t="n"/>
      <c r="D18" s="1507" t="n"/>
      <c r="E18" s="2001" t="n"/>
      <c r="F18" s="2001" t="n"/>
      <c r="G18" s="1507" t="n"/>
      <c r="H18" s="1083" t="n"/>
      <c r="I18" s="1084" t="n"/>
    </row>
    <row r="19">
      <c r="A19" s="2031" t="n"/>
      <c r="B19" s="2001" t="n"/>
      <c r="C19" s="1796" t="n"/>
      <c r="D19" s="1507" t="n"/>
      <c r="E19" s="2001" t="n"/>
      <c r="F19" s="2001" t="n"/>
      <c r="G19" s="1507" t="n"/>
      <c r="H19" s="1083" t="n"/>
      <c r="I19" s="1084" t="n"/>
    </row>
    <row r="20" ht="15" customHeight="1" s="1225" thickBot="1">
      <c r="A20" s="2033" t="inlineStr">
        <is>
          <t>TOTAL</t>
        </is>
      </c>
      <c r="B20" s="2025" t="n"/>
      <c r="C20" s="2009" t="n"/>
      <c r="D20" s="2003" t="n"/>
      <c r="E20" s="2024" t="n"/>
      <c r="F20" s="2024" t="n"/>
      <c r="G20" s="2003" t="n"/>
      <c r="H20" s="1085" t="n"/>
      <c r="I20" s="1086">
        <f>SUM(I9:I19)</f>
        <v/>
      </c>
    </row>
    <row r="21">
      <c r="H21" s="1505" t="n"/>
      <c r="I21" s="1505" t="n"/>
    </row>
  </sheetData>
  <mergeCells count="31">
    <mergeCell ref="B11:D11"/>
    <mergeCell ref="A7:I7"/>
    <mergeCell ref="F11:G11"/>
    <mergeCell ref="C6:D6"/>
    <mergeCell ref="B14:D14"/>
    <mergeCell ref="F16:G16"/>
    <mergeCell ref="F10:G10"/>
    <mergeCell ref="B8:D8"/>
    <mergeCell ref="F19:G19"/>
    <mergeCell ref="C5:D5"/>
    <mergeCell ref="B17:D17"/>
    <mergeCell ref="B13:D13"/>
    <mergeCell ref="C4:D4"/>
    <mergeCell ref="B10:D10"/>
    <mergeCell ref="F12:G12"/>
    <mergeCell ref="B19:D19"/>
    <mergeCell ref="F15:G15"/>
    <mergeCell ref="F20:G20"/>
    <mergeCell ref="F18:G18"/>
    <mergeCell ref="B9:D9"/>
    <mergeCell ref="B15:D15"/>
    <mergeCell ref="F17:G17"/>
    <mergeCell ref="B20:D20"/>
    <mergeCell ref="F8:G8"/>
    <mergeCell ref="F1:H1"/>
    <mergeCell ref="F13:G13"/>
    <mergeCell ref="F9:G9"/>
    <mergeCell ref="B16:D16"/>
    <mergeCell ref="B18:D18"/>
    <mergeCell ref="F14:G14"/>
    <mergeCell ref="B12:D12"/>
  </mergeCells>
  <pageMargins left="0.7" right="0.7" top="0.75" bottom="0.75" header="0.3" footer="0.3"/>
  <pageSetup orientation="landscape" paperSize="9"/>
</worksheet>
</file>

<file path=xl/worksheets/sheet85.xml><?xml version="1.0" encoding="utf-8"?>
<worksheet xmlns="http://schemas.openxmlformats.org/spreadsheetml/2006/main">
  <sheetPr>
    <tabColor theme="4" tint="0.5999938962981048"/>
    <outlinePr summaryBelow="1" summaryRight="1"/>
    <pageSetUpPr/>
  </sheetPr>
  <dimension ref="A1:K19"/>
  <sheetViews>
    <sheetView zoomScaleNormal="100" workbookViewId="0">
      <selection activeCell="B14" sqref="B14"/>
    </sheetView>
  </sheetViews>
  <sheetFormatPr baseColWidth="10" defaultRowHeight="15"/>
  <cols>
    <col width="9.140625" customWidth="1" style="1225" min="1" max="1"/>
    <col width="2.85546875" customWidth="1" style="1225" min="2" max="2"/>
    <col width="10.5703125" customWidth="1" style="1225" min="3" max="3"/>
    <col width="11.7109375" customWidth="1" style="1225" min="4" max="4"/>
    <col width="10.85546875" customWidth="1" style="1225" min="5" max="5"/>
    <col width="12.7109375" customWidth="1" style="1225" min="6" max="6"/>
    <col width="17" customWidth="1" style="1225" min="7" max="7"/>
    <col width="17.85546875" customWidth="1" style="1225" min="8" max="8"/>
    <col width="14.7109375" customWidth="1" style="1225" min="9" max="9"/>
    <col width="11.42578125" customWidth="1" style="1225" min="10" max="10"/>
    <col width="14" customWidth="1" style="1225" min="11" max="11"/>
  </cols>
  <sheetData>
    <row r="1">
      <c r="A1" s="307" t="n"/>
      <c r="B1" s="307" t="n"/>
      <c r="C1" s="1429" t="n"/>
      <c r="D1" s="1429" t="n"/>
      <c r="E1" s="1429" t="n"/>
      <c r="F1" s="1429" t="n"/>
      <c r="G1" s="1429" t="n"/>
      <c r="I1" s="2039" t="inlineStr">
        <is>
          <t>ETAT SUPPLEMENTAIRE N°16</t>
        </is>
      </c>
      <c r="J1" s="1796" t="n"/>
      <c r="K1" s="1507" t="n"/>
    </row>
    <row r="2">
      <c r="A2" s="1451" t="inlineStr">
        <is>
          <t>Dénomination sociale de l'entité :</t>
        </is>
      </c>
      <c r="B2" s="355" t="n"/>
      <c r="D2" s="355" t="n"/>
      <c r="E2" s="1276">
        <f>SUPPL15!C2</f>
        <v/>
      </c>
      <c r="F2" s="1277" t="n"/>
      <c r="G2" s="1277" t="n"/>
      <c r="H2" s="1277" t="n"/>
      <c r="I2" s="1277" t="n"/>
      <c r="J2" s="1277" t="n"/>
      <c r="K2" s="1382" t="n"/>
    </row>
    <row r="3">
      <c r="A3" s="1450" t="inlineStr">
        <is>
          <t>Adresse :</t>
        </is>
      </c>
      <c r="D3" s="672" t="n"/>
      <c r="E3" s="1280">
        <f>SUPPL15!C3</f>
        <v/>
      </c>
      <c r="F3" s="1279" t="n"/>
      <c r="G3" s="1279" t="n"/>
      <c r="H3" s="1279" t="n"/>
      <c r="I3" s="1589" t="inlineStr">
        <is>
          <t>Sigle usuel :</t>
        </is>
      </c>
      <c r="J3" s="1276">
        <f>SUPPL15!I3</f>
        <v/>
      </c>
      <c r="K3" s="1382" t="n"/>
    </row>
    <row r="4">
      <c r="A4" s="1450" t="inlineStr">
        <is>
          <t>N° IFU :</t>
        </is>
      </c>
      <c r="D4" s="672" t="n"/>
      <c r="E4" s="1280">
        <f>SUPPL15!C4</f>
        <v/>
      </c>
      <c r="F4" s="1279" t="n"/>
      <c r="G4" s="1282" t="inlineStr">
        <is>
          <t>Exercice clos le :</t>
        </is>
      </c>
      <c r="H4" s="1601" t="n"/>
      <c r="I4" s="1451" t="inlineStr">
        <is>
          <t>Durée (en mois) :</t>
        </is>
      </c>
      <c r="J4" s="1285">
        <f>SUPPL15!I4</f>
        <v/>
      </c>
      <c r="K4" s="1382" t="n"/>
    </row>
    <row r="5">
      <c r="A5" s="2037" t="inlineStr">
        <is>
          <t xml:space="preserve">N° de télédéclarant (NES): </t>
        </is>
      </c>
      <c r="D5" s="2026" t="n"/>
      <c r="E5" s="1712">
        <f>+SUPPL15!C5</f>
        <v/>
      </c>
      <c r="F5" s="1283" t="n"/>
      <c r="G5" s="1457" t="n"/>
      <c r="H5" s="135" t="n"/>
      <c r="I5" s="1589" t="n"/>
      <c r="J5" s="2030" t="n"/>
      <c r="K5" s="1382" t="inlineStr">
        <is>
          <t xml:space="preserve"> </t>
        </is>
      </c>
    </row>
    <row r="6" ht="15" customHeight="1" s="1225" thickBot="1">
      <c r="A6" s="2028" t="inlineStr">
        <is>
          <t>ETAT ANNUEL DES HONORAIRES RETROCEDES POUR DETERMINATION DE L'IBNC</t>
        </is>
      </c>
      <c r="B6" s="1500" t="n"/>
      <c r="C6" s="1500" t="n"/>
      <c r="D6" s="1500" t="n"/>
      <c r="E6" s="1500" t="n"/>
      <c r="F6" s="1500" t="n"/>
      <c r="G6" s="1500" t="n"/>
      <c r="H6" s="1500" t="n"/>
      <c r="I6" s="1500" t="n"/>
      <c r="J6" s="1500" t="n"/>
      <c r="K6" s="2029" t="n"/>
    </row>
    <row r="7" ht="20.45" customHeight="1" s="1225">
      <c r="A7" s="2038" t="inlineStr">
        <is>
          <t>N° IFU du bénéficiaire</t>
        </is>
      </c>
      <c r="B7" s="1996" t="n"/>
      <c r="C7" s="2035" t="inlineStr">
        <is>
          <t>NOM, RAISON SOCIALE</t>
        </is>
      </c>
      <c r="D7" s="1995" t="n"/>
      <c r="E7" s="1996" t="n"/>
      <c r="F7" s="2035" t="inlineStr">
        <is>
          <t>TELEPHONE</t>
        </is>
      </c>
      <c r="G7" s="2035" t="inlineStr">
        <is>
          <t>LOCALITE</t>
        </is>
      </c>
      <c r="H7" s="2035" t="inlineStr">
        <is>
          <t>SERVICE DES IMPOTS DE RATTACHEMENT</t>
        </is>
      </c>
      <c r="I7" s="2035" t="inlineStr">
        <is>
          <t>Montant total HTVA</t>
        </is>
      </c>
      <c r="J7" s="2035" t="inlineStr">
        <is>
          <t>TVA</t>
        </is>
      </c>
      <c r="K7" s="1064" t="inlineStr">
        <is>
          <t>TOTAL TTC</t>
        </is>
      </c>
    </row>
    <row r="8" customFormat="1" s="553">
      <c r="A8" s="2032" t="n"/>
      <c r="B8" s="1507" t="n"/>
      <c r="C8" s="2040" t="n"/>
      <c r="D8" s="1796" t="n"/>
      <c r="E8" s="1507" t="n"/>
      <c r="F8" s="2040" t="n"/>
      <c r="G8" s="2040" t="n"/>
      <c r="H8" s="2040" t="n"/>
      <c r="I8" s="1127" t="n"/>
      <c r="J8" s="1127" t="n"/>
      <c r="K8" s="1128">
        <f>SUM(I8:J8)</f>
        <v/>
      </c>
    </row>
    <row r="9">
      <c r="A9" s="2034" t="n"/>
      <c r="B9" s="1507" t="n"/>
      <c r="C9" s="2005" t="n"/>
      <c r="D9" s="1796" t="n"/>
      <c r="E9" s="1507" t="n"/>
      <c r="F9" s="2001" t="n"/>
      <c r="G9" s="2001" t="n"/>
      <c r="H9" s="2001" t="n"/>
      <c r="I9" s="2001" t="n"/>
      <c r="J9" s="655" t="n"/>
      <c r="K9" s="1128">
        <f>SUM(I9:J9)</f>
        <v/>
      </c>
    </row>
    <row r="10">
      <c r="A10" s="2034" t="n"/>
      <c r="B10" s="1507" t="n"/>
      <c r="C10" s="2005" t="n"/>
      <c r="D10" s="1796" t="n"/>
      <c r="E10" s="1507" t="n"/>
      <c r="F10" s="2001" t="n"/>
      <c r="G10" s="2001" t="n"/>
      <c r="H10" s="2001" t="n"/>
      <c r="I10" s="2001" t="n"/>
      <c r="J10" s="655" t="n"/>
      <c r="K10" s="1128">
        <f>SUM(I10:J10)</f>
        <v/>
      </c>
    </row>
    <row r="11">
      <c r="A11" s="2036" t="n"/>
      <c r="B11" s="1507" t="n"/>
      <c r="C11" s="2005" t="n"/>
      <c r="D11" s="1796" t="n"/>
      <c r="E11" s="1507" t="n"/>
      <c r="F11" s="2001" t="n"/>
      <c r="G11" s="2001" t="n"/>
      <c r="H11" s="2001" t="n"/>
      <c r="I11" s="2001" t="n"/>
      <c r="J11" s="655" t="n"/>
      <c r="K11" s="1128">
        <f>SUM(I11:J11)</f>
        <v/>
      </c>
    </row>
    <row r="12">
      <c r="A12" s="2036" t="n"/>
      <c r="B12" s="1507" t="n"/>
      <c r="C12" s="2005" t="n"/>
      <c r="D12" s="1796" t="n"/>
      <c r="E12" s="1507" t="n"/>
      <c r="F12" s="2001" t="n"/>
      <c r="G12" s="2001" t="n"/>
      <c r="H12" s="2001" t="n"/>
      <c r="I12" s="2001" t="n"/>
      <c r="J12" s="655" t="n"/>
      <c r="K12" s="1128">
        <f>SUM(I12:J12)</f>
        <v/>
      </c>
    </row>
    <row r="13">
      <c r="A13" s="2031" t="n"/>
      <c r="B13" s="1507" t="n"/>
      <c r="C13" s="2001" t="n"/>
      <c r="D13" s="1796" t="n"/>
      <c r="E13" s="1507" t="n"/>
      <c r="F13" s="2001" t="n"/>
      <c r="G13" s="2001" t="n"/>
      <c r="H13" s="2001" t="n"/>
      <c r="I13" s="2001" t="n"/>
      <c r="J13" s="2001" t="n"/>
      <c r="K13" s="1128">
        <f>SUM(I13:J13)</f>
        <v/>
      </c>
    </row>
    <row r="14">
      <c r="A14" s="2031" t="n"/>
      <c r="B14" s="1507" t="n"/>
      <c r="C14" s="2001" t="n"/>
      <c r="D14" s="1796" t="n"/>
      <c r="E14" s="1507" t="n"/>
      <c r="F14" s="2001" t="n"/>
      <c r="G14" s="2001" t="n"/>
      <c r="H14" s="2001" t="n"/>
      <c r="I14" s="2001" t="n"/>
      <c r="J14" s="2001" t="n"/>
      <c r="K14" s="1128">
        <f>SUM(I14:J14)</f>
        <v/>
      </c>
    </row>
    <row r="15">
      <c r="A15" s="2031" t="n"/>
      <c r="B15" s="1507" t="n"/>
      <c r="C15" s="2001" t="n"/>
      <c r="D15" s="1796" t="n"/>
      <c r="E15" s="1507" t="n"/>
      <c r="F15" s="2001" t="n"/>
      <c r="G15" s="2001" t="n"/>
      <c r="H15" s="2001" t="n"/>
      <c r="I15" s="2001" t="n"/>
      <c r="J15" s="2001" t="n"/>
      <c r="K15" s="1128">
        <f>SUM(I15:J15)</f>
        <v/>
      </c>
    </row>
    <row r="16">
      <c r="A16" s="2031" t="n"/>
      <c r="B16" s="1507" t="n"/>
      <c r="C16" s="2001" t="n"/>
      <c r="D16" s="1796" t="n"/>
      <c r="E16" s="1507" t="n"/>
      <c r="F16" s="2001" t="n"/>
      <c r="G16" s="2001" t="n"/>
      <c r="H16" s="2001" t="n"/>
      <c r="I16" s="2001" t="n"/>
      <c r="J16" s="2001" t="n"/>
      <c r="K16" s="1128">
        <f>SUM(I16:J16)</f>
        <v/>
      </c>
    </row>
    <row r="17">
      <c r="A17" s="2031" t="n"/>
      <c r="B17" s="1507" t="n"/>
      <c r="C17" s="2001" t="n"/>
      <c r="D17" s="1796" t="n"/>
      <c r="E17" s="1507" t="n"/>
      <c r="F17" s="2001" t="n"/>
      <c r="G17" s="2001" t="n"/>
      <c r="H17" s="2001" t="n"/>
      <c r="I17" s="2001" t="n"/>
      <c r="J17" s="2001" t="n"/>
      <c r="K17" s="1128">
        <f>SUM(I17:J17)</f>
        <v/>
      </c>
    </row>
    <row r="18">
      <c r="A18" s="2031" t="n"/>
      <c r="B18" s="1507" t="n"/>
      <c r="C18" s="2001" t="n"/>
      <c r="D18" s="1796" t="n"/>
      <c r="E18" s="1507" t="n"/>
      <c r="F18" s="2001" t="n"/>
      <c r="G18" s="2001" t="n"/>
      <c r="H18" s="2001" t="n"/>
      <c r="I18" s="2001" t="n"/>
      <c r="J18" s="2001" t="n"/>
      <c r="K18" s="1128">
        <f>SUM(I18:J18)</f>
        <v/>
      </c>
    </row>
    <row r="19" ht="15" customHeight="1" s="1225" thickBot="1">
      <c r="A19" s="2033" t="inlineStr">
        <is>
          <t>TOTAL</t>
        </is>
      </c>
      <c r="B19" s="2003" t="n"/>
      <c r="C19" s="2025" t="n"/>
      <c r="D19" s="2009" t="n"/>
      <c r="E19" s="2003" t="n"/>
      <c r="F19" s="2024" t="n"/>
      <c r="G19" s="2024" t="n"/>
      <c r="H19" s="2024" t="n"/>
      <c r="I19" s="2025">
        <f>SUM(I8:I18)</f>
        <v/>
      </c>
      <c r="J19" s="2025">
        <f>SUM(J8:J18)</f>
        <v/>
      </c>
      <c r="K19" s="1062">
        <f>SUM(K8:K18)</f>
        <v/>
      </c>
    </row>
  </sheetData>
  <mergeCells count="35">
    <mergeCell ref="C16:E16"/>
    <mergeCell ref="A15:B15"/>
    <mergeCell ref="A11:B11"/>
    <mergeCell ref="C9:E9"/>
    <mergeCell ref="E5:F5"/>
    <mergeCell ref="A3:C3"/>
    <mergeCell ref="C12:E12"/>
    <mergeCell ref="A6:K6"/>
    <mergeCell ref="E4:F4"/>
    <mergeCell ref="C11:E11"/>
    <mergeCell ref="A16:B16"/>
    <mergeCell ref="A7:B7"/>
    <mergeCell ref="A5:C5"/>
    <mergeCell ref="E3:H3"/>
    <mergeCell ref="E2:J2"/>
    <mergeCell ref="I1:K1"/>
    <mergeCell ref="C8:E8"/>
    <mergeCell ref="C17:E17"/>
    <mergeCell ref="A18:B18"/>
    <mergeCell ref="C7:E7"/>
    <mergeCell ref="A4:C4"/>
    <mergeCell ref="A12:B12"/>
    <mergeCell ref="C13:E13"/>
    <mergeCell ref="C19:E19"/>
    <mergeCell ref="C18:E18"/>
    <mergeCell ref="A14:B14"/>
    <mergeCell ref="A17:B17"/>
    <mergeCell ref="A8:B8"/>
    <mergeCell ref="C15:E15"/>
    <mergeCell ref="C14:E14"/>
    <mergeCell ref="A19:B19"/>
    <mergeCell ref="A10:B10"/>
    <mergeCell ref="A13:B13"/>
    <mergeCell ref="A9:B9"/>
    <mergeCell ref="C10:E10"/>
  </mergeCells>
  <pageMargins left="0.7" right="0.7" top="0.75" bottom="0.75" header="0.3" footer="0.3"/>
  <pageSetup orientation="landscape" paperSize="9" scale="98" horizontalDpi="300" verticalDpi="300"/>
</worksheet>
</file>

<file path=xl/worksheets/sheet86.xml><?xml version="1.0" encoding="utf-8"?>
<worksheet xmlns="http://schemas.openxmlformats.org/spreadsheetml/2006/main">
  <sheetPr>
    <tabColor theme="4" tint="0.5999938962981048"/>
    <outlinePr summaryBelow="1" summaryRight="1"/>
    <pageSetUpPr/>
  </sheetPr>
  <dimension ref="A1:J7"/>
  <sheetViews>
    <sheetView zoomScaleNormal="100" workbookViewId="0">
      <selection activeCell="B14" sqref="B14"/>
    </sheetView>
  </sheetViews>
  <sheetFormatPr baseColWidth="10" defaultRowHeight="15"/>
  <cols>
    <col width="10.5703125" customWidth="1" style="1225" min="1" max="1"/>
    <col width="8.140625" customWidth="1" style="1225" min="2" max="2"/>
    <col width="12.5703125" customWidth="1" style="1225" min="3" max="3"/>
    <col width="16.28515625" customWidth="1" style="1225" min="4" max="4"/>
    <col width="14.85546875" customWidth="1" style="1225" min="5" max="5"/>
    <col width="9.85546875" customWidth="1" style="1225" min="6" max="6"/>
    <col width="15.7109375" customWidth="1" style="1225" min="7" max="7"/>
    <col width="15.5703125" customWidth="1" style="1225" min="8" max="8"/>
    <col width="12.7109375" customWidth="1" style="1225" min="9" max="9"/>
    <col width="14.7109375" bestFit="1" customWidth="1" style="1225" min="10" max="10"/>
  </cols>
  <sheetData>
    <row r="1">
      <c r="A1" s="1429" t="n"/>
    </row>
    <row r="2">
      <c r="A2" s="307" t="n"/>
      <c r="C2" s="1429" t="n"/>
      <c r="D2" s="1429" t="n"/>
      <c r="E2" s="1429" t="n"/>
      <c r="F2" s="1429" t="n"/>
      <c r="H2" s="2042" t="inlineStr">
        <is>
          <t>ETAT SUPPLEMENTAIRE N°17</t>
        </is>
      </c>
      <c r="I2" s="1796" t="n"/>
      <c r="J2" s="1507" t="n"/>
    </row>
    <row r="3">
      <c r="A3" s="1451" t="inlineStr">
        <is>
          <t>Dénomination sociale de l'entité :</t>
        </is>
      </c>
      <c r="D3" s="1276">
        <f>SUPPL16!E2</f>
        <v/>
      </c>
      <c r="E3" s="1277" t="n"/>
      <c r="F3" s="1277" t="n"/>
      <c r="G3" s="1277" t="n"/>
      <c r="H3" s="1277" t="n"/>
      <c r="I3" s="1277" t="n"/>
    </row>
    <row r="4">
      <c r="A4" s="1451" t="inlineStr">
        <is>
          <t>Adresse :</t>
        </is>
      </c>
      <c r="B4" s="1450" t="inlineStr">
        <is>
          <t>Sigle usuel :</t>
        </is>
      </c>
      <c r="D4" s="672">
        <f>SUPPL16!E3</f>
        <v/>
      </c>
      <c r="E4" s="672" t="n"/>
      <c r="F4" s="672" t="n"/>
      <c r="G4" s="1589" t="inlineStr">
        <is>
          <t>Sigle usuel :</t>
        </is>
      </c>
      <c r="H4" s="1670">
        <f>SUPPL16!J3</f>
        <v/>
      </c>
    </row>
    <row r="5">
      <c r="A5" s="1451" t="inlineStr">
        <is>
          <t>N° IFU :</t>
        </is>
      </c>
      <c r="C5" s="672">
        <f>SUPPL16!E4</f>
        <v/>
      </c>
      <c r="D5" s="672" t="n"/>
      <c r="E5" s="1282" t="inlineStr">
        <is>
          <t>Exercice clos le :</t>
        </is>
      </c>
      <c r="F5" s="2041" t="n"/>
      <c r="G5" s="1283" t="n"/>
      <c r="H5" s="1450" t="inlineStr">
        <is>
          <t>Durée (en mois) :</t>
        </is>
      </c>
      <c r="J5" s="1285">
        <f>SUPPL16!J4</f>
        <v/>
      </c>
    </row>
    <row r="6">
      <c r="A6" s="259" t="inlineStr">
        <is>
          <t xml:space="preserve">N° de télédéclarant (NES): </t>
        </is>
      </c>
      <c r="B6" s="135" t="n"/>
      <c r="C6" s="2026">
        <f>+SUPPL16!E5</f>
        <v/>
      </c>
      <c r="D6" s="2026" t="n"/>
      <c r="E6" s="2026" t="n"/>
      <c r="F6" s="1457" t="n"/>
      <c r="G6" s="135" t="n"/>
      <c r="H6" s="1589" t="n"/>
      <c r="I6" s="2030" t="n"/>
    </row>
    <row r="7" ht="15" customHeight="1" s="1225" thickBot="1">
      <c r="A7" s="2011" t="inlineStr">
        <is>
          <t>LISTE DES PRINCIPAUX CLIENTS</t>
        </is>
      </c>
      <c r="B7" s="1303" t="n"/>
      <c r="C7" s="1303" t="n"/>
      <c r="D7" s="1303" t="n"/>
      <c r="E7" s="1303" t="n"/>
      <c r="F7" s="1303" t="n"/>
      <c r="G7" s="1303" t="n"/>
      <c r="H7" s="1303" t="n"/>
      <c r="I7" s="1303" t="n"/>
      <c r="J7" s="1303" t="n"/>
    </row>
  </sheetData>
  <mergeCells count="8">
    <mergeCell ref="F5:G5"/>
    <mergeCell ref="H4:J4"/>
    <mergeCell ref="A1:I1"/>
    <mergeCell ref="H5:I5"/>
    <mergeCell ref="A7:J7"/>
    <mergeCell ref="D3:I3"/>
    <mergeCell ref="H2:J2"/>
    <mergeCell ref="B4:C4"/>
  </mergeCells>
  <pageMargins left="0.7" right="0.7" top="0.75" bottom="0.75" header="0.3" footer="0.3"/>
  <pageSetup orientation="portrait" paperSize="9" scale="66"/>
</worksheet>
</file>

<file path=xl/worksheets/sheet87.xml><?xml version="1.0" encoding="utf-8"?>
<worksheet xmlns="http://schemas.openxmlformats.org/spreadsheetml/2006/main">
  <sheetPr>
    <tabColor theme="4" tint="0.5999938962981048"/>
    <outlinePr summaryBelow="1" summaryRight="1"/>
    <pageSetUpPr/>
  </sheetPr>
  <dimension ref="A1:J7"/>
  <sheetViews>
    <sheetView zoomScaleNormal="100" workbookViewId="0">
      <selection activeCell="B14" sqref="B14"/>
    </sheetView>
  </sheetViews>
  <sheetFormatPr baseColWidth="10" defaultRowHeight="15"/>
  <cols>
    <col width="10.5703125" customWidth="1" style="1225" min="1" max="1"/>
    <col width="11" customWidth="1" style="1225" min="2" max="2"/>
    <col width="8.85546875" customWidth="1" style="1225" min="3" max="3"/>
    <col width="19.7109375" customWidth="1" style="1225" min="4" max="4"/>
    <col width="14.85546875" customWidth="1" style="1225" min="5" max="5"/>
    <col width="9.85546875" customWidth="1" style="1225" min="6" max="6"/>
    <col width="27.140625" customWidth="1" style="1225" min="7" max="7"/>
    <col width="15.5703125" customWidth="1" style="1225" min="8" max="8"/>
    <col width="12.7109375" customWidth="1" style="1225" min="9" max="9"/>
    <col width="14.7109375" bestFit="1" customWidth="1" style="1225" min="10" max="10"/>
  </cols>
  <sheetData>
    <row r="1">
      <c r="A1" s="177" t="n"/>
      <c r="B1" s="177" t="n"/>
      <c r="C1" s="177" t="n"/>
      <c r="D1" s="177" t="n"/>
      <c r="E1" s="177" t="n"/>
      <c r="F1" s="177" t="n"/>
      <c r="G1" s="177" t="n"/>
      <c r="H1" s="177" t="n"/>
      <c r="I1" s="177" t="n"/>
    </row>
    <row r="2" ht="16.15" customHeight="1" s="1225">
      <c r="A2" s="307" t="n"/>
      <c r="B2" s="1429" t="n"/>
      <c r="C2" s="1429" t="n"/>
      <c r="D2" s="1429" t="n"/>
      <c r="E2" s="1429" t="n"/>
      <c r="F2" s="1429" t="n"/>
      <c r="H2" s="2042" t="inlineStr">
        <is>
          <t>ETAT SUPPLEMENTAIRE N°18</t>
        </is>
      </c>
      <c r="I2" s="1796" t="n"/>
      <c r="J2" s="1507" t="n"/>
    </row>
    <row r="3">
      <c r="A3" s="1451" t="inlineStr">
        <is>
          <t>Dénomination sociale de l'entité :</t>
        </is>
      </c>
      <c r="D3" s="355">
        <f>SUPPL17!D3</f>
        <v/>
      </c>
      <c r="E3" s="355" t="n"/>
      <c r="F3" s="355" t="n"/>
      <c r="G3" s="355" t="n"/>
      <c r="H3" s="355" t="n"/>
      <c r="I3" s="355" t="n"/>
    </row>
    <row r="4">
      <c r="A4" s="1451" t="inlineStr">
        <is>
          <t>Adresse :</t>
        </is>
      </c>
      <c r="B4" s="672" t="n"/>
      <c r="C4" s="672">
        <f>SUPPL17!D4</f>
        <v/>
      </c>
      <c r="D4" s="672" t="n"/>
      <c r="E4" s="672" t="n"/>
      <c r="F4" s="672" t="n"/>
      <c r="H4" s="1589" t="inlineStr">
        <is>
          <t>Sigle usuel :</t>
        </is>
      </c>
      <c r="I4" s="2030">
        <f>SUPPL17!H4</f>
        <v/>
      </c>
    </row>
    <row r="5">
      <c r="A5" s="1451" t="inlineStr">
        <is>
          <t>N° IFU :</t>
        </is>
      </c>
      <c r="C5" s="672">
        <f>SUPPL17!C5</f>
        <v/>
      </c>
      <c r="D5" s="672" t="n"/>
      <c r="E5" s="1282" t="inlineStr">
        <is>
          <t>Exercice clos le :</t>
        </is>
      </c>
      <c r="F5" s="1148" t="n"/>
      <c r="G5" s="2026" t="n"/>
      <c r="I5" s="1451" t="inlineStr">
        <is>
          <t>Durée (en mois) :</t>
        </is>
      </c>
      <c r="J5" s="1285">
        <f>SUPPL17!J5</f>
        <v/>
      </c>
    </row>
    <row r="6">
      <c r="A6" s="259" t="inlineStr">
        <is>
          <t xml:space="preserve">N° de télédéclarant (NES): </t>
        </is>
      </c>
      <c r="C6" s="2026">
        <f>+SUPPL17!C6</f>
        <v/>
      </c>
      <c r="D6" s="2026" t="n"/>
      <c r="E6" s="2026" t="n"/>
      <c r="F6" s="1457" t="n"/>
      <c r="G6" s="135" t="n"/>
      <c r="H6" s="1589" t="n"/>
      <c r="I6" s="2030" t="n"/>
    </row>
    <row r="7" ht="16.15" customHeight="1" s="1225" thickBot="1">
      <c r="A7" s="2043" t="inlineStr">
        <is>
          <t>LISTE DES PRINCIPAUX FOURNISSEURS</t>
        </is>
      </c>
      <c r="B7" s="1303" t="n"/>
      <c r="C7" s="1303" t="n"/>
      <c r="D7" s="1303" t="n"/>
      <c r="E7" s="1303" t="n"/>
      <c r="F7" s="1303" t="n"/>
      <c r="G7" s="1303" t="n"/>
      <c r="H7" s="1303" t="n"/>
      <c r="I7" s="1303" t="n"/>
      <c r="J7" s="1303" t="n"/>
    </row>
  </sheetData>
  <mergeCells count="3">
    <mergeCell ref="A7:J7"/>
    <mergeCell ref="I4:J4"/>
    <mergeCell ref="H2:J2"/>
  </mergeCells>
  <pageMargins left="0.7" right="0.7" top="0.75" bottom="0.75" header="0.3" footer="0.3"/>
  <pageSetup orientation="portrait" paperSize="9" scale="60"/>
</worksheet>
</file>

<file path=xl/worksheets/sheet88.xml><?xml version="1.0" encoding="utf-8"?>
<worksheet xmlns="http://schemas.openxmlformats.org/spreadsheetml/2006/main">
  <sheetPr>
    <tabColor theme="4" tint="0.5999938962981048"/>
    <outlinePr summaryBelow="1" summaryRight="1"/>
    <pageSetUpPr fitToPage="1"/>
  </sheetPr>
  <dimension ref="A1:I39"/>
  <sheetViews>
    <sheetView showGridLines="0" topLeftCell="A16" zoomScaleNormal="100" workbookViewId="0">
      <selection activeCell="B14" sqref="B14"/>
    </sheetView>
  </sheetViews>
  <sheetFormatPr baseColWidth="10" defaultColWidth="11.42578125" defaultRowHeight="15"/>
  <cols>
    <col width="9.5703125" customWidth="1" style="1225" min="1" max="1"/>
    <col width="13.42578125" customWidth="1" style="1225" min="2" max="2"/>
    <col width="12.140625" customWidth="1" style="1225" min="3" max="3"/>
    <col width="7.7109375" customWidth="1" style="1225" min="4" max="4"/>
    <col width="14.85546875" customWidth="1" style="1225" min="5" max="5"/>
    <col width="11.85546875" customWidth="1" style="1225" min="6" max="6"/>
    <col width="14.42578125" customWidth="1" style="1225" min="7" max="7"/>
    <col width="19.42578125" customWidth="1" style="1225" min="8" max="8"/>
  </cols>
  <sheetData>
    <row r="1">
      <c r="A1" s="1429" t="inlineStr">
        <is>
          <t>- 35 -</t>
        </is>
      </c>
    </row>
    <row r="2" ht="24.95" customHeight="1" s="1225">
      <c r="A2" s="1429" t="n"/>
      <c r="B2" s="1429" t="n"/>
      <c r="C2" s="1429" t="n"/>
      <c r="D2" s="1429" t="n"/>
      <c r="E2" s="1429" t="n"/>
      <c r="F2" s="1429" t="n"/>
      <c r="G2" s="2052" t="inlineStr">
        <is>
          <t xml:space="preserve">ETAT SUPPLEMENTAIRE N° 19
</t>
        </is>
      </c>
      <c r="H2" s="1274" t="n"/>
    </row>
    <row r="3">
      <c r="A3" s="1451" t="inlineStr">
        <is>
          <t>Dénomination sociale de l'entité :</t>
        </is>
      </c>
      <c r="B3" s="1451" t="n"/>
      <c r="C3" s="1276">
        <f>'NOTE 31'!C3</f>
        <v/>
      </c>
      <c r="D3" s="1277" t="n"/>
      <c r="E3" s="1277" t="n"/>
      <c r="F3" s="1277" t="n"/>
      <c r="G3" s="1277" t="n"/>
      <c r="H3" s="1277" t="n"/>
    </row>
    <row r="4">
      <c r="A4" s="1451" t="inlineStr">
        <is>
          <t>Adresse :</t>
        </is>
      </c>
      <c r="B4" s="1488">
        <f>'NOTE 31'!B4</f>
        <v/>
      </c>
      <c r="C4" s="1288" t="n"/>
      <c r="D4" s="1288" t="n"/>
      <c r="E4" s="1288" t="n"/>
      <c r="F4" s="1288" t="n"/>
      <c r="G4" s="1589" t="inlineStr">
        <is>
          <t>Sigle usuel :</t>
        </is>
      </c>
      <c r="H4" s="1280">
        <f>'NOTE 31'!K4</f>
        <v/>
      </c>
    </row>
    <row r="5">
      <c r="A5" s="1451" t="inlineStr">
        <is>
          <t>N° IFU :</t>
        </is>
      </c>
      <c r="B5" s="1451" t="n"/>
      <c r="C5" s="1276">
        <f>'NOTE 31'!C5</f>
        <v/>
      </c>
      <c r="D5" s="1277" t="n"/>
      <c r="E5" s="1457" t="inlineStr">
        <is>
          <t>Exercice clos le :</t>
        </is>
      </c>
      <c r="F5" s="1563">
        <f>'NOTE 31'!H5</f>
        <v/>
      </c>
      <c r="G5" s="1589" t="inlineStr">
        <is>
          <t>Durée (en mois) :</t>
        </is>
      </c>
      <c r="H5" s="1970">
        <f>'NOTE 31'!K5</f>
        <v/>
      </c>
    </row>
    <row r="6">
      <c r="A6" s="259" t="inlineStr">
        <is>
          <t xml:space="preserve">N° de télédéclarant (NES): </t>
        </is>
      </c>
      <c r="B6" s="1451" t="n"/>
      <c r="C6" s="1520">
        <f>'NOTE 31'!C6</f>
        <v/>
      </c>
      <c r="D6" s="1521" t="n"/>
      <c r="E6" s="253" t="n"/>
      <c r="F6" s="1970" t="n"/>
      <c r="G6" s="254" t="n"/>
      <c r="H6" s="1970" t="n"/>
    </row>
    <row r="7" ht="35.1" customHeight="1" s="1225" thickBot="1">
      <c r="A7" s="2051" t="inlineStr">
        <is>
          <t>TABLEAU DE DETERMINATION DU RESULTAT FISCAL</t>
        </is>
      </c>
    </row>
    <row r="8" ht="21" customFormat="1" customHeight="1" s="1451">
      <c r="A8" s="2053" t="inlineStr">
        <is>
          <t>Libellés</t>
        </is>
      </c>
      <c r="B8" s="1817" t="n"/>
      <c r="C8" s="1817" t="n"/>
      <c r="D8" s="1817" t="n"/>
      <c r="E8" s="1817" t="n"/>
      <c r="F8" s="1817" t="n"/>
      <c r="G8" s="1905" t="n"/>
      <c r="H8" s="1065" t="inlineStr">
        <is>
          <t>Montant</t>
        </is>
      </c>
    </row>
    <row r="9" ht="17.1" customFormat="1" customHeight="1" s="1451">
      <c r="A9" s="2045" t="inlineStr">
        <is>
          <t>1 : RESULTAT NET COMPTABLE DE L'EXERCICE</t>
        </is>
      </c>
      <c r="G9" s="1242" t="n"/>
      <c r="H9" s="1066" t="n"/>
      <c r="I9" s="1100" t="n"/>
    </row>
    <row r="10" ht="17.1" customFormat="1" customHeight="1" s="1451">
      <c r="A10" s="2050" t="n"/>
      <c r="B10" s="1253" t="n"/>
      <c r="C10" s="1253" t="n"/>
      <c r="D10" s="1253" t="n"/>
      <c r="E10" s="1253" t="n"/>
      <c r="F10" s="1253" t="n"/>
      <c r="G10" s="1274" t="n"/>
      <c r="H10" s="1067" t="n"/>
    </row>
    <row r="11" ht="17.1" customFormat="1" customHeight="1" s="1451">
      <c r="A11" s="2045" t="inlineStr">
        <is>
          <t>2 :  REINTEGRATIONS (1)</t>
        </is>
      </c>
      <c r="G11" s="1242" t="n"/>
      <c r="H11" s="1068">
        <f>SUM(H12:H16)</f>
        <v/>
      </c>
    </row>
    <row r="12" ht="17.1" customFormat="1" customHeight="1" s="1451">
      <c r="A12" s="2044" t="inlineStr">
        <is>
          <t>IMPÔT MINIMUN FORFAITAIRE</t>
        </is>
      </c>
      <c r="B12" s="1314" t="n"/>
      <c r="C12" s="1314" t="n"/>
      <c r="D12" s="1314" t="n"/>
      <c r="E12" s="1314" t="n"/>
      <c r="F12" s="1314" t="n"/>
      <c r="G12" s="1315" t="n"/>
      <c r="H12" s="1069" t="n"/>
    </row>
    <row r="13" ht="17.1" customFormat="1" customHeight="1" s="1451">
      <c r="A13" s="2044" t="inlineStr">
        <is>
          <t>AMENDES ET PENALITES DE TOUTE NATURE</t>
        </is>
      </c>
      <c r="B13" s="1314" t="n"/>
      <c r="C13" s="1314" t="n"/>
      <c r="D13" s="1314" t="n"/>
      <c r="E13" s="1314" t="n"/>
      <c r="F13" s="1314" t="n"/>
      <c r="G13" s="1315" t="n"/>
      <c r="H13" s="1069" t="n"/>
    </row>
    <row r="14" ht="17.1" customFormat="1" customHeight="1" s="1451">
      <c r="A14" s="2044" t="inlineStr">
        <is>
          <t>FRAIS D'HÔTEL - CADEAUX - DONS - LIBERALITES (NON DEDUCTIBLES)</t>
        </is>
      </c>
      <c r="B14" s="1314" t="n"/>
      <c r="C14" s="1314" t="n"/>
      <c r="D14" s="1314" t="n"/>
      <c r="E14" s="1314" t="n"/>
      <c r="F14" s="1314" t="n"/>
      <c r="G14" s="1315" t="n"/>
      <c r="H14" s="1069" t="n"/>
    </row>
    <row r="15" ht="17.1" customFormat="1" customHeight="1" s="1451">
      <c r="A15" s="2044" t="inlineStr">
        <is>
          <t>PRIMES D'ASSURANCES NON DEDUCTIBLES</t>
        </is>
      </c>
      <c r="B15" s="1314" t="n"/>
      <c r="C15" s="1314" t="n"/>
      <c r="D15" s="1314" t="n"/>
      <c r="E15" s="1314" t="n"/>
      <c r="F15" s="1314" t="n"/>
      <c r="G15" s="1315" t="n"/>
      <c r="H15" s="1069" t="n"/>
    </row>
    <row r="16" ht="17.1" customFormat="1" customHeight="1" s="1451">
      <c r="A16" s="2044" t="inlineStr">
        <is>
          <t>AUTRES REINTEGRATIONS</t>
        </is>
      </c>
      <c r="B16" s="1314" t="n"/>
      <c r="C16" s="1314" t="n"/>
      <c r="D16" s="1314" t="n"/>
      <c r="E16" s="1314" t="n"/>
      <c r="F16" s="1314" t="n"/>
      <c r="G16" s="1315" t="n"/>
      <c r="H16" s="1069" t="n"/>
    </row>
    <row r="17" ht="17.1" customFormat="1" customHeight="1" s="1451">
      <c r="A17" s="2045" t="inlineStr">
        <is>
          <t>3 : DEDUCTIONS (1)</t>
        </is>
      </c>
      <c r="G17" s="1242" t="n"/>
      <c r="H17" s="1068" t="n"/>
    </row>
    <row r="18" ht="17.1" customFormat="1" customHeight="1" s="1451">
      <c r="A18" s="2044" t="inlineStr">
        <is>
          <t>QUOTE PART BENEFICE EXONERE</t>
        </is>
      </c>
      <c r="B18" s="1314" t="n"/>
      <c r="C18" s="1314" t="n"/>
      <c r="D18" s="1314" t="n"/>
      <c r="E18" s="1314" t="n"/>
      <c r="F18" s="1314" t="n"/>
      <c r="G18" s="1315" t="n"/>
      <c r="H18" s="1069" t="n"/>
    </row>
    <row r="19" ht="17.1" customFormat="1" customHeight="1" s="1451">
      <c r="A19" s="2044" t="n"/>
      <c r="B19" s="1314" t="n"/>
      <c r="C19" s="1314" t="n"/>
      <c r="D19" s="1314" t="n"/>
      <c r="E19" s="1314" t="n"/>
      <c r="F19" s="1314" t="n"/>
      <c r="G19" s="1315" t="n"/>
      <c r="H19" s="1069" t="n"/>
    </row>
    <row r="20" ht="17.1" customFormat="1" customHeight="1" s="1451">
      <c r="A20" s="2044" t="n"/>
      <c r="B20" s="1314" t="n"/>
      <c r="C20" s="1314" t="n"/>
      <c r="D20" s="1314" t="n"/>
      <c r="E20" s="1314" t="n"/>
      <c r="F20" s="1314" t="n"/>
      <c r="G20" s="1315" t="n"/>
      <c r="H20" s="1069" t="n"/>
    </row>
    <row r="21" ht="17.1" customFormat="1" customHeight="1" s="1451">
      <c r="A21" s="2044" t="n"/>
      <c r="B21" s="1314" t="n"/>
      <c r="C21" s="1314" t="n"/>
      <c r="D21" s="1314" t="n"/>
      <c r="E21" s="1314" t="n"/>
      <c r="F21" s="1314" t="n"/>
      <c r="G21" s="1315" t="n"/>
      <c r="H21" s="1069" t="n"/>
    </row>
    <row r="22" ht="17.1" customFormat="1" customHeight="1" s="1451">
      <c r="A22" s="2044" t="n"/>
      <c r="B22" s="1314" t="n"/>
      <c r="C22" s="1314" t="n"/>
      <c r="D22" s="1314" t="n"/>
      <c r="E22" s="1314" t="n"/>
      <c r="F22" s="1314" t="n"/>
      <c r="G22" s="1315" t="n"/>
      <c r="H22" s="1069" t="n"/>
    </row>
    <row r="23" ht="17.1" customFormat="1" customHeight="1" s="1451">
      <c r="A23" s="2045" t="inlineStr">
        <is>
          <t>4 : RESULTAT IMPOSABLE AVANT DEDUCTION DES DEFICITS ( 4 = 1+2-3)</t>
        </is>
      </c>
      <c r="G23" s="1242" t="n"/>
      <c r="H23" s="1068">
        <f>H9+H11-H17</f>
        <v/>
      </c>
    </row>
    <row r="24" ht="17.1" customFormat="1" customHeight="1" s="1451">
      <c r="A24" s="2050" t="n"/>
      <c r="B24" s="1253" t="n"/>
      <c r="C24" s="1253" t="n"/>
      <c r="D24" s="1253" t="n"/>
      <c r="E24" s="1253" t="n"/>
      <c r="F24" s="1253" t="n"/>
      <c r="G24" s="1274" t="n"/>
      <c r="H24" s="1067" t="n"/>
    </row>
    <row r="25" ht="17.1" customFormat="1" customHeight="1" s="1451">
      <c r="A25" s="2045" t="inlineStr">
        <is>
          <t>5 : DEFICITS  ANTERIEURS A L'EXERCICE (1)</t>
        </is>
      </c>
      <c r="G25" s="1242" t="n"/>
      <c r="H25" s="1068">
        <f>SUM(H26:H27)</f>
        <v/>
      </c>
    </row>
    <row r="26" ht="17.1" customFormat="1" customHeight="1" s="1451">
      <c r="A26" s="2049" t="inlineStr">
        <is>
          <t>DEFICITS ANTERIEURS IMPUTES SUR LE RESULTAT DE L'EXERCICE</t>
        </is>
      </c>
      <c r="B26" s="1314" t="n"/>
      <c r="C26" s="1314" t="n"/>
      <c r="D26" s="1314" t="n"/>
      <c r="E26" s="1314" t="n"/>
      <c r="F26" s="1314" t="n"/>
      <c r="G26" s="1315" t="n"/>
      <c r="H26" s="1174" t="n"/>
    </row>
    <row r="27" ht="17.1" customFormat="1" customHeight="1" s="1451">
      <c r="A27" s="2044" t="n"/>
      <c r="B27" s="1314" t="n"/>
      <c r="C27" s="1314" t="n"/>
      <c r="D27" s="1314" t="n"/>
      <c r="E27" s="1314" t="n"/>
      <c r="F27" s="1314" t="n"/>
      <c r="G27" s="1315" t="n"/>
      <c r="H27" s="1069" t="n"/>
    </row>
    <row r="28" ht="17.1" customFormat="1" customHeight="1" s="1451">
      <c r="A28" s="2045" t="inlineStr">
        <is>
          <t>6 : AMORTISSEMENTS REGULIEREMENT DIFFERES (1)</t>
        </is>
      </c>
      <c r="G28" s="1242" t="n"/>
      <c r="H28" s="1068">
        <f>SUM(H29:H30)</f>
        <v/>
      </c>
    </row>
    <row r="29" ht="17.1" customFormat="1" customHeight="1" s="1451">
      <c r="A29" s="2044" t="inlineStr">
        <is>
          <t xml:space="preserve">     ……………..</t>
        </is>
      </c>
      <c r="B29" s="1314" t="n"/>
      <c r="C29" s="1314" t="n"/>
      <c r="D29" s="1314" t="n"/>
      <c r="E29" s="1314" t="n"/>
      <c r="F29" s="1314" t="n"/>
      <c r="G29" s="1315" t="n"/>
      <c r="H29" s="1069" t="n"/>
    </row>
    <row r="30" ht="17.1" customFormat="1" customHeight="1" s="1451">
      <c r="A30" s="2044" t="inlineStr">
        <is>
          <t xml:space="preserve">     ……………..</t>
        </is>
      </c>
      <c r="B30" s="1314" t="n"/>
      <c r="C30" s="1314" t="n"/>
      <c r="D30" s="1314" t="n"/>
      <c r="E30" s="1314" t="n"/>
      <c r="F30" s="1314" t="n"/>
      <c r="G30" s="1315" t="n"/>
      <c r="H30" s="1069" t="n"/>
    </row>
    <row r="31" ht="17.1" customFormat="1" customHeight="1" s="1451">
      <c r="A31" s="2045" t="inlineStr">
        <is>
          <t>7 : AMORTISSEMENTS DE L'EXERCICE A DIFFERER (1)</t>
        </is>
      </c>
      <c r="G31" s="1242" t="n"/>
      <c r="H31" s="1068">
        <f>SUM(H32:H33)</f>
        <v/>
      </c>
    </row>
    <row r="32" ht="17.1" customFormat="1" customHeight="1" s="1451">
      <c r="A32" s="2044" t="inlineStr">
        <is>
          <t xml:space="preserve">     ……………..</t>
        </is>
      </c>
      <c r="B32" s="1314" t="n"/>
      <c r="C32" s="1314" t="n"/>
      <c r="D32" s="1314" t="n"/>
      <c r="E32" s="1314" t="n"/>
      <c r="F32" s="1314" t="n"/>
      <c r="G32" s="1315" t="n"/>
      <c r="H32" s="1069" t="n"/>
    </row>
    <row r="33" ht="17.1" customFormat="1" customHeight="1" s="1451">
      <c r="A33" s="2044" t="n"/>
      <c r="B33" s="1314" t="n"/>
      <c r="C33" s="1314" t="n"/>
      <c r="D33" s="1314" t="n"/>
      <c r="E33" s="1314" t="n"/>
      <c r="F33" s="1314" t="n"/>
      <c r="G33" s="1315" t="n"/>
      <c r="H33" s="1069" t="n"/>
    </row>
    <row r="34" ht="17.1" customFormat="1" customHeight="1" s="1451">
      <c r="A34" s="2045" t="inlineStr">
        <is>
          <t>8 : RESULTAT FISCAL DE L'EXERCICE (8= 4-5-6+7)</t>
        </is>
      </c>
      <c r="G34" s="1242" t="n"/>
      <c r="H34" s="1068">
        <f>H23-H25-H28+H31</f>
        <v/>
      </c>
    </row>
    <row r="35" ht="17.1" customFormat="1" customHeight="1" s="1451">
      <c r="A35" s="2050" t="n"/>
      <c r="B35" s="1253" t="n"/>
      <c r="C35" s="1253" t="n"/>
      <c r="D35" s="1253" t="n"/>
      <c r="E35" s="1253" t="n"/>
      <c r="F35" s="1253" t="n"/>
      <c r="G35" s="1274" t="n"/>
      <c r="H35" s="1067" t="n"/>
    </row>
    <row r="36" ht="17.1" customFormat="1" customHeight="1" s="1451">
      <c r="A36" s="1070" t="inlineStr">
        <is>
          <t>9: IMPOTS SUR LE RESULTAT AU TAUX DE :</t>
        </is>
      </c>
      <c r="B36" s="607" t="n"/>
      <c r="C36" s="609" t="n"/>
      <c r="D36" s="608" t="n">
        <v>0.275</v>
      </c>
      <c r="E36" s="609" t="n"/>
      <c r="F36" s="609" t="n"/>
      <c r="G36" s="609" t="n"/>
      <c r="H36" s="1068" t="n"/>
    </row>
    <row r="37" ht="17.1" customFormat="1" customHeight="1" s="1451" thickBot="1">
      <c r="A37" s="2047" t="n"/>
      <c r="B37" s="1471" t="n"/>
      <c r="C37" s="1471" t="n"/>
      <c r="D37" s="1471" t="n"/>
      <c r="E37" s="1471" t="n"/>
      <c r="F37" s="1471" t="n"/>
      <c r="G37" s="2048" t="n"/>
      <c r="H37" s="1071" t="n"/>
    </row>
    <row r="38">
      <c r="A38" s="1382" t="n"/>
      <c r="G38" s="1382" t="n"/>
      <c r="H38" s="1992" t="n"/>
    </row>
    <row r="39" ht="16.15" customHeight="1" s="1225">
      <c r="A39" s="2046" t="inlineStr">
        <is>
          <t>(1) A détailler</t>
        </is>
      </c>
      <c r="H39" s="1175" t="n"/>
    </row>
  </sheetData>
  <mergeCells count="38">
    <mergeCell ref="B4:F4"/>
    <mergeCell ref="A32:G32"/>
    <mergeCell ref="A14:G14"/>
    <mergeCell ref="C6:D6"/>
    <mergeCell ref="A17:G17"/>
    <mergeCell ref="G2:H2"/>
    <mergeCell ref="A8:G8"/>
    <mergeCell ref="A22:G22"/>
    <mergeCell ref="C5:D5"/>
    <mergeCell ref="A35:G35"/>
    <mergeCell ref="A20:G20"/>
    <mergeCell ref="A29:G29"/>
    <mergeCell ref="A1:H1"/>
    <mergeCell ref="A19:G19"/>
    <mergeCell ref="A10:G10"/>
    <mergeCell ref="A28:G28"/>
    <mergeCell ref="A13:G13"/>
    <mergeCell ref="A9:G9"/>
    <mergeCell ref="A7:H7"/>
    <mergeCell ref="A31:G31"/>
    <mergeCell ref="A34:G34"/>
    <mergeCell ref="A30:G30"/>
    <mergeCell ref="A24:G24"/>
    <mergeCell ref="A15:G15"/>
    <mergeCell ref="A11:G11"/>
    <mergeCell ref="A38:F38"/>
    <mergeCell ref="A16:G16"/>
    <mergeCell ref="C3:H3"/>
    <mergeCell ref="A25:G25"/>
    <mergeCell ref="A39:F39"/>
    <mergeCell ref="A37:G37"/>
    <mergeCell ref="A18:G18"/>
    <mergeCell ref="A27:G27"/>
    <mergeCell ref="A21:G21"/>
    <mergeCell ref="A12:G12"/>
    <mergeCell ref="A26:G26"/>
    <mergeCell ref="A33:G33"/>
    <mergeCell ref="A23:G23"/>
  </mergeCells>
  <printOptions horizontalCentered="1"/>
  <pageMargins left="0.3149606299212598" right="0.3149606299212598" top="0.3543307086614174" bottom="0.3543307086614174" header="0.3149606299212598" footer="0.3149606299212598"/>
  <pageSetup orientation="portrait" paperSize="9" scale="94"/>
</worksheet>
</file>

<file path=xl/worksheets/sheet89.xml><?xml version="1.0" encoding="utf-8"?>
<worksheet xmlns="http://schemas.openxmlformats.org/spreadsheetml/2006/main">
  <sheetPr>
    <tabColor theme="4" tint="0.5999938962981048"/>
    <outlinePr summaryBelow="1" summaryRight="1"/>
    <pageSetUpPr/>
  </sheetPr>
  <dimension ref="A1:L83"/>
  <sheetViews>
    <sheetView topLeftCell="A58" zoomScaleNormal="100" workbookViewId="0">
      <selection activeCell="B14" sqref="B14"/>
    </sheetView>
  </sheetViews>
  <sheetFormatPr baseColWidth="10" defaultRowHeight="15"/>
  <cols>
    <col width="8.7109375" customWidth="1" style="1225" min="1" max="1"/>
    <col width="18" customWidth="1" style="1225" min="2" max="2"/>
    <col width="11.5703125" customWidth="1" style="1225" min="3" max="3"/>
    <col width="11" customWidth="1" style="1225" min="5" max="5"/>
    <col width="12.28515625" customWidth="1" style="1225" min="6" max="6"/>
    <col width="10.140625" customWidth="1" style="1225" min="7" max="7"/>
    <col width="12.7109375" customWidth="1" style="1225" min="8" max="8"/>
    <col width="11.7109375" bestFit="1" customWidth="1" style="1225" min="10" max="10"/>
    <col width="10.5703125" customWidth="1" style="1225" min="257" max="257"/>
    <col width="59.42578125" bestFit="1" customWidth="1" style="1225" min="258" max="258"/>
    <col width="11.5703125" customWidth="1" style="1225" min="259" max="259"/>
    <col width="11" customWidth="1" style="1225" min="261" max="261"/>
    <col width="24.140625" bestFit="1" customWidth="1" style="1225" min="262" max="262"/>
    <col width="10.140625" customWidth="1" style="1225" min="263" max="263"/>
    <col width="14.28515625" customWidth="1" style="1225" min="264" max="264"/>
    <col width="10.5703125" customWidth="1" style="1225" min="513" max="513"/>
    <col width="59.42578125" bestFit="1" customWidth="1" style="1225" min="514" max="514"/>
    <col width="11.5703125" customWidth="1" style="1225" min="515" max="515"/>
    <col width="11" customWidth="1" style="1225" min="517" max="517"/>
    <col width="24.140625" bestFit="1" customWidth="1" style="1225" min="518" max="518"/>
    <col width="10.140625" customWidth="1" style="1225" min="519" max="519"/>
    <col width="14.28515625" customWidth="1" style="1225" min="520" max="520"/>
    <col width="10.5703125" customWidth="1" style="1225" min="769" max="769"/>
    <col width="59.42578125" bestFit="1" customWidth="1" style="1225" min="770" max="770"/>
    <col width="11.5703125" customWidth="1" style="1225" min="771" max="771"/>
    <col width="11" customWidth="1" style="1225" min="773" max="773"/>
    <col width="24.140625" bestFit="1" customWidth="1" style="1225" min="774" max="774"/>
    <col width="10.140625" customWidth="1" style="1225" min="775" max="775"/>
    <col width="14.28515625" customWidth="1" style="1225" min="776" max="776"/>
    <col width="10.5703125" customWidth="1" style="1225" min="1025" max="1025"/>
    <col width="59.42578125" bestFit="1" customWidth="1" style="1225" min="1026" max="1026"/>
    <col width="11.5703125" customWidth="1" style="1225" min="1027" max="1027"/>
    <col width="11" customWidth="1" style="1225" min="1029" max="1029"/>
    <col width="24.140625" bestFit="1" customWidth="1" style="1225" min="1030" max="1030"/>
    <col width="10.140625" customWidth="1" style="1225" min="1031" max="1031"/>
    <col width="14.28515625" customWidth="1" style="1225" min="1032" max="1032"/>
    <col width="10.5703125" customWidth="1" style="1225" min="1281" max="1281"/>
    <col width="59.42578125" bestFit="1" customWidth="1" style="1225" min="1282" max="1282"/>
    <col width="11.5703125" customWidth="1" style="1225" min="1283" max="1283"/>
    <col width="11" customWidth="1" style="1225" min="1285" max="1285"/>
    <col width="24.140625" bestFit="1" customWidth="1" style="1225" min="1286" max="1286"/>
    <col width="10.140625" customWidth="1" style="1225" min="1287" max="1287"/>
    <col width="14.28515625" customWidth="1" style="1225" min="1288" max="1288"/>
    <col width="10.5703125" customWidth="1" style="1225" min="1537" max="1537"/>
    <col width="59.42578125" bestFit="1" customWidth="1" style="1225" min="1538" max="1538"/>
    <col width="11.5703125" customWidth="1" style="1225" min="1539" max="1539"/>
    <col width="11" customWidth="1" style="1225" min="1541" max="1541"/>
    <col width="24.140625" bestFit="1" customWidth="1" style="1225" min="1542" max="1542"/>
    <col width="10.140625" customWidth="1" style="1225" min="1543" max="1543"/>
    <col width="14.28515625" customWidth="1" style="1225" min="1544" max="1544"/>
    <col width="10.5703125" customWidth="1" style="1225" min="1793" max="1793"/>
    <col width="59.42578125" bestFit="1" customWidth="1" style="1225" min="1794" max="1794"/>
    <col width="11.5703125" customWidth="1" style="1225" min="1795" max="1795"/>
    <col width="11" customWidth="1" style="1225" min="1797" max="1797"/>
    <col width="24.140625" bestFit="1" customWidth="1" style="1225" min="1798" max="1798"/>
    <col width="10.140625" customWidth="1" style="1225" min="1799" max="1799"/>
    <col width="14.28515625" customWidth="1" style="1225" min="1800" max="1800"/>
    <col width="10.5703125" customWidth="1" style="1225" min="2049" max="2049"/>
    <col width="59.42578125" bestFit="1" customWidth="1" style="1225" min="2050" max="2050"/>
    <col width="11.5703125" customWidth="1" style="1225" min="2051" max="2051"/>
    <col width="11" customWidth="1" style="1225" min="2053" max="2053"/>
    <col width="24.140625" bestFit="1" customWidth="1" style="1225" min="2054" max="2054"/>
    <col width="10.140625" customWidth="1" style="1225" min="2055" max="2055"/>
    <col width="14.28515625" customWidth="1" style="1225" min="2056" max="2056"/>
    <col width="10.5703125" customWidth="1" style="1225" min="2305" max="2305"/>
    <col width="59.42578125" bestFit="1" customWidth="1" style="1225" min="2306" max="2306"/>
    <col width="11.5703125" customWidth="1" style="1225" min="2307" max="2307"/>
    <col width="11" customWidth="1" style="1225" min="2309" max="2309"/>
    <col width="24.140625" bestFit="1" customWidth="1" style="1225" min="2310" max="2310"/>
    <col width="10.140625" customWidth="1" style="1225" min="2311" max="2311"/>
    <col width="14.28515625" customWidth="1" style="1225" min="2312" max="2312"/>
    <col width="10.5703125" customWidth="1" style="1225" min="2561" max="2561"/>
    <col width="59.42578125" bestFit="1" customWidth="1" style="1225" min="2562" max="2562"/>
    <col width="11.5703125" customWidth="1" style="1225" min="2563" max="2563"/>
    <col width="11" customWidth="1" style="1225" min="2565" max="2565"/>
    <col width="24.140625" bestFit="1" customWidth="1" style="1225" min="2566" max="2566"/>
    <col width="10.140625" customWidth="1" style="1225" min="2567" max="2567"/>
    <col width="14.28515625" customWidth="1" style="1225" min="2568" max="2568"/>
    <col width="10.5703125" customWidth="1" style="1225" min="2817" max="2817"/>
    <col width="59.42578125" bestFit="1" customWidth="1" style="1225" min="2818" max="2818"/>
    <col width="11.5703125" customWidth="1" style="1225" min="2819" max="2819"/>
    <col width="11" customWidth="1" style="1225" min="2821" max="2821"/>
    <col width="24.140625" bestFit="1" customWidth="1" style="1225" min="2822" max="2822"/>
    <col width="10.140625" customWidth="1" style="1225" min="2823" max="2823"/>
    <col width="14.28515625" customWidth="1" style="1225" min="2824" max="2824"/>
    <col width="10.5703125" customWidth="1" style="1225" min="3073" max="3073"/>
    <col width="59.42578125" bestFit="1" customWidth="1" style="1225" min="3074" max="3074"/>
    <col width="11.5703125" customWidth="1" style="1225" min="3075" max="3075"/>
    <col width="11" customWidth="1" style="1225" min="3077" max="3077"/>
    <col width="24.140625" bestFit="1" customWidth="1" style="1225" min="3078" max="3078"/>
    <col width="10.140625" customWidth="1" style="1225" min="3079" max="3079"/>
    <col width="14.28515625" customWidth="1" style="1225" min="3080" max="3080"/>
    <col width="10.5703125" customWidth="1" style="1225" min="3329" max="3329"/>
    <col width="59.42578125" bestFit="1" customWidth="1" style="1225" min="3330" max="3330"/>
    <col width="11.5703125" customWidth="1" style="1225" min="3331" max="3331"/>
    <col width="11" customWidth="1" style="1225" min="3333" max="3333"/>
    <col width="24.140625" bestFit="1" customWidth="1" style="1225" min="3334" max="3334"/>
    <col width="10.140625" customWidth="1" style="1225" min="3335" max="3335"/>
    <col width="14.28515625" customWidth="1" style="1225" min="3336" max="3336"/>
    <col width="10.5703125" customWidth="1" style="1225" min="3585" max="3585"/>
    <col width="59.42578125" bestFit="1" customWidth="1" style="1225" min="3586" max="3586"/>
    <col width="11.5703125" customWidth="1" style="1225" min="3587" max="3587"/>
    <col width="11" customWidth="1" style="1225" min="3589" max="3589"/>
    <col width="24.140625" bestFit="1" customWidth="1" style="1225" min="3590" max="3590"/>
    <col width="10.140625" customWidth="1" style="1225" min="3591" max="3591"/>
    <col width="14.28515625" customWidth="1" style="1225" min="3592" max="3592"/>
    <col width="10.5703125" customWidth="1" style="1225" min="3841" max="3841"/>
    <col width="59.42578125" bestFit="1" customWidth="1" style="1225" min="3842" max="3842"/>
    <col width="11.5703125" customWidth="1" style="1225" min="3843" max="3843"/>
    <col width="11" customWidth="1" style="1225" min="3845" max="3845"/>
    <col width="24.140625" bestFit="1" customWidth="1" style="1225" min="3846" max="3846"/>
    <col width="10.140625" customWidth="1" style="1225" min="3847" max="3847"/>
    <col width="14.28515625" customWidth="1" style="1225" min="3848" max="3848"/>
    <col width="10.5703125" customWidth="1" style="1225" min="4097" max="4097"/>
    <col width="59.42578125" bestFit="1" customWidth="1" style="1225" min="4098" max="4098"/>
    <col width="11.5703125" customWidth="1" style="1225" min="4099" max="4099"/>
    <col width="11" customWidth="1" style="1225" min="4101" max="4101"/>
    <col width="24.140625" bestFit="1" customWidth="1" style="1225" min="4102" max="4102"/>
    <col width="10.140625" customWidth="1" style="1225" min="4103" max="4103"/>
    <col width="14.28515625" customWidth="1" style="1225" min="4104" max="4104"/>
    <col width="10.5703125" customWidth="1" style="1225" min="4353" max="4353"/>
    <col width="59.42578125" bestFit="1" customWidth="1" style="1225" min="4354" max="4354"/>
    <col width="11.5703125" customWidth="1" style="1225" min="4355" max="4355"/>
    <col width="11" customWidth="1" style="1225" min="4357" max="4357"/>
    <col width="24.140625" bestFit="1" customWidth="1" style="1225" min="4358" max="4358"/>
    <col width="10.140625" customWidth="1" style="1225" min="4359" max="4359"/>
    <col width="14.28515625" customWidth="1" style="1225" min="4360" max="4360"/>
    <col width="10.5703125" customWidth="1" style="1225" min="4609" max="4609"/>
    <col width="59.42578125" bestFit="1" customWidth="1" style="1225" min="4610" max="4610"/>
    <col width="11.5703125" customWidth="1" style="1225" min="4611" max="4611"/>
    <col width="11" customWidth="1" style="1225" min="4613" max="4613"/>
    <col width="24.140625" bestFit="1" customWidth="1" style="1225" min="4614" max="4614"/>
    <col width="10.140625" customWidth="1" style="1225" min="4615" max="4615"/>
    <col width="14.28515625" customWidth="1" style="1225" min="4616" max="4616"/>
    <col width="10.5703125" customWidth="1" style="1225" min="4865" max="4865"/>
    <col width="59.42578125" bestFit="1" customWidth="1" style="1225" min="4866" max="4866"/>
    <col width="11.5703125" customWidth="1" style="1225" min="4867" max="4867"/>
    <col width="11" customWidth="1" style="1225" min="4869" max="4869"/>
    <col width="24.140625" bestFit="1" customWidth="1" style="1225" min="4870" max="4870"/>
    <col width="10.140625" customWidth="1" style="1225" min="4871" max="4871"/>
    <col width="14.28515625" customWidth="1" style="1225" min="4872" max="4872"/>
    <col width="10.5703125" customWidth="1" style="1225" min="5121" max="5121"/>
    <col width="59.42578125" bestFit="1" customWidth="1" style="1225" min="5122" max="5122"/>
    <col width="11.5703125" customWidth="1" style="1225" min="5123" max="5123"/>
    <col width="11" customWidth="1" style="1225" min="5125" max="5125"/>
    <col width="24.140625" bestFit="1" customWidth="1" style="1225" min="5126" max="5126"/>
    <col width="10.140625" customWidth="1" style="1225" min="5127" max="5127"/>
    <col width="14.28515625" customWidth="1" style="1225" min="5128" max="5128"/>
    <col width="10.5703125" customWidth="1" style="1225" min="5377" max="5377"/>
    <col width="59.42578125" bestFit="1" customWidth="1" style="1225" min="5378" max="5378"/>
    <col width="11.5703125" customWidth="1" style="1225" min="5379" max="5379"/>
    <col width="11" customWidth="1" style="1225" min="5381" max="5381"/>
    <col width="24.140625" bestFit="1" customWidth="1" style="1225" min="5382" max="5382"/>
    <col width="10.140625" customWidth="1" style="1225" min="5383" max="5383"/>
    <col width="14.28515625" customWidth="1" style="1225" min="5384" max="5384"/>
    <col width="10.5703125" customWidth="1" style="1225" min="5633" max="5633"/>
    <col width="59.42578125" bestFit="1" customWidth="1" style="1225" min="5634" max="5634"/>
    <col width="11.5703125" customWidth="1" style="1225" min="5635" max="5635"/>
    <col width="11" customWidth="1" style="1225" min="5637" max="5637"/>
    <col width="24.140625" bestFit="1" customWidth="1" style="1225" min="5638" max="5638"/>
    <col width="10.140625" customWidth="1" style="1225" min="5639" max="5639"/>
    <col width="14.28515625" customWidth="1" style="1225" min="5640" max="5640"/>
    <col width="10.5703125" customWidth="1" style="1225" min="5889" max="5889"/>
    <col width="59.42578125" bestFit="1" customWidth="1" style="1225" min="5890" max="5890"/>
    <col width="11.5703125" customWidth="1" style="1225" min="5891" max="5891"/>
    <col width="11" customWidth="1" style="1225" min="5893" max="5893"/>
    <col width="24.140625" bestFit="1" customWidth="1" style="1225" min="5894" max="5894"/>
    <col width="10.140625" customWidth="1" style="1225" min="5895" max="5895"/>
    <col width="14.28515625" customWidth="1" style="1225" min="5896" max="5896"/>
    <col width="10.5703125" customWidth="1" style="1225" min="6145" max="6145"/>
    <col width="59.42578125" bestFit="1" customWidth="1" style="1225" min="6146" max="6146"/>
    <col width="11.5703125" customWidth="1" style="1225" min="6147" max="6147"/>
    <col width="11" customWidth="1" style="1225" min="6149" max="6149"/>
    <col width="24.140625" bestFit="1" customWidth="1" style="1225" min="6150" max="6150"/>
    <col width="10.140625" customWidth="1" style="1225" min="6151" max="6151"/>
    <col width="14.28515625" customWidth="1" style="1225" min="6152" max="6152"/>
    <col width="10.5703125" customWidth="1" style="1225" min="6401" max="6401"/>
    <col width="59.42578125" bestFit="1" customWidth="1" style="1225" min="6402" max="6402"/>
    <col width="11.5703125" customWidth="1" style="1225" min="6403" max="6403"/>
    <col width="11" customWidth="1" style="1225" min="6405" max="6405"/>
    <col width="24.140625" bestFit="1" customWidth="1" style="1225" min="6406" max="6406"/>
    <col width="10.140625" customWidth="1" style="1225" min="6407" max="6407"/>
    <col width="14.28515625" customWidth="1" style="1225" min="6408" max="6408"/>
    <col width="10.5703125" customWidth="1" style="1225" min="6657" max="6657"/>
    <col width="59.42578125" bestFit="1" customWidth="1" style="1225" min="6658" max="6658"/>
    <col width="11.5703125" customWidth="1" style="1225" min="6659" max="6659"/>
    <col width="11" customWidth="1" style="1225" min="6661" max="6661"/>
    <col width="24.140625" bestFit="1" customWidth="1" style="1225" min="6662" max="6662"/>
    <col width="10.140625" customWidth="1" style="1225" min="6663" max="6663"/>
    <col width="14.28515625" customWidth="1" style="1225" min="6664" max="6664"/>
    <col width="10.5703125" customWidth="1" style="1225" min="6913" max="6913"/>
    <col width="59.42578125" bestFit="1" customWidth="1" style="1225" min="6914" max="6914"/>
    <col width="11.5703125" customWidth="1" style="1225" min="6915" max="6915"/>
    <col width="11" customWidth="1" style="1225" min="6917" max="6917"/>
    <col width="24.140625" bestFit="1" customWidth="1" style="1225" min="6918" max="6918"/>
    <col width="10.140625" customWidth="1" style="1225" min="6919" max="6919"/>
    <col width="14.28515625" customWidth="1" style="1225" min="6920" max="6920"/>
    <col width="10.5703125" customWidth="1" style="1225" min="7169" max="7169"/>
    <col width="59.42578125" bestFit="1" customWidth="1" style="1225" min="7170" max="7170"/>
    <col width="11.5703125" customWidth="1" style="1225" min="7171" max="7171"/>
    <col width="11" customWidth="1" style="1225" min="7173" max="7173"/>
    <col width="24.140625" bestFit="1" customWidth="1" style="1225" min="7174" max="7174"/>
    <col width="10.140625" customWidth="1" style="1225" min="7175" max="7175"/>
    <col width="14.28515625" customWidth="1" style="1225" min="7176" max="7176"/>
    <col width="10.5703125" customWidth="1" style="1225" min="7425" max="7425"/>
    <col width="59.42578125" bestFit="1" customWidth="1" style="1225" min="7426" max="7426"/>
    <col width="11.5703125" customWidth="1" style="1225" min="7427" max="7427"/>
    <col width="11" customWidth="1" style="1225" min="7429" max="7429"/>
    <col width="24.140625" bestFit="1" customWidth="1" style="1225" min="7430" max="7430"/>
    <col width="10.140625" customWidth="1" style="1225" min="7431" max="7431"/>
    <col width="14.28515625" customWidth="1" style="1225" min="7432" max="7432"/>
    <col width="10.5703125" customWidth="1" style="1225" min="7681" max="7681"/>
    <col width="59.42578125" bestFit="1" customWidth="1" style="1225" min="7682" max="7682"/>
    <col width="11.5703125" customWidth="1" style="1225" min="7683" max="7683"/>
    <col width="11" customWidth="1" style="1225" min="7685" max="7685"/>
    <col width="24.140625" bestFit="1" customWidth="1" style="1225" min="7686" max="7686"/>
    <col width="10.140625" customWidth="1" style="1225" min="7687" max="7687"/>
    <col width="14.28515625" customWidth="1" style="1225" min="7688" max="7688"/>
    <col width="10.5703125" customWidth="1" style="1225" min="7937" max="7937"/>
    <col width="59.42578125" bestFit="1" customWidth="1" style="1225" min="7938" max="7938"/>
    <col width="11.5703125" customWidth="1" style="1225" min="7939" max="7939"/>
    <col width="11" customWidth="1" style="1225" min="7941" max="7941"/>
    <col width="24.140625" bestFit="1" customWidth="1" style="1225" min="7942" max="7942"/>
    <col width="10.140625" customWidth="1" style="1225" min="7943" max="7943"/>
    <col width="14.28515625" customWidth="1" style="1225" min="7944" max="7944"/>
    <col width="10.5703125" customWidth="1" style="1225" min="8193" max="8193"/>
    <col width="59.42578125" bestFit="1" customWidth="1" style="1225" min="8194" max="8194"/>
    <col width="11.5703125" customWidth="1" style="1225" min="8195" max="8195"/>
    <col width="11" customWidth="1" style="1225" min="8197" max="8197"/>
    <col width="24.140625" bestFit="1" customWidth="1" style="1225" min="8198" max="8198"/>
    <col width="10.140625" customWidth="1" style="1225" min="8199" max="8199"/>
    <col width="14.28515625" customWidth="1" style="1225" min="8200" max="8200"/>
    <col width="10.5703125" customWidth="1" style="1225" min="8449" max="8449"/>
    <col width="59.42578125" bestFit="1" customWidth="1" style="1225" min="8450" max="8450"/>
    <col width="11.5703125" customWidth="1" style="1225" min="8451" max="8451"/>
    <col width="11" customWidth="1" style="1225" min="8453" max="8453"/>
    <col width="24.140625" bestFit="1" customWidth="1" style="1225" min="8454" max="8454"/>
    <col width="10.140625" customWidth="1" style="1225" min="8455" max="8455"/>
    <col width="14.28515625" customWidth="1" style="1225" min="8456" max="8456"/>
    <col width="10.5703125" customWidth="1" style="1225" min="8705" max="8705"/>
    <col width="59.42578125" bestFit="1" customWidth="1" style="1225" min="8706" max="8706"/>
    <col width="11.5703125" customWidth="1" style="1225" min="8707" max="8707"/>
    <col width="11" customWidth="1" style="1225" min="8709" max="8709"/>
    <col width="24.140625" bestFit="1" customWidth="1" style="1225" min="8710" max="8710"/>
    <col width="10.140625" customWidth="1" style="1225" min="8711" max="8711"/>
    <col width="14.28515625" customWidth="1" style="1225" min="8712" max="8712"/>
    <col width="10.5703125" customWidth="1" style="1225" min="8961" max="8961"/>
    <col width="59.42578125" bestFit="1" customWidth="1" style="1225" min="8962" max="8962"/>
    <col width="11.5703125" customWidth="1" style="1225" min="8963" max="8963"/>
    <col width="11" customWidth="1" style="1225" min="8965" max="8965"/>
    <col width="24.140625" bestFit="1" customWidth="1" style="1225" min="8966" max="8966"/>
    <col width="10.140625" customWidth="1" style="1225" min="8967" max="8967"/>
    <col width="14.28515625" customWidth="1" style="1225" min="8968" max="8968"/>
    <col width="10.5703125" customWidth="1" style="1225" min="9217" max="9217"/>
    <col width="59.42578125" bestFit="1" customWidth="1" style="1225" min="9218" max="9218"/>
    <col width="11.5703125" customWidth="1" style="1225" min="9219" max="9219"/>
    <col width="11" customWidth="1" style="1225" min="9221" max="9221"/>
    <col width="24.140625" bestFit="1" customWidth="1" style="1225" min="9222" max="9222"/>
    <col width="10.140625" customWidth="1" style="1225" min="9223" max="9223"/>
    <col width="14.28515625" customWidth="1" style="1225" min="9224" max="9224"/>
    <col width="10.5703125" customWidth="1" style="1225" min="9473" max="9473"/>
    <col width="59.42578125" bestFit="1" customWidth="1" style="1225" min="9474" max="9474"/>
    <col width="11.5703125" customWidth="1" style="1225" min="9475" max="9475"/>
    <col width="11" customWidth="1" style="1225" min="9477" max="9477"/>
    <col width="24.140625" bestFit="1" customWidth="1" style="1225" min="9478" max="9478"/>
    <col width="10.140625" customWidth="1" style="1225" min="9479" max="9479"/>
    <col width="14.28515625" customWidth="1" style="1225" min="9480" max="9480"/>
    <col width="10.5703125" customWidth="1" style="1225" min="9729" max="9729"/>
    <col width="59.42578125" bestFit="1" customWidth="1" style="1225" min="9730" max="9730"/>
    <col width="11.5703125" customWidth="1" style="1225" min="9731" max="9731"/>
    <col width="11" customWidth="1" style="1225" min="9733" max="9733"/>
    <col width="24.140625" bestFit="1" customWidth="1" style="1225" min="9734" max="9734"/>
    <col width="10.140625" customWidth="1" style="1225" min="9735" max="9735"/>
    <col width="14.28515625" customWidth="1" style="1225" min="9736" max="9736"/>
    <col width="10.5703125" customWidth="1" style="1225" min="9985" max="9985"/>
    <col width="59.42578125" bestFit="1" customWidth="1" style="1225" min="9986" max="9986"/>
    <col width="11.5703125" customWidth="1" style="1225" min="9987" max="9987"/>
    <col width="11" customWidth="1" style="1225" min="9989" max="9989"/>
    <col width="24.140625" bestFit="1" customWidth="1" style="1225" min="9990" max="9990"/>
    <col width="10.140625" customWidth="1" style="1225" min="9991" max="9991"/>
    <col width="14.28515625" customWidth="1" style="1225" min="9992" max="9992"/>
    <col width="10.5703125" customWidth="1" style="1225" min="10241" max="10241"/>
    <col width="59.42578125" bestFit="1" customWidth="1" style="1225" min="10242" max="10242"/>
    <col width="11.5703125" customWidth="1" style="1225" min="10243" max="10243"/>
    <col width="11" customWidth="1" style="1225" min="10245" max="10245"/>
    <col width="24.140625" bestFit="1" customWidth="1" style="1225" min="10246" max="10246"/>
    <col width="10.140625" customWidth="1" style="1225" min="10247" max="10247"/>
    <col width="14.28515625" customWidth="1" style="1225" min="10248" max="10248"/>
    <col width="10.5703125" customWidth="1" style="1225" min="10497" max="10497"/>
    <col width="59.42578125" bestFit="1" customWidth="1" style="1225" min="10498" max="10498"/>
    <col width="11.5703125" customWidth="1" style="1225" min="10499" max="10499"/>
    <col width="11" customWidth="1" style="1225" min="10501" max="10501"/>
    <col width="24.140625" bestFit="1" customWidth="1" style="1225" min="10502" max="10502"/>
    <col width="10.140625" customWidth="1" style="1225" min="10503" max="10503"/>
    <col width="14.28515625" customWidth="1" style="1225" min="10504" max="10504"/>
    <col width="10.5703125" customWidth="1" style="1225" min="10753" max="10753"/>
    <col width="59.42578125" bestFit="1" customWidth="1" style="1225" min="10754" max="10754"/>
    <col width="11.5703125" customWidth="1" style="1225" min="10755" max="10755"/>
    <col width="11" customWidth="1" style="1225" min="10757" max="10757"/>
    <col width="24.140625" bestFit="1" customWidth="1" style="1225" min="10758" max="10758"/>
    <col width="10.140625" customWidth="1" style="1225" min="10759" max="10759"/>
    <col width="14.28515625" customWidth="1" style="1225" min="10760" max="10760"/>
    <col width="10.5703125" customWidth="1" style="1225" min="11009" max="11009"/>
    <col width="59.42578125" bestFit="1" customWidth="1" style="1225" min="11010" max="11010"/>
    <col width="11.5703125" customWidth="1" style="1225" min="11011" max="11011"/>
    <col width="11" customWidth="1" style="1225" min="11013" max="11013"/>
    <col width="24.140625" bestFit="1" customWidth="1" style="1225" min="11014" max="11014"/>
    <col width="10.140625" customWidth="1" style="1225" min="11015" max="11015"/>
    <col width="14.28515625" customWidth="1" style="1225" min="11016" max="11016"/>
    <col width="10.5703125" customWidth="1" style="1225" min="11265" max="11265"/>
    <col width="59.42578125" bestFit="1" customWidth="1" style="1225" min="11266" max="11266"/>
    <col width="11.5703125" customWidth="1" style="1225" min="11267" max="11267"/>
    <col width="11" customWidth="1" style="1225" min="11269" max="11269"/>
    <col width="24.140625" bestFit="1" customWidth="1" style="1225" min="11270" max="11270"/>
    <col width="10.140625" customWidth="1" style="1225" min="11271" max="11271"/>
    <col width="14.28515625" customWidth="1" style="1225" min="11272" max="11272"/>
    <col width="10.5703125" customWidth="1" style="1225" min="11521" max="11521"/>
    <col width="59.42578125" bestFit="1" customWidth="1" style="1225" min="11522" max="11522"/>
    <col width="11.5703125" customWidth="1" style="1225" min="11523" max="11523"/>
    <col width="11" customWidth="1" style="1225" min="11525" max="11525"/>
    <col width="24.140625" bestFit="1" customWidth="1" style="1225" min="11526" max="11526"/>
    <col width="10.140625" customWidth="1" style="1225" min="11527" max="11527"/>
    <col width="14.28515625" customWidth="1" style="1225" min="11528" max="11528"/>
    <col width="10.5703125" customWidth="1" style="1225" min="11777" max="11777"/>
    <col width="59.42578125" bestFit="1" customWidth="1" style="1225" min="11778" max="11778"/>
    <col width="11.5703125" customWidth="1" style="1225" min="11779" max="11779"/>
    <col width="11" customWidth="1" style="1225" min="11781" max="11781"/>
    <col width="24.140625" bestFit="1" customWidth="1" style="1225" min="11782" max="11782"/>
    <col width="10.140625" customWidth="1" style="1225" min="11783" max="11783"/>
    <col width="14.28515625" customWidth="1" style="1225" min="11784" max="11784"/>
    <col width="10.5703125" customWidth="1" style="1225" min="12033" max="12033"/>
    <col width="59.42578125" bestFit="1" customWidth="1" style="1225" min="12034" max="12034"/>
    <col width="11.5703125" customWidth="1" style="1225" min="12035" max="12035"/>
    <col width="11" customWidth="1" style="1225" min="12037" max="12037"/>
    <col width="24.140625" bestFit="1" customWidth="1" style="1225" min="12038" max="12038"/>
    <col width="10.140625" customWidth="1" style="1225" min="12039" max="12039"/>
    <col width="14.28515625" customWidth="1" style="1225" min="12040" max="12040"/>
    <col width="10.5703125" customWidth="1" style="1225" min="12289" max="12289"/>
    <col width="59.42578125" bestFit="1" customWidth="1" style="1225" min="12290" max="12290"/>
    <col width="11.5703125" customWidth="1" style="1225" min="12291" max="12291"/>
    <col width="11" customWidth="1" style="1225" min="12293" max="12293"/>
    <col width="24.140625" bestFit="1" customWidth="1" style="1225" min="12294" max="12294"/>
    <col width="10.140625" customWidth="1" style="1225" min="12295" max="12295"/>
    <col width="14.28515625" customWidth="1" style="1225" min="12296" max="12296"/>
    <col width="10.5703125" customWidth="1" style="1225" min="12545" max="12545"/>
    <col width="59.42578125" bestFit="1" customWidth="1" style="1225" min="12546" max="12546"/>
    <col width="11.5703125" customWidth="1" style="1225" min="12547" max="12547"/>
    <col width="11" customWidth="1" style="1225" min="12549" max="12549"/>
    <col width="24.140625" bestFit="1" customWidth="1" style="1225" min="12550" max="12550"/>
    <col width="10.140625" customWidth="1" style="1225" min="12551" max="12551"/>
    <col width="14.28515625" customWidth="1" style="1225" min="12552" max="12552"/>
    <col width="10.5703125" customWidth="1" style="1225" min="12801" max="12801"/>
    <col width="59.42578125" bestFit="1" customWidth="1" style="1225" min="12802" max="12802"/>
    <col width="11.5703125" customWidth="1" style="1225" min="12803" max="12803"/>
    <col width="11" customWidth="1" style="1225" min="12805" max="12805"/>
    <col width="24.140625" bestFit="1" customWidth="1" style="1225" min="12806" max="12806"/>
    <col width="10.140625" customWidth="1" style="1225" min="12807" max="12807"/>
    <col width="14.28515625" customWidth="1" style="1225" min="12808" max="12808"/>
    <col width="10.5703125" customWidth="1" style="1225" min="13057" max="13057"/>
    <col width="59.42578125" bestFit="1" customWidth="1" style="1225" min="13058" max="13058"/>
    <col width="11.5703125" customWidth="1" style="1225" min="13059" max="13059"/>
    <col width="11" customWidth="1" style="1225" min="13061" max="13061"/>
    <col width="24.140625" bestFit="1" customWidth="1" style="1225" min="13062" max="13062"/>
    <col width="10.140625" customWidth="1" style="1225" min="13063" max="13063"/>
    <col width="14.28515625" customWidth="1" style="1225" min="13064" max="13064"/>
    <col width="10.5703125" customWidth="1" style="1225" min="13313" max="13313"/>
    <col width="59.42578125" bestFit="1" customWidth="1" style="1225" min="13314" max="13314"/>
    <col width="11.5703125" customWidth="1" style="1225" min="13315" max="13315"/>
    <col width="11" customWidth="1" style="1225" min="13317" max="13317"/>
    <col width="24.140625" bestFit="1" customWidth="1" style="1225" min="13318" max="13318"/>
    <col width="10.140625" customWidth="1" style="1225" min="13319" max="13319"/>
    <col width="14.28515625" customWidth="1" style="1225" min="13320" max="13320"/>
    <col width="10.5703125" customWidth="1" style="1225" min="13569" max="13569"/>
    <col width="59.42578125" bestFit="1" customWidth="1" style="1225" min="13570" max="13570"/>
    <col width="11.5703125" customWidth="1" style="1225" min="13571" max="13571"/>
    <col width="11" customWidth="1" style="1225" min="13573" max="13573"/>
    <col width="24.140625" bestFit="1" customWidth="1" style="1225" min="13574" max="13574"/>
    <col width="10.140625" customWidth="1" style="1225" min="13575" max="13575"/>
    <col width="14.28515625" customWidth="1" style="1225" min="13576" max="13576"/>
    <col width="10.5703125" customWidth="1" style="1225" min="13825" max="13825"/>
    <col width="59.42578125" bestFit="1" customWidth="1" style="1225" min="13826" max="13826"/>
    <col width="11.5703125" customWidth="1" style="1225" min="13827" max="13827"/>
    <col width="11" customWidth="1" style="1225" min="13829" max="13829"/>
    <col width="24.140625" bestFit="1" customWidth="1" style="1225" min="13830" max="13830"/>
    <col width="10.140625" customWidth="1" style="1225" min="13831" max="13831"/>
    <col width="14.28515625" customWidth="1" style="1225" min="13832" max="13832"/>
    <col width="10.5703125" customWidth="1" style="1225" min="14081" max="14081"/>
    <col width="59.42578125" bestFit="1" customWidth="1" style="1225" min="14082" max="14082"/>
    <col width="11.5703125" customWidth="1" style="1225" min="14083" max="14083"/>
    <col width="11" customWidth="1" style="1225" min="14085" max="14085"/>
    <col width="24.140625" bestFit="1" customWidth="1" style="1225" min="14086" max="14086"/>
    <col width="10.140625" customWidth="1" style="1225" min="14087" max="14087"/>
    <col width="14.28515625" customWidth="1" style="1225" min="14088" max="14088"/>
    <col width="10.5703125" customWidth="1" style="1225" min="14337" max="14337"/>
    <col width="59.42578125" bestFit="1" customWidth="1" style="1225" min="14338" max="14338"/>
    <col width="11.5703125" customWidth="1" style="1225" min="14339" max="14339"/>
    <col width="11" customWidth="1" style="1225" min="14341" max="14341"/>
    <col width="24.140625" bestFit="1" customWidth="1" style="1225" min="14342" max="14342"/>
    <col width="10.140625" customWidth="1" style="1225" min="14343" max="14343"/>
    <col width="14.28515625" customWidth="1" style="1225" min="14344" max="14344"/>
    <col width="10.5703125" customWidth="1" style="1225" min="14593" max="14593"/>
    <col width="59.42578125" bestFit="1" customWidth="1" style="1225" min="14594" max="14594"/>
    <col width="11.5703125" customWidth="1" style="1225" min="14595" max="14595"/>
    <col width="11" customWidth="1" style="1225" min="14597" max="14597"/>
    <col width="24.140625" bestFit="1" customWidth="1" style="1225" min="14598" max="14598"/>
    <col width="10.140625" customWidth="1" style="1225" min="14599" max="14599"/>
    <col width="14.28515625" customWidth="1" style="1225" min="14600" max="14600"/>
    <col width="10.5703125" customWidth="1" style="1225" min="14849" max="14849"/>
    <col width="59.42578125" bestFit="1" customWidth="1" style="1225" min="14850" max="14850"/>
    <col width="11.5703125" customWidth="1" style="1225" min="14851" max="14851"/>
    <col width="11" customWidth="1" style="1225" min="14853" max="14853"/>
    <col width="24.140625" bestFit="1" customWidth="1" style="1225" min="14854" max="14854"/>
    <col width="10.140625" customWidth="1" style="1225" min="14855" max="14855"/>
    <col width="14.28515625" customWidth="1" style="1225" min="14856" max="14856"/>
    <col width="10.5703125" customWidth="1" style="1225" min="15105" max="15105"/>
    <col width="59.42578125" bestFit="1" customWidth="1" style="1225" min="15106" max="15106"/>
    <col width="11.5703125" customWidth="1" style="1225" min="15107" max="15107"/>
    <col width="11" customWidth="1" style="1225" min="15109" max="15109"/>
    <col width="24.140625" bestFit="1" customWidth="1" style="1225" min="15110" max="15110"/>
    <col width="10.140625" customWidth="1" style="1225" min="15111" max="15111"/>
    <col width="14.28515625" customWidth="1" style="1225" min="15112" max="15112"/>
    <col width="10.5703125" customWidth="1" style="1225" min="15361" max="15361"/>
    <col width="59.42578125" bestFit="1" customWidth="1" style="1225" min="15362" max="15362"/>
    <col width="11.5703125" customWidth="1" style="1225" min="15363" max="15363"/>
    <col width="11" customWidth="1" style="1225" min="15365" max="15365"/>
    <col width="24.140625" bestFit="1" customWidth="1" style="1225" min="15366" max="15366"/>
    <col width="10.140625" customWidth="1" style="1225" min="15367" max="15367"/>
    <col width="14.28515625" customWidth="1" style="1225" min="15368" max="15368"/>
    <col width="10.5703125" customWidth="1" style="1225" min="15617" max="15617"/>
    <col width="59.42578125" bestFit="1" customWidth="1" style="1225" min="15618" max="15618"/>
    <col width="11.5703125" customWidth="1" style="1225" min="15619" max="15619"/>
    <col width="11" customWidth="1" style="1225" min="15621" max="15621"/>
    <col width="24.140625" bestFit="1" customWidth="1" style="1225" min="15622" max="15622"/>
    <col width="10.140625" customWidth="1" style="1225" min="15623" max="15623"/>
    <col width="14.28515625" customWidth="1" style="1225" min="15624" max="15624"/>
    <col width="10.5703125" customWidth="1" style="1225" min="15873" max="15873"/>
    <col width="59.42578125" bestFit="1" customWidth="1" style="1225" min="15874" max="15874"/>
    <col width="11.5703125" customWidth="1" style="1225" min="15875" max="15875"/>
    <col width="11" customWidth="1" style="1225" min="15877" max="15877"/>
    <col width="24.140625" bestFit="1" customWidth="1" style="1225" min="15878" max="15878"/>
    <col width="10.140625" customWidth="1" style="1225" min="15879" max="15879"/>
    <col width="14.28515625" customWidth="1" style="1225" min="15880" max="15880"/>
    <col width="10.5703125" customWidth="1" style="1225" min="16129" max="16129"/>
    <col width="59.42578125" bestFit="1" customWidth="1" style="1225" min="16130" max="16130"/>
    <col width="11.5703125" customWidth="1" style="1225" min="16131" max="16131"/>
    <col width="11" customWidth="1" style="1225" min="16133" max="16133"/>
    <col width="24.140625" bestFit="1" customWidth="1" style="1225" min="16134" max="16134"/>
    <col width="10.140625" customWidth="1" style="1225" min="16135" max="16135"/>
    <col width="14.28515625" customWidth="1" style="1225" min="16136" max="16136"/>
  </cols>
  <sheetData>
    <row r="1">
      <c r="A1" s="2054" t="inlineStr">
        <is>
          <t>CACHET DU SERVICE</t>
        </is>
      </c>
      <c r="B1" s="1507" t="n"/>
      <c r="C1" s="2055" t="inlineStr">
        <is>
          <t>DIRECTION GENERALE DES IMPOTS</t>
        </is>
      </c>
      <c r="F1" s="1579" t="n"/>
      <c r="G1" s="2054" t="inlineStr">
        <is>
          <t>DATE DE RECEPTION</t>
        </is>
      </c>
      <c r="H1" s="1507" t="n"/>
    </row>
    <row r="2">
      <c r="A2" s="240" t="n"/>
      <c r="B2" s="1579" t="n"/>
      <c r="G2" s="240" t="n"/>
      <c r="H2" s="1579" t="n"/>
    </row>
    <row r="3">
      <c r="A3" s="240" t="n"/>
      <c r="B3" s="1579" t="n"/>
      <c r="G3" s="240" t="n"/>
      <c r="H3" s="1579" t="n"/>
    </row>
    <row r="4">
      <c r="A4" s="240" t="n"/>
      <c r="B4" s="1579" t="n"/>
      <c r="G4" s="240" t="n"/>
      <c r="H4" s="1579" t="n"/>
    </row>
    <row r="5">
      <c r="A5" s="240" t="n"/>
      <c r="B5" s="1579" t="n"/>
      <c r="C5" s="2063" t="inlineStr">
        <is>
          <t>BORDEREAU AVIS DE VERSEMENT</t>
        </is>
      </c>
      <c r="F5" s="1579" t="n"/>
      <c r="G5" s="240" t="n"/>
      <c r="H5" s="1579" t="n"/>
    </row>
    <row r="6">
      <c r="A6" s="1960" t="n"/>
      <c r="B6" s="1743" t="n"/>
      <c r="C6" s="2062" t="inlineStr">
        <is>
          <t>DE L'IMPOT SUR LES SOCIETES (IS)</t>
        </is>
      </c>
      <c r="F6" s="1579" t="n"/>
      <c r="G6" s="1960" t="n"/>
      <c r="H6" s="1743" t="n"/>
    </row>
    <row r="7">
      <c r="C7" t="inlineStr">
        <is>
          <t>Exercice comptable clos le : …............</t>
        </is>
      </c>
      <c r="F7" s="1093" t="n"/>
    </row>
    <row r="8">
      <c r="B8" t="inlineStr">
        <is>
          <t>Réel normal d’imposition</t>
        </is>
      </c>
      <c r="E8" t="inlineStr">
        <is>
          <t>Réel simplifié d’imposition</t>
        </is>
      </c>
    </row>
    <row r="9">
      <c r="A9" t="inlineStr">
        <is>
          <t>Supprimer cette ligne</t>
        </is>
      </c>
    </row>
    <row r="10">
      <c r="A10" s="2057" t="inlineStr">
        <is>
          <t>I. IDENTIFICATION DU CONTRIBUABLE</t>
        </is>
      </c>
      <c r="B10" s="1796" t="n"/>
      <c r="C10" s="1796" t="n"/>
      <c r="D10" s="1796" t="n"/>
      <c r="E10" s="1796" t="n"/>
      <c r="F10" s="1796" t="n"/>
      <c r="G10" s="1796" t="n"/>
      <c r="H10" s="1507" t="n"/>
    </row>
    <row r="11" ht="15.6" customHeight="1" s="1225">
      <c r="A11" s="707" t="inlineStr">
        <is>
          <t>N° Registre du commerce</t>
        </is>
      </c>
      <c r="B11" s="1796" t="n"/>
      <c r="C11" s="2065" t="n"/>
      <c r="D11" s="1796" t="n"/>
      <c r="E11" s="1796" t="n"/>
      <c r="F11" s="1796" t="inlineStr">
        <is>
          <t xml:space="preserve">            N° IFU</t>
        </is>
      </c>
      <c r="G11" s="1165" t="n"/>
      <c r="H11" s="709" t="n"/>
      <c r="J11" s="1177" t="n"/>
    </row>
    <row r="12" ht="18" customHeight="1" s="1225">
      <c r="A12" s="240" t="inlineStr">
        <is>
          <t xml:space="preserve">Raison Sociale : </t>
        </is>
      </c>
      <c r="H12" s="1579" t="n"/>
    </row>
    <row r="13" ht="14.25" customHeight="1" s="1225">
      <c r="A13" s="1792" t="inlineStr">
        <is>
          <t>Code Activité</t>
        </is>
      </c>
      <c r="B13" s="1792" t="n"/>
      <c r="C13" s="1792" t="n"/>
      <c r="D13" s="1792" t="inlineStr">
        <is>
          <t>Regime agrément</t>
        </is>
      </c>
      <c r="E13" s="1792" t="n"/>
      <c r="F13" s="1792" t="inlineStr">
        <is>
          <t>Adhérant CGA</t>
        </is>
      </c>
      <c r="G13" s="667" t="n"/>
      <c r="H13" s="1743" t="n"/>
    </row>
    <row r="14" ht="15.75" customHeight="1" s="1225">
      <c r="A14" s="707" t="inlineStr">
        <is>
          <t xml:space="preserve">Activité : </t>
        </is>
      </c>
      <c r="B14" s="1796" t="n"/>
      <c r="C14" s="710" t="n"/>
      <c r="D14" s="1796" t="n"/>
      <c r="E14" s="1796" t="n"/>
      <c r="F14" s="1796" t="n"/>
      <c r="G14" s="1796" t="n"/>
      <c r="H14" s="1507" t="n"/>
    </row>
    <row r="15" ht="16.5" customHeight="1" s="1225">
      <c r="A15" s="707" t="inlineStr">
        <is>
          <t xml:space="preserve">Adresse du siège: 01 BP 4928 OUAGADOUGOU 01  Localité : ,,,,,,,,,,,,,   Tel : ,,,,,,    E_mail : </t>
        </is>
      </c>
      <c r="B15" s="1796" t="n"/>
      <c r="C15" s="1796" t="n"/>
      <c r="D15" s="1796" t="n"/>
      <c r="E15" s="1796" t="n"/>
      <c r="F15" s="1796" t="n"/>
      <c r="G15" s="1796" t="n"/>
      <c r="H15" s="1507" t="n"/>
    </row>
    <row r="16" ht="12.75" customHeight="1" s="1225">
      <c r="A16" s="667" t="inlineStr">
        <is>
          <t xml:space="preserve">BP : </t>
        </is>
      </c>
      <c r="B16" s="667" t="inlineStr">
        <is>
          <t xml:space="preserve">Secteur: </t>
        </is>
      </c>
      <c r="C16" s="712" t="n"/>
      <c r="D16" s="1796" t="inlineStr">
        <is>
          <t xml:space="preserve">    N° et rue:</t>
        </is>
      </c>
      <c r="E16" s="667" t="inlineStr">
        <is>
          <t>…………………</t>
        </is>
      </c>
      <c r="F16" s="667" t="inlineStr">
        <is>
          <t>Section:…….</t>
        </is>
      </c>
      <c r="G16" s="667" t="inlineStr">
        <is>
          <t>Lot:……………</t>
        </is>
      </c>
      <c r="H16" s="667" t="inlineStr">
        <is>
          <t>Parcelle:……</t>
        </is>
      </c>
    </row>
    <row r="17" ht="13.5" customHeight="1" s="1225">
      <c r="A17" s="713" t="inlineStr">
        <is>
          <t>Adresses des Etablissements Secondaires (joindre un intercalaire si nécessaire) :</t>
        </is>
      </c>
      <c r="B17" s="1787" t="n"/>
      <c r="C17" s="1787" t="n"/>
      <c r="D17" s="1787" t="n"/>
      <c r="E17" s="1787" t="n"/>
      <c r="F17" s="1787" t="n"/>
      <c r="G17" s="1787" t="n"/>
      <c r="H17" s="239" t="n"/>
    </row>
    <row r="18" ht="11.25" customHeight="1" s="1225">
      <c r="A18" s="240" t="inlineStr">
        <is>
          <t>1)………………………………………………………………………………………………………………………</t>
        </is>
      </c>
      <c r="H18" s="1579" t="n"/>
    </row>
    <row r="19" ht="11.25" customHeight="1" s="1225">
      <c r="A19" s="240" t="inlineStr">
        <is>
          <t>2)………………………………………………………………………………………………………………………</t>
        </is>
      </c>
      <c r="H19" s="1579" t="n"/>
    </row>
    <row r="20" ht="12" customHeight="1" s="1225">
      <c r="A20" s="1960" t="inlineStr">
        <is>
          <t>3)………………………………………………………………………………………………………………………</t>
        </is>
      </c>
      <c r="B20" s="1792" t="n"/>
      <c r="C20" s="1792" t="n"/>
      <c r="D20" s="1792" t="n"/>
      <c r="E20" s="1792" t="n"/>
      <c r="F20" s="1792" t="n"/>
      <c r="G20" s="1792" t="n"/>
      <c r="H20" s="1743" t="n"/>
    </row>
    <row r="21" ht="17.25" customHeight="1" s="1225">
      <c r="A21" s="2057" t="inlineStr">
        <is>
          <t>II. DETERMINATION DE L'IMPOT</t>
        </is>
      </c>
      <c r="B21" s="1796" t="n"/>
      <c r="C21" s="1796" t="n"/>
      <c r="D21" s="1796" t="n"/>
      <c r="E21" s="1796" t="n"/>
      <c r="F21" s="1796" t="n"/>
      <c r="G21" s="1796" t="n"/>
      <c r="H21" s="1507" t="n"/>
    </row>
    <row r="22" ht="7.5" customHeight="1" s="1225">
      <c r="A22" s="240" t="n"/>
      <c r="H22" s="1579" t="n"/>
      <c r="J22" s="714" t="n"/>
    </row>
    <row r="23" ht="12" customHeight="1" s="1225">
      <c r="A23" s="715" t="inlineStr">
        <is>
          <t>01</t>
        </is>
      </c>
      <c r="B23" s="716" t="inlineStr">
        <is>
          <t xml:space="preserve">CHIFFRE D'AFFAIRES HORS TVA </t>
        </is>
      </c>
      <c r="G23" s="2056" t="n"/>
      <c r="H23" s="1507" t="n"/>
      <c r="J23" s="714" t="n"/>
    </row>
    <row r="24" ht="7.5" customHeight="1" s="1225">
      <c r="A24" s="240" t="n"/>
      <c r="H24" s="1579" t="n"/>
      <c r="J24" s="714" t="n"/>
    </row>
    <row r="25" ht="12" customHeight="1" s="1225">
      <c r="A25" s="715" t="inlineStr">
        <is>
          <t>02</t>
        </is>
      </c>
      <c r="B25" t="inlineStr">
        <is>
          <t>RESULTAT FISCAL :     Bénéfice                   Perte</t>
        </is>
      </c>
      <c r="G25" s="2056" t="n">
        <v>0</v>
      </c>
      <c r="H25" s="1507" t="n"/>
      <c r="J25" s="1102" t="n"/>
    </row>
    <row r="26" ht="7.5" customHeight="1" s="1225">
      <c r="A26" s="715" t="n"/>
      <c r="G26" s="1792" t="n"/>
      <c r="H26" s="1743" t="n"/>
      <c r="J26" s="1102" t="n"/>
    </row>
    <row r="27" ht="12" customHeight="1" s="1225">
      <c r="A27" s="715" t="inlineStr">
        <is>
          <t>03</t>
        </is>
      </c>
      <c r="B27" s="2064" t="inlineStr">
        <is>
          <t>COTISATION IS EXIGIBLE (ou Minimum Forfaitaire de Perception)</t>
        </is>
      </c>
      <c r="G27" s="2056" t="n"/>
      <c r="H27" s="1507" t="n"/>
      <c r="I27" s="1992" t="n"/>
      <c r="J27" s="1102" t="n"/>
    </row>
    <row r="28" ht="8.25" customHeight="1" s="1225">
      <c r="A28" s="715" t="n"/>
      <c r="B28" s="2064" t="n"/>
      <c r="G28" s="719" t="n"/>
      <c r="H28" s="717" t="n"/>
      <c r="J28" s="1102" t="n"/>
    </row>
    <row r="29" ht="12" customHeight="1" s="1225">
      <c r="A29" s="715" t="inlineStr">
        <is>
          <t>04</t>
        </is>
      </c>
      <c r="B29" s="2064" t="inlineStr">
        <is>
          <t>ACOMPTES PROVISIONNELS DECLARES</t>
        </is>
      </c>
      <c r="G29" s="2056" t="n"/>
      <c r="H29" s="1507" t="n"/>
    </row>
    <row r="30" ht="7.5" customHeight="1" s="1225">
      <c r="A30" s="715" t="n"/>
      <c r="B30" s="2064" t="n"/>
      <c r="G30" s="719" t="n"/>
      <c r="H30" s="717" t="n"/>
    </row>
    <row r="31" ht="12" customHeight="1" s="1225">
      <c r="A31" s="715" t="inlineStr">
        <is>
          <t>05</t>
        </is>
      </c>
      <c r="B31" s="2064" t="inlineStr">
        <is>
          <t>IRVM SUBI (Attestation jointe)</t>
        </is>
      </c>
      <c r="G31" s="2056" t="n">
        <v>0</v>
      </c>
      <c r="H31" s="1507" t="n"/>
    </row>
    <row r="32" ht="8.25" customHeight="1" s="1225">
      <c r="A32" s="715" t="n"/>
      <c r="B32" s="2064" t="n"/>
      <c r="G32" s="720" t="n"/>
      <c r="H32" s="721" t="n"/>
    </row>
    <row r="33" ht="12" customHeight="1" s="1225">
      <c r="A33" s="715" t="inlineStr">
        <is>
          <t>06</t>
        </is>
      </c>
      <c r="B33" s="2064" t="inlineStr">
        <is>
          <t>IRC SUBI  (Attestation jointe)</t>
        </is>
      </c>
      <c r="G33" s="2056" t="n"/>
      <c r="H33" s="1507" t="n"/>
    </row>
    <row r="34" ht="6.75" customHeight="1" s="1225">
      <c r="A34" s="715" t="n"/>
      <c r="B34" s="2064" t="n"/>
      <c r="G34" s="714" t="n"/>
      <c r="H34" s="722" t="n"/>
    </row>
    <row r="35" ht="12.75" customHeight="1" s="1225">
      <c r="A35" s="715" t="inlineStr">
        <is>
          <t>07</t>
        </is>
      </c>
      <c r="B35" s="723" t="inlineStr">
        <is>
          <t>COTISATION IS DUE [03-(04+05+06)]</t>
        </is>
      </c>
      <c r="G35" s="2056">
        <f>G27-(G29+G31+G33)</f>
        <v/>
      </c>
      <c r="H35" s="1507" t="n"/>
    </row>
    <row r="36" ht="6.75" customHeight="1" s="1225">
      <c r="A36" s="715" t="n"/>
      <c r="B36" s="2064" t="n"/>
      <c r="G36" s="714" t="n"/>
      <c r="H36" s="722" t="n"/>
    </row>
    <row r="37" ht="12" customHeight="1" s="1225">
      <c r="A37" s="715" t="inlineStr">
        <is>
          <t>08</t>
        </is>
      </c>
      <c r="B37" s="2060" t="inlineStr">
        <is>
          <t>Prélèvements à la source à titre d'acompte d'impôt sur les</t>
        </is>
      </c>
      <c r="G37" s="714" t="n"/>
      <c r="H37" s="722" t="n"/>
    </row>
    <row r="38" ht="12" customHeight="1" s="1225">
      <c r="A38" s="715" t="n"/>
      <c r="B38" s="2064" t="inlineStr">
        <is>
          <t>bénéfices imputés ( déclaration des prélèvements supportés ci</t>
        </is>
      </c>
      <c r="G38" s="2056" t="n">
        <v>0</v>
      </c>
      <c r="H38" s="1507" t="n"/>
    </row>
    <row r="39" ht="12" customHeight="1" s="1225">
      <c r="A39" s="715" t="n"/>
      <c r="B39" s="2060" t="inlineStr">
        <is>
          <t>annexée Montant IV)</t>
        </is>
      </c>
      <c r="D39" s="2064" t="n"/>
      <c r="E39" s="2064" t="n"/>
      <c r="F39" s="2064" t="n"/>
      <c r="H39" s="1579" t="n"/>
    </row>
    <row r="40" ht="8.25" customHeight="1" s="1225">
      <c r="A40" s="715" t="n"/>
      <c r="B40" s="2064" t="n"/>
      <c r="C40" s="2064" t="n"/>
      <c r="D40" s="2064" t="n"/>
      <c r="E40" s="2064" t="n"/>
      <c r="F40" s="2064" t="n"/>
      <c r="G40" s="714" t="n"/>
      <c r="H40" s="722" t="n"/>
    </row>
    <row r="41" ht="12" customHeight="1" s="1225">
      <c r="A41" s="715" t="inlineStr">
        <is>
          <t>09</t>
        </is>
      </c>
      <c r="B41" s="2064" t="inlineStr">
        <is>
          <t xml:space="preserve">Retenues à la source subies imputées ( déclaration des retenues </t>
        </is>
      </c>
      <c r="G41" s="2056" t="n"/>
      <c r="H41" s="1507" t="n"/>
    </row>
    <row r="42" ht="14.25" customHeight="1" s="1225">
      <c r="A42" s="715" t="n"/>
      <c r="B42" s="2064" t="inlineStr">
        <is>
          <t>subies et attestations de retenues ci-jointes Montant T4)</t>
        </is>
      </c>
      <c r="H42" s="239" t="n"/>
    </row>
    <row r="43" ht="7.5" customHeight="1" s="1225">
      <c r="A43" s="715" t="n"/>
      <c r="B43" s="2064" t="n"/>
      <c r="G43" s="714" t="n"/>
      <c r="H43" s="722" t="n"/>
    </row>
    <row r="44" ht="15.75" customHeight="1" s="1225">
      <c r="A44" s="724" t="inlineStr">
        <is>
          <t>10</t>
        </is>
      </c>
      <c r="B44" s="725" t="inlineStr">
        <is>
          <t>COTISATION IS A PAYER [ 07 - (08+09)] *</t>
        </is>
      </c>
      <c r="G44" s="2056" t="inlineStr">
        <is>
          <t>NEANT</t>
        </is>
      </c>
      <c r="H44" s="1507" t="n"/>
      <c r="J44" s="1992" t="n"/>
      <c r="L44" s="1992" t="n"/>
    </row>
    <row r="45" ht="0.75" customHeight="1" s="1225">
      <c r="A45" s="726" t="n"/>
      <c r="B45" s="2061" t="n"/>
      <c r="C45" s="1792" t="n"/>
      <c r="D45" s="1792" t="n"/>
      <c r="E45" s="1792" t="n"/>
      <c r="F45" s="1792" t="n"/>
      <c r="G45" s="1792" t="n"/>
      <c r="H45" s="1743" t="n"/>
    </row>
    <row r="46" ht="6" customHeight="1" s="1225">
      <c r="A46" s="728" t="n"/>
      <c r="B46" s="1467" t="n"/>
    </row>
    <row r="47" ht="12.75" customHeight="1" s="1225">
      <c r="A47" s="729" t="inlineStr">
        <is>
          <t xml:space="preserve">Règlement joint à l'ordre du receveur des impôts </t>
        </is>
      </c>
      <c r="B47" s="1467" t="n"/>
    </row>
    <row r="48" ht="6" customHeight="1" s="1225">
      <c r="A48" s="728" t="inlineStr">
        <is>
          <t xml:space="preserve"> </t>
        </is>
      </c>
      <c r="B48" s="1467" t="n"/>
    </row>
    <row r="49" ht="12" customHeight="1" s="1225">
      <c r="A49" s="729" t="inlineStr">
        <is>
          <t>- Chèque barré sur ……………..………... N° …………..………….. du …………….…... Montant ………..……</t>
        </is>
      </c>
      <c r="B49" s="1467" t="n"/>
    </row>
    <row r="50" ht="4.15" customHeight="1" s="1225">
      <c r="A50" s="728" t="n"/>
      <c r="B50" s="1467" t="n"/>
    </row>
    <row r="51" ht="10.15" customHeight="1" s="1225">
      <c r="A51" s="728" t="inlineStr">
        <is>
          <t xml:space="preserve">-Virement (avis de credit): …………………………………………………………………………………... </t>
        </is>
      </c>
      <c r="B51" s="1467" t="n"/>
    </row>
    <row r="52" ht="12" customHeight="1" s="1225">
      <c r="A52" s="729" t="inlineStr">
        <is>
          <t>- Espèces d'un montant de ………………………………..………………………………………………………</t>
        </is>
      </c>
      <c r="B52" s="1467" t="n"/>
    </row>
    <row r="53" ht="8.25" customHeight="1" s="1225">
      <c r="A53" s="1467" t="n"/>
      <c r="B53" s="1467" t="n"/>
    </row>
    <row r="54" ht="12" customHeight="1" s="1225">
      <c r="A54" s="1467" t="n"/>
      <c r="B54" s="1467" t="n"/>
      <c r="F54" t="inlineStr">
        <is>
          <t xml:space="preserve">A…Ouagadougou…., le </t>
        </is>
      </c>
      <c r="G54" s="1093" t="n"/>
    </row>
    <row r="55" ht="4.15" customHeight="1" s="1225">
      <c r="A55" s="1467" t="n"/>
      <c r="B55" s="1467" t="n"/>
    </row>
    <row r="56" ht="14.45" customHeight="1" s="1225">
      <c r="A56" s="1467" t="n"/>
      <c r="B56" s="1467" t="n"/>
      <c r="F56" t="inlineStr">
        <is>
          <t>Nom, Qualité et signature</t>
        </is>
      </c>
    </row>
    <row r="57" ht="14.45" customHeight="1" s="1225">
      <c r="A57" s="1467" t="n"/>
      <c r="B57" s="1467" t="n"/>
    </row>
    <row r="58" ht="19.5" customHeight="1" s="1225">
      <c r="A58" s="1467" t="n"/>
      <c r="B58" s="1467" t="n"/>
    </row>
    <row r="59" ht="22.5" customHeight="1" s="1225">
      <c r="A59" s="1467" t="n"/>
      <c r="B59" s="1467" t="n"/>
      <c r="F59" s="2061" t="n"/>
      <c r="G59" s="1792" t="n"/>
    </row>
    <row r="60">
      <c r="A60" s="2058" t="inlineStr">
        <is>
          <t>III- CADRE RESERVE A L'ADMINISTRATION</t>
        </is>
      </c>
      <c r="B60" s="1796" t="n"/>
      <c r="C60" s="1796" t="n"/>
      <c r="D60" s="1796" t="n"/>
      <c r="E60" s="1796" t="n"/>
      <c r="F60" s="1796" t="n"/>
      <c r="G60" s="1796" t="n"/>
      <c r="H60" s="1507" t="n"/>
    </row>
    <row r="61">
      <c r="A61" s="2059" t="inlineStr">
        <is>
          <t xml:space="preserve">       PRISE EN RECETTE</t>
        </is>
      </c>
      <c r="B61" s="1507" t="n"/>
      <c r="C61" s="2054" t="inlineStr">
        <is>
          <t>PRISE EN CHARGE</t>
        </is>
      </c>
      <c r="D61" s="1507" t="n"/>
      <c r="E61" s="2054" t="inlineStr">
        <is>
          <t>PENALITE</t>
        </is>
      </c>
      <c r="F61" s="1507" t="n"/>
      <c r="G61" s="2054" t="inlineStr">
        <is>
          <t>VISA DU RECEVEUR</t>
        </is>
      </c>
      <c r="H61" s="1507" t="n"/>
      <c r="I61" s="730" t="n"/>
    </row>
    <row r="62">
      <c r="A62" s="731" t="inlineStr">
        <is>
          <t>L.J</t>
        </is>
      </c>
      <c r="B62" s="732" t="n"/>
      <c r="C62" s="731" t="inlineStr">
        <is>
          <t>L.J</t>
        </is>
      </c>
      <c r="D62" s="733" t="n"/>
      <c r="E62" s="733" t="inlineStr">
        <is>
          <t>Base:</t>
        </is>
      </c>
      <c r="F62" s="733" t="n"/>
      <c r="G62" s="740" t="inlineStr">
        <is>
          <t xml:space="preserve"> Date-cachet-signature</t>
        </is>
      </c>
      <c r="H62" s="734" t="n"/>
    </row>
    <row r="63">
      <c r="A63" s="731" t="inlineStr">
        <is>
          <t>Réf .</t>
        </is>
      </c>
      <c r="B63" s="732" t="n"/>
      <c r="C63" s="731" t="inlineStr">
        <is>
          <t>Réf .</t>
        </is>
      </c>
      <c r="D63" s="733" t="n"/>
      <c r="E63" s="733" t="inlineStr">
        <is>
          <t>Taux :</t>
        </is>
      </c>
      <c r="F63" s="733" t="n"/>
      <c r="G63" s="735" t="n"/>
      <c r="H63" s="734" t="n"/>
    </row>
    <row r="64">
      <c r="A64" s="731" t="inlineStr">
        <is>
          <t>Quittance n°</t>
        </is>
      </c>
      <c r="B64" s="732" t="n"/>
      <c r="C64" s="733" t="inlineStr">
        <is>
          <t>Réf . AMR</t>
        </is>
      </c>
      <c r="D64" s="733" t="n"/>
      <c r="E64" s="733" t="inlineStr">
        <is>
          <t>Montant :</t>
        </is>
      </c>
      <c r="F64" s="733" t="n"/>
      <c r="G64" s="735" t="n"/>
      <c r="H64" s="734" t="n"/>
    </row>
    <row r="65">
      <c r="A65" s="731" t="inlineStr">
        <is>
          <t>Quittance date :</t>
        </is>
      </c>
      <c r="B65" s="732" t="n"/>
      <c r="C65" s="733" t="inlineStr">
        <is>
          <t>Date :</t>
        </is>
      </c>
      <c r="D65" s="733" t="n"/>
      <c r="E65" s="735" t="n"/>
      <c r="F65" s="734" t="n"/>
      <c r="G65" s="735" t="n"/>
      <c r="H65" s="734" t="n"/>
    </row>
    <row r="66">
      <c r="A66" s="731" t="inlineStr">
        <is>
          <t>Montant :</t>
        </is>
      </c>
      <c r="B66" s="732" t="n"/>
      <c r="C66" s="731" t="inlineStr">
        <is>
          <t>Montant :</t>
        </is>
      </c>
      <c r="D66" s="733" t="n"/>
      <c r="E66" s="736" t="n"/>
      <c r="F66" s="737" t="n"/>
      <c r="G66" s="736" t="n"/>
      <c r="H66" s="737" t="n"/>
    </row>
    <row r="67" ht="6.75" customHeight="1" s="1225">
      <c r="A67" s="738" t="n"/>
      <c r="B67" s="1467" t="n"/>
    </row>
    <row r="68">
      <c r="A68" s="739" t="inlineStr">
        <is>
          <t>* Si la cotisation IS due est inférieure ou égale aux prélèvements supportés et aux rétenues subies, porter «zéro(0)» dans la case</t>
        </is>
      </c>
      <c r="B68" s="1467" t="n"/>
    </row>
    <row r="69">
      <c r="A69" s="2064" t="n"/>
      <c r="B69" s="1467" t="n"/>
    </row>
    <row r="70">
      <c r="A70" s="2064" t="n"/>
      <c r="B70" s="1467" t="n"/>
    </row>
    <row r="71">
      <c r="A71" s="2064" t="n"/>
      <c r="B71" s="1467" t="n"/>
    </row>
    <row r="72">
      <c r="A72" s="2064" t="n"/>
      <c r="B72" s="1467" t="n"/>
    </row>
    <row r="73">
      <c r="A73" s="2064" t="n"/>
      <c r="B73" s="1467" t="n"/>
    </row>
    <row r="74">
      <c r="A74" s="2064" t="n"/>
      <c r="B74" s="1467" t="n"/>
    </row>
    <row r="75">
      <c r="A75" s="1467" t="n"/>
      <c r="B75" s="1467" t="n"/>
    </row>
    <row r="76">
      <c r="A76" s="1467" t="n"/>
      <c r="B76" s="1467" t="n"/>
    </row>
    <row r="77">
      <c r="A77" s="1467" t="n"/>
      <c r="B77" s="1467" t="n"/>
    </row>
    <row r="78">
      <c r="A78" s="1467" t="n"/>
      <c r="B78" s="1467" t="n"/>
    </row>
    <row r="79">
      <c r="A79" s="1467" t="n"/>
      <c r="B79" s="1467" t="n"/>
    </row>
    <row r="80">
      <c r="A80" s="1467" t="n"/>
      <c r="B80" s="1467" t="n"/>
    </row>
    <row r="81">
      <c r="A81" s="1467" t="n"/>
      <c r="B81" s="1467" t="n"/>
    </row>
    <row r="82">
      <c r="A82" s="1467" t="n"/>
    </row>
    <row r="83">
      <c r="A83" s="1467" t="n"/>
    </row>
  </sheetData>
  <mergeCells count="27">
    <mergeCell ref="G27:H27"/>
    <mergeCell ref="A60:H60"/>
    <mergeCell ref="G23:H23"/>
    <mergeCell ref="A1:B1"/>
    <mergeCell ref="G61:H61"/>
    <mergeCell ref="A61:B61"/>
    <mergeCell ref="B39:C39"/>
    <mergeCell ref="F59:G59"/>
    <mergeCell ref="G38:H38"/>
    <mergeCell ref="C6:F6"/>
    <mergeCell ref="C5:F5"/>
    <mergeCell ref="A21:H21"/>
    <mergeCell ref="B38:F38"/>
    <mergeCell ref="C11:D11"/>
    <mergeCell ref="G33:H33"/>
    <mergeCell ref="B37:F37"/>
    <mergeCell ref="C61:D61"/>
    <mergeCell ref="C1:F1"/>
    <mergeCell ref="E61:F61"/>
    <mergeCell ref="G29:H29"/>
    <mergeCell ref="G35:H35"/>
    <mergeCell ref="G1:H1"/>
    <mergeCell ref="G25:H25"/>
    <mergeCell ref="A10:H10"/>
    <mergeCell ref="G41:H41"/>
    <mergeCell ref="G31:H31"/>
    <mergeCell ref="G44:H44"/>
  </mergeCells>
  <pageMargins left="0.3937007874015748" right="0.1968503937007874" top="0.3937007874015748" bottom="0.3937007874015748" header="0.1968503937007874" footer="0.1968503937007874"/>
  <pageSetup orientation="portrait" paperSize="9" scale="95"/>
  <drawing xmlns:r="http://schemas.openxmlformats.org/officeDocument/2006/relationships" r:id="rId1"/>
</worksheet>
</file>

<file path=xl/worksheets/sheet90.xml><?xml version="1.0" encoding="utf-8"?>
<worksheet xmlns="http://schemas.openxmlformats.org/spreadsheetml/2006/main">
  <sheetPr>
    <tabColor theme="4" tint="0.5999938962981048"/>
    <outlinePr summaryBelow="1" summaryRight="1"/>
    <pageSetUpPr fitToPage="1"/>
  </sheetPr>
  <dimension ref="B2:M49"/>
  <sheetViews>
    <sheetView showGridLines="0" topLeftCell="A31" workbookViewId="0">
      <selection activeCell="B14" sqref="B14"/>
    </sheetView>
  </sheetViews>
  <sheetFormatPr baseColWidth="10" defaultRowHeight="15"/>
  <cols>
    <col width="0.85546875" customWidth="1" style="1225" min="1" max="1"/>
    <col width="0.7109375" customWidth="1" style="1225" min="2" max="2"/>
    <col width="9" customWidth="1" style="1225" min="3" max="12"/>
    <col width="0.5703125" customWidth="1" style="1225" min="13" max="13"/>
  </cols>
  <sheetData>
    <row r="1" ht="6.75" customHeight="1" s="1225" thickBot="1"/>
    <row r="2" ht="3.75" customHeight="1" s="1225">
      <c r="B2" s="11" t="n"/>
      <c r="C2" s="1300" t="n"/>
      <c r="D2" s="1300" t="n"/>
      <c r="E2" s="1300" t="n"/>
      <c r="F2" s="1300" t="n"/>
      <c r="G2" s="1300" t="n"/>
      <c r="H2" s="1300" t="n"/>
      <c r="I2" s="1300" t="n"/>
      <c r="J2" s="1300" t="n"/>
      <c r="K2" s="1300" t="n"/>
      <c r="L2" s="1300" t="n"/>
      <c r="M2" s="1301" t="n"/>
    </row>
    <row r="3">
      <c r="B3" s="1899" t="n"/>
      <c r="C3" s="237" t="n"/>
      <c r="D3" s="1787" t="n"/>
      <c r="E3" s="1787" t="n"/>
      <c r="F3" s="1787" t="n"/>
      <c r="G3" s="1787" t="n"/>
      <c r="H3" s="1787" t="n"/>
      <c r="I3" s="1787" t="n"/>
      <c r="J3" s="1787" t="n"/>
      <c r="K3" s="1787" t="n"/>
      <c r="L3" s="239" t="n"/>
      <c r="M3" s="1408" t="n"/>
    </row>
    <row r="4" ht="15.6" customHeight="1" s="1225">
      <c r="B4" s="1899" t="n"/>
      <c r="C4" s="240" t="n"/>
      <c r="D4" s="155" t="n"/>
      <c r="E4" s="155" t="n"/>
      <c r="F4" s="155" t="n"/>
      <c r="G4" s="155" t="n"/>
      <c r="H4" s="155" t="n"/>
      <c r="I4" s="155" t="n"/>
      <c r="J4" s="155" t="n"/>
      <c r="K4" s="155" t="n"/>
      <c r="L4" s="1579" t="n"/>
      <c r="M4" s="1408" t="n"/>
    </row>
    <row r="5">
      <c r="B5" s="1899" t="n"/>
      <c r="C5" s="240" t="n"/>
      <c r="L5" s="1579" t="n"/>
      <c r="M5" s="1408" t="n"/>
    </row>
    <row r="6" ht="15.75" customHeight="1" s="1225">
      <c r="B6" s="1899" t="n"/>
      <c r="C6" s="240" t="n"/>
      <c r="D6" s="306" t="n"/>
      <c r="E6" s="306" t="n"/>
      <c r="F6" s="306" t="n"/>
      <c r="G6" s="306" t="n"/>
      <c r="H6" s="306" t="n"/>
      <c r="I6" s="306" t="n"/>
      <c r="J6" s="306" t="n"/>
      <c r="K6" s="306" t="n"/>
      <c r="L6" s="1579" t="n"/>
      <c r="M6" s="1408" t="n"/>
    </row>
    <row r="7">
      <c r="B7" s="1899" t="n"/>
      <c r="C7" s="240" t="n"/>
      <c r="L7" s="1579" t="n"/>
      <c r="M7" s="1408" t="n"/>
    </row>
    <row r="8" ht="15.6" customHeight="1" s="1225">
      <c r="B8" s="1899" t="n"/>
      <c r="C8" s="240" t="n"/>
      <c r="D8" s="155" t="n"/>
      <c r="E8" s="155" t="n"/>
      <c r="F8" s="155" t="n"/>
      <c r="G8" s="155" t="n"/>
      <c r="H8" s="155" t="n"/>
      <c r="I8" s="155" t="n"/>
      <c r="J8" s="155" t="n"/>
      <c r="K8" s="155" t="n"/>
      <c r="L8" s="1579" t="n"/>
      <c r="M8" s="1408" t="n"/>
    </row>
    <row r="9">
      <c r="B9" s="1899" t="n"/>
      <c r="C9" s="240" t="n"/>
      <c r="L9" s="1579" t="n"/>
      <c r="M9" s="1408" t="n"/>
    </row>
    <row r="10">
      <c r="B10" s="1899" t="n"/>
      <c r="C10" s="240" t="n"/>
      <c r="L10" s="1579" t="n"/>
      <c r="M10" s="1408" t="n"/>
    </row>
    <row r="11">
      <c r="B11" s="1899" t="n"/>
      <c r="C11" s="240" t="n"/>
      <c r="L11" s="1579" t="n"/>
      <c r="M11" s="1408" t="n"/>
    </row>
    <row r="12">
      <c r="B12" s="1899" t="n"/>
      <c r="C12" s="240" t="n"/>
      <c r="L12" s="1579" t="n"/>
      <c r="M12" s="1408" t="n"/>
    </row>
    <row r="13">
      <c r="B13" s="1899" t="n"/>
      <c r="C13" s="240" t="n"/>
      <c r="L13" s="1579" t="n"/>
      <c r="M13" s="1408" t="n"/>
    </row>
    <row r="14">
      <c r="B14" s="1899" t="n"/>
      <c r="C14" s="240" t="n"/>
      <c r="L14" s="1579" t="n"/>
      <c r="M14" s="1408" t="n"/>
    </row>
    <row r="15">
      <c r="B15" s="1899" t="n"/>
      <c r="C15" s="240" t="n"/>
      <c r="L15" s="1579" t="n"/>
      <c r="M15" s="1408" t="n"/>
    </row>
    <row r="16">
      <c r="B16" s="1899" t="n"/>
      <c r="C16" s="240" t="n"/>
      <c r="L16" s="1579" t="n"/>
      <c r="M16" s="1408" t="n"/>
    </row>
    <row r="17">
      <c r="B17" s="1899" t="n"/>
      <c r="C17" s="240" t="n"/>
      <c r="L17" s="1579" t="n"/>
      <c r="M17" s="1408" t="n"/>
    </row>
    <row r="18">
      <c r="B18" s="1899" t="n"/>
      <c r="C18" s="240" t="n"/>
      <c r="L18" s="1579" t="n"/>
      <c r="M18" s="1408" t="n"/>
    </row>
    <row r="19">
      <c r="B19" s="1899" t="n"/>
      <c r="C19" s="240" t="n"/>
      <c r="L19" s="1579" t="n"/>
      <c r="M19" s="1408" t="n"/>
    </row>
    <row r="20">
      <c r="B20" s="1899" t="n"/>
      <c r="C20" s="240" t="n"/>
      <c r="L20" s="1579" t="n"/>
      <c r="M20" s="1408" t="n"/>
    </row>
    <row r="21">
      <c r="B21" s="1899" t="n"/>
      <c r="C21" s="240" t="n"/>
      <c r="E21" s="1224" t="inlineStr">
        <is>
          <t>DETERMINATION DU RESULTAT FISCAL ET DE L'IMPOT SUR LES SOCIETES (IS)</t>
        </is>
      </c>
      <c r="L21" s="1579" t="n"/>
      <c r="M21" s="1408" t="n"/>
    </row>
    <row r="22">
      <c r="B22" s="1899" t="n"/>
      <c r="C22" s="240" t="n"/>
      <c r="L22" s="1579" t="n"/>
      <c r="M22" s="1408" t="n"/>
    </row>
    <row r="23">
      <c r="B23" s="1899" t="n"/>
      <c r="C23" s="240" t="n"/>
      <c r="L23" s="1579" t="n"/>
      <c r="M23" s="1408" t="n"/>
    </row>
    <row r="24">
      <c r="B24" s="1899" t="n"/>
      <c r="C24" s="240" t="n"/>
      <c r="L24" s="1579" t="n"/>
      <c r="M24" s="1408" t="n"/>
    </row>
    <row r="25">
      <c r="B25" s="1899" t="n"/>
      <c r="C25" s="240" t="n"/>
      <c r="L25" s="1579" t="n"/>
      <c r="M25" s="1408" t="n"/>
    </row>
    <row r="26">
      <c r="B26" s="1899" t="n"/>
      <c r="C26" s="240" t="n"/>
      <c r="L26" s="1579" t="n"/>
      <c r="M26" s="1408" t="n"/>
    </row>
    <row r="27">
      <c r="B27" s="1899" t="n"/>
      <c r="C27" s="240" t="n"/>
      <c r="L27" s="1579" t="n"/>
      <c r="M27" s="1408" t="n"/>
    </row>
    <row r="28">
      <c r="B28" s="1899" t="n"/>
      <c r="C28" s="240" t="n"/>
      <c r="L28" s="1579" t="n"/>
      <c r="M28" s="1408" t="n"/>
    </row>
    <row r="29">
      <c r="B29" s="1899" t="n"/>
      <c r="C29" s="240" t="n"/>
      <c r="L29" s="1579" t="n"/>
      <c r="M29" s="1408" t="n"/>
    </row>
    <row r="30">
      <c r="B30" s="1899" t="n"/>
      <c r="C30" s="240" t="n"/>
      <c r="L30" s="1579" t="n"/>
      <c r="M30" s="1408" t="n"/>
    </row>
    <row r="31" ht="18" customHeight="1" s="1225">
      <c r="B31" s="1899" t="n"/>
      <c r="C31" s="240" t="n"/>
      <c r="E31" s="156" t="n"/>
      <c r="F31" s="156" t="n"/>
      <c r="G31" s="156" t="n"/>
      <c r="H31" s="156" t="n"/>
      <c r="I31" s="156" t="n"/>
      <c r="J31" s="156" t="n"/>
      <c r="L31" s="1579" t="n"/>
      <c r="M31" s="1408" t="n"/>
    </row>
    <row r="32">
      <c r="B32" s="1899" t="n"/>
      <c r="C32" s="240" t="n"/>
      <c r="L32" s="1579" t="n"/>
      <c r="M32" s="1408" t="n"/>
    </row>
    <row r="33">
      <c r="B33" s="1899" t="n"/>
      <c r="C33" s="240" t="n"/>
      <c r="L33" s="1579" t="n"/>
      <c r="M33" s="1408" t="n"/>
    </row>
    <row r="34">
      <c r="B34" s="1899" t="n"/>
      <c r="C34" s="240" t="n"/>
      <c r="L34" s="1579" t="n"/>
      <c r="M34" s="1408" t="n"/>
    </row>
    <row r="35">
      <c r="B35" s="1899" t="n"/>
      <c r="C35" s="240" t="n"/>
      <c r="L35" s="1579" t="n"/>
      <c r="M35" s="1408" t="n"/>
    </row>
    <row r="36">
      <c r="B36" s="1899" t="n"/>
      <c r="C36" s="240" t="n"/>
      <c r="L36" s="1579" t="n"/>
      <c r="M36" s="1408" t="n"/>
    </row>
    <row r="37">
      <c r="B37" s="1899" t="n"/>
      <c r="C37" s="240" t="n"/>
      <c r="L37" s="1579" t="n"/>
      <c r="M37" s="1408" t="n"/>
    </row>
    <row r="38">
      <c r="B38" s="1899" t="n"/>
      <c r="C38" s="240" t="n"/>
      <c r="L38" s="1579" t="n"/>
      <c r="M38" s="1408" t="n"/>
    </row>
    <row r="39">
      <c r="B39" s="1899" t="n"/>
      <c r="C39" s="240" t="n"/>
      <c r="L39" s="1579" t="n"/>
      <c r="M39" s="1408" t="n"/>
    </row>
    <row r="40">
      <c r="B40" s="1899" t="n"/>
      <c r="C40" s="240" t="n"/>
      <c r="L40" s="1579" t="n"/>
      <c r="M40" s="1408" t="n"/>
    </row>
    <row r="41">
      <c r="B41" s="1899" t="n"/>
      <c r="C41" s="240" t="n"/>
      <c r="L41" s="1579" t="n"/>
      <c r="M41" s="1408" t="n"/>
    </row>
    <row r="42">
      <c r="B42" s="1899" t="n"/>
      <c r="C42" s="240" t="n"/>
      <c r="L42" s="1579" t="n"/>
      <c r="M42" s="1408" t="n"/>
    </row>
    <row r="43">
      <c r="B43" s="1899" t="n"/>
      <c r="C43" s="240" t="n"/>
      <c r="L43" s="1579" t="n"/>
      <c r="M43" s="1408" t="n"/>
    </row>
    <row r="44">
      <c r="B44" s="1899" t="n"/>
      <c r="C44" s="240" t="n"/>
      <c r="L44" s="1579" t="n"/>
      <c r="M44" s="1408" t="n"/>
    </row>
    <row r="45">
      <c r="B45" s="1899" t="n"/>
      <c r="C45" s="240" t="n"/>
      <c r="L45" s="1579" t="n"/>
      <c r="M45" s="1408" t="n"/>
    </row>
    <row r="46">
      <c r="B46" s="1899" t="n"/>
      <c r="C46" s="240" t="n"/>
      <c r="L46" s="1579" t="n"/>
      <c r="M46" s="1408" t="n"/>
    </row>
    <row r="47">
      <c r="B47" s="1899" t="n"/>
      <c r="C47" s="240" t="n"/>
      <c r="L47" s="1579" t="n"/>
      <c r="M47" s="1408" t="n"/>
    </row>
    <row r="48">
      <c r="B48" s="1899" t="n"/>
      <c r="C48" s="1960" t="n"/>
      <c r="D48" s="1792" t="n"/>
      <c r="E48" s="1792" t="n"/>
      <c r="F48" s="1792" t="n"/>
      <c r="G48" s="1792" t="n"/>
      <c r="H48" s="1792" t="n"/>
      <c r="I48" s="1792" t="n"/>
      <c r="J48" s="1792" t="n"/>
      <c r="K48" s="1792" t="n"/>
      <c r="L48" s="1743" t="n"/>
      <c r="M48" s="1408" t="n"/>
    </row>
    <row r="49" ht="3.75" customHeight="1" s="1225" thickBot="1">
      <c r="B49" s="1302" t="n"/>
      <c r="C49" s="1303" t="n"/>
      <c r="D49" s="1303" t="n"/>
      <c r="E49" s="1303" t="n"/>
      <c r="F49" s="1303" t="n"/>
      <c r="G49" s="1303" t="n"/>
      <c r="H49" s="1303" t="n"/>
      <c r="I49" s="1303" t="n"/>
      <c r="J49" s="1303" t="n"/>
      <c r="K49" s="1303" t="n"/>
      <c r="L49" s="1303" t="n"/>
      <c r="M49" s="1304" t="n"/>
    </row>
  </sheetData>
  <mergeCells count="1">
    <mergeCell ref="E21:J24"/>
  </mergeCells>
  <printOptions horizontalCentered="1" verticalCentered="1"/>
  <pageMargins left="0.7086614173228347" right="0.7086614173228347" top="0.7480314960629921" bottom="0.7480314960629921" header="0.3149606299212598" footer="0.3149606299212598"/>
  <pageSetup orientation="portrait" paperSize="9" scale="94"/>
</worksheet>
</file>

<file path=xl/worksheets/sheet91.xml><?xml version="1.0" encoding="utf-8"?>
<worksheet xmlns="http://schemas.openxmlformats.org/spreadsheetml/2006/main">
  <sheetPr codeName="Feuil79">
    <tabColor theme="4" tint="0.5999938962981048"/>
    <outlinePr summaryBelow="1" summaryRight="1"/>
    <pageSetUpPr fitToPage="1"/>
  </sheetPr>
  <dimension ref="B2:M49"/>
  <sheetViews>
    <sheetView showGridLines="0" topLeftCell="A34" workbookViewId="0">
      <selection activeCell="B14" sqref="B14"/>
    </sheetView>
  </sheetViews>
  <sheetFormatPr baseColWidth="10" defaultRowHeight="15"/>
  <cols>
    <col width="0.85546875" customWidth="1" style="1225" min="1" max="1"/>
    <col width="0.7109375" customWidth="1" style="1225" min="2" max="2"/>
    <col width="9" customWidth="1" style="1225" min="3" max="12"/>
    <col width="0.5703125" customWidth="1" style="1225" min="13" max="13"/>
  </cols>
  <sheetData>
    <row r="1" ht="6.75" customHeight="1" s="1225" thickBot="1"/>
    <row r="2" ht="3.75" customHeight="1" s="1225">
      <c r="B2" s="11" t="n"/>
      <c r="C2" s="1300" t="n"/>
      <c r="D2" s="1300" t="n"/>
      <c r="E2" s="1300" t="n"/>
      <c r="F2" s="1300" t="n"/>
      <c r="G2" s="1300" t="n"/>
      <c r="H2" s="1300" t="n"/>
      <c r="I2" s="1300" t="n"/>
      <c r="J2" s="1300" t="n"/>
      <c r="K2" s="1300" t="n"/>
      <c r="L2" s="1300" t="n"/>
      <c r="M2" s="1301" t="n"/>
    </row>
    <row r="3">
      <c r="B3" s="1899" t="n"/>
      <c r="C3" s="237" t="n"/>
      <c r="D3" s="1787" t="n"/>
      <c r="E3" s="1787" t="n"/>
      <c r="F3" s="1787" t="n"/>
      <c r="G3" s="1787" t="n"/>
      <c r="H3" s="1787" t="n"/>
      <c r="I3" s="1787" t="n"/>
      <c r="J3" s="1787" t="n"/>
      <c r="K3" s="1787" t="n"/>
      <c r="L3" s="239" t="n"/>
      <c r="M3" s="1408" t="n"/>
    </row>
    <row r="4" ht="15.6" customHeight="1" s="1225">
      <c r="B4" s="1899" t="n"/>
      <c r="C4" s="240" t="n"/>
      <c r="D4" s="155" t="n"/>
      <c r="E4" s="155" t="n"/>
      <c r="F4" s="155" t="n"/>
      <c r="G4" s="155" t="n"/>
      <c r="H4" s="155" t="n"/>
      <c r="I4" s="155" t="n"/>
      <c r="J4" s="155" t="n"/>
      <c r="K4" s="155" t="n"/>
      <c r="L4" s="1579" t="n"/>
      <c r="M4" s="1408" t="n"/>
    </row>
    <row r="5">
      <c r="B5" s="1899" t="n"/>
      <c r="C5" s="240" t="n"/>
      <c r="L5" s="1579" t="n"/>
      <c r="M5" s="1408" t="n"/>
    </row>
    <row r="6" ht="15.75" customHeight="1" s="1225">
      <c r="B6" s="1899" t="n"/>
      <c r="C6" s="240" t="n"/>
      <c r="D6" s="306" t="n"/>
      <c r="E6" s="306" t="n"/>
      <c r="F6" s="306" t="n"/>
      <c r="G6" s="306" t="n"/>
      <c r="H6" s="306" t="n"/>
      <c r="I6" s="306" t="n"/>
      <c r="J6" s="306" t="n"/>
      <c r="K6" s="306" t="n"/>
      <c r="L6" s="1579" t="n"/>
      <c r="M6" s="1408" t="n"/>
    </row>
    <row r="7">
      <c r="B7" s="1899" t="n"/>
      <c r="C7" s="240" t="n"/>
      <c r="L7" s="1579" t="n"/>
      <c r="M7" s="1408" t="n"/>
    </row>
    <row r="8" ht="15.6" customHeight="1" s="1225">
      <c r="B8" s="1899" t="n"/>
      <c r="C8" s="240" t="n"/>
      <c r="D8" s="155" t="n"/>
      <c r="E8" s="155" t="n"/>
      <c r="F8" s="155" t="n"/>
      <c r="G8" s="155" t="n"/>
      <c r="H8" s="155" t="n"/>
      <c r="I8" s="155" t="n"/>
      <c r="J8" s="155" t="n"/>
      <c r="K8" s="155" t="n"/>
      <c r="L8" s="1579" t="n"/>
      <c r="M8" s="1408" t="n"/>
    </row>
    <row r="9">
      <c r="B9" s="1899" t="n"/>
      <c r="C9" s="240" t="n"/>
      <c r="L9" s="1579" t="n"/>
      <c r="M9" s="1408" t="n"/>
    </row>
    <row r="10">
      <c r="B10" s="1899" t="n"/>
      <c r="C10" s="240" t="n"/>
      <c r="L10" s="1579" t="n"/>
      <c r="M10" s="1408" t="n"/>
    </row>
    <row r="11">
      <c r="B11" s="1899" t="n"/>
      <c r="C11" s="240" t="n"/>
      <c r="L11" s="1579" t="n"/>
      <c r="M11" s="1408" t="n"/>
    </row>
    <row r="12">
      <c r="B12" s="1899" t="n"/>
      <c r="C12" s="240" t="n"/>
      <c r="L12" s="1579" t="n"/>
      <c r="M12" s="1408" t="n"/>
    </row>
    <row r="13">
      <c r="B13" s="1899" t="n"/>
      <c r="C13" s="240" t="n"/>
      <c r="L13" s="1579" t="n"/>
      <c r="M13" s="1408" t="n"/>
    </row>
    <row r="14">
      <c r="B14" s="1899" t="n"/>
      <c r="C14" s="240" t="n"/>
      <c r="L14" s="1579" t="n"/>
      <c r="M14" s="1408" t="n"/>
    </row>
    <row r="15">
      <c r="B15" s="1899" t="n"/>
      <c r="C15" s="240" t="n"/>
      <c r="L15" s="1579" t="n"/>
      <c r="M15" s="1408" t="n"/>
    </row>
    <row r="16">
      <c r="B16" s="1899" t="n"/>
      <c r="C16" s="240" t="n"/>
      <c r="L16" s="1579" t="n"/>
      <c r="M16" s="1408" t="n"/>
    </row>
    <row r="17">
      <c r="B17" s="1899" t="n"/>
      <c r="C17" s="240" t="n"/>
      <c r="L17" s="1579" t="n"/>
      <c r="M17" s="1408" t="n"/>
    </row>
    <row r="18">
      <c r="B18" s="1899" t="n"/>
      <c r="C18" s="240" t="n"/>
      <c r="L18" s="1579" t="n"/>
      <c r="M18" s="1408" t="n"/>
    </row>
    <row r="19">
      <c r="B19" s="1899" t="n"/>
      <c r="C19" s="240" t="n"/>
      <c r="L19" s="1579" t="n"/>
      <c r="M19" s="1408" t="n"/>
    </row>
    <row r="20">
      <c r="B20" s="1899" t="n"/>
      <c r="C20" s="240" t="n"/>
      <c r="L20" s="1579" t="n"/>
      <c r="M20" s="1408" t="n"/>
    </row>
    <row r="21">
      <c r="B21" s="1899" t="n"/>
      <c r="C21" s="240" t="n"/>
      <c r="E21" s="1224" t="inlineStr">
        <is>
          <t>DETERMINATION DU RESULTAT FISCAL ET DE L'IMPOT SUR LES BENEFICES INDUSTRIELS OU COMMERCIAUX (IBICA)</t>
        </is>
      </c>
      <c r="L21" s="1579" t="n"/>
      <c r="M21" s="1408" t="n"/>
    </row>
    <row r="22">
      <c r="B22" s="1899" t="n"/>
      <c r="C22" s="240" t="n"/>
      <c r="L22" s="1579" t="n"/>
      <c r="M22" s="1408" t="n"/>
    </row>
    <row r="23">
      <c r="B23" s="1899" t="n"/>
      <c r="C23" s="240" t="n"/>
      <c r="L23" s="1579" t="n"/>
      <c r="M23" s="1408" t="n"/>
    </row>
    <row r="24">
      <c r="B24" s="1899" t="n"/>
      <c r="C24" s="240" t="n"/>
      <c r="L24" s="1579" t="n"/>
      <c r="M24" s="1408" t="n"/>
    </row>
    <row r="25">
      <c r="B25" s="1899" t="n"/>
      <c r="C25" s="240" t="n"/>
      <c r="L25" s="1579" t="n"/>
      <c r="M25" s="1408" t="n"/>
    </row>
    <row r="26">
      <c r="B26" s="1899" t="n"/>
      <c r="C26" s="240" t="n"/>
      <c r="L26" s="1579" t="n"/>
      <c r="M26" s="1408" t="n"/>
    </row>
    <row r="27">
      <c r="B27" s="1899" t="n"/>
      <c r="C27" s="240" t="n"/>
      <c r="L27" s="1579" t="n"/>
      <c r="M27" s="1408" t="n"/>
    </row>
    <row r="28">
      <c r="B28" s="1899" t="n"/>
      <c r="C28" s="240" t="n"/>
      <c r="L28" s="1579" t="n"/>
      <c r="M28" s="1408" t="n"/>
    </row>
    <row r="29">
      <c r="B29" s="1899" t="n"/>
      <c r="C29" s="240" t="n"/>
      <c r="L29" s="1579" t="n"/>
      <c r="M29" s="1408" t="n"/>
    </row>
    <row r="30">
      <c r="B30" s="1899" t="n"/>
      <c r="C30" s="240" t="n"/>
      <c r="L30" s="1579" t="n"/>
      <c r="M30" s="1408" t="n"/>
    </row>
    <row r="31" ht="18" customHeight="1" s="1225">
      <c r="B31" s="1899" t="n"/>
      <c r="C31" s="240" t="n"/>
      <c r="E31" s="156" t="n"/>
      <c r="F31" s="156" t="n"/>
      <c r="G31" s="156" t="n"/>
      <c r="H31" s="156" t="n"/>
      <c r="I31" s="156" t="n"/>
      <c r="J31" s="156" t="n"/>
      <c r="L31" s="1579" t="n"/>
      <c r="M31" s="1408" t="n"/>
    </row>
    <row r="32">
      <c r="B32" s="1899" t="n"/>
      <c r="C32" s="240" t="n"/>
      <c r="L32" s="1579" t="n"/>
      <c r="M32" s="1408" t="n"/>
    </row>
    <row r="33">
      <c r="B33" s="1899" t="n"/>
      <c r="C33" s="240" t="n"/>
      <c r="L33" s="1579" t="n"/>
      <c r="M33" s="1408" t="n"/>
    </row>
    <row r="34">
      <c r="B34" s="1899" t="n"/>
      <c r="C34" s="240" t="n"/>
      <c r="L34" s="1579" t="n"/>
      <c r="M34" s="1408" t="n"/>
    </row>
    <row r="35">
      <c r="B35" s="1899" t="n"/>
      <c r="C35" s="240" t="n"/>
      <c r="L35" s="1579" t="n"/>
      <c r="M35" s="1408" t="n"/>
    </row>
    <row r="36">
      <c r="B36" s="1899" t="n"/>
      <c r="C36" s="240" t="n"/>
      <c r="L36" s="1579" t="n"/>
      <c r="M36" s="1408" t="n"/>
    </row>
    <row r="37">
      <c r="B37" s="1899" t="n"/>
      <c r="C37" s="240" t="n"/>
      <c r="L37" s="1579" t="n"/>
      <c r="M37" s="1408" t="n"/>
    </row>
    <row r="38">
      <c r="B38" s="1899" t="n"/>
      <c r="C38" s="240" t="n"/>
      <c r="L38" s="1579" t="n"/>
      <c r="M38" s="1408" t="n"/>
    </row>
    <row r="39">
      <c r="B39" s="1899" t="n"/>
      <c r="C39" s="240" t="n"/>
      <c r="L39" s="1579" t="n"/>
      <c r="M39" s="1408" t="n"/>
    </row>
    <row r="40">
      <c r="B40" s="1899" t="n"/>
      <c r="C40" s="240" t="n"/>
      <c r="L40" s="1579" t="n"/>
      <c r="M40" s="1408" t="n"/>
    </row>
    <row r="41">
      <c r="B41" s="1899" t="n"/>
      <c r="C41" s="240" t="n"/>
      <c r="L41" s="1579" t="n"/>
      <c r="M41" s="1408" t="n"/>
    </row>
    <row r="42">
      <c r="B42" s="1899" t="n"/>
      <c r="C42" s="240" t="n"/>
      <c r="L42" s="1579" t="n"/>
      <c r="M42" s="1408" t="n"/>
    </row>
    <row r="43">
      <c r="B43" s="1899" t="n"/>
      <c r="C43" s="240" t="n"/>
      <c r="L43" s="1579" t="n"/>
      <c r="M43" s="1408" t="n"/>
    </row>
    <row r="44">
      <c r="B44" s="1899" t="n"/>
      <c r="C44" s="240" t="n"/>
      <c r="L44" s="1579" t="n"/>
      <c r="M44" s="1408" t="n"/>
    </row>
    <row r="45">
      <c r="B45" s="1899" t="n"/>
      <c r="C45" s="240" t="n"/>
      <c r="L45" s="1579" t="n"/>
      <c r="M45" s="1408" t="n"/>
    </row>
    <row r="46">
      <c r="B46" s="1899" t="n"/>
      <c r="C46" s="240" t="n"/>
      <c r="L46" s="1579" t="n"/>
      <c r="M46" s="1408" t="n"/>
    </row>
    <row r="47">
      <c r="B47" s="1899" t="n"/>
      <c r="C47" s="240" t="n"/>
      <c r="L47" s="1579" t="n"/>
      <c r="M47" s="1408" t="n"/>
    </row>
    <row r="48">
      <c r="B48" s="1899" t="n"/>
      <c r="C48" s="1960" t="n"/>
      <c r="D48" s="1792" t="n"/>
      <c r="E48" s="1792" t="n"/>
      <c r="F48" s="1792" t="n"/>
      <c r="G48" s="1792" t="n"/>
      <c r="H48" s="1792" t="n"/>
      <c r="I48" s="1792" t="n"/>
      <c r="J48" s="1792" t="n"/>
      <c r="K48" s="1792" t="n"/>
      <c r="L48" s="1743" t="n"/>
      <c r="M48" s="1408" t="n"/>
    </row>
    <row r="49" ht="3.75" customHeight="1" s="1225" thickBot="1">
      <c r="B49" s="1302" t="n"/>
      <c r="C49" s="1303" t="n"/>
      <c r="D49" s="1303" t="n"/>
      <c r="E49" s="1303" t="n"/>
      <c r="F49" s="1303" t="n"/>
      <c r="G49" s="1303" t="n"/>
      <c r="H49" s="1303" t="n"/>
      <c r="I49" s="1303" t="n"/>
      <c r="J49" s="1303" t="n"/>
      <c r="K49" s="1303" t="n"/>
      <c r="L49" s="1303" t="n"/>
      <c r="M49" s="1304" t="n"/>
    </row>
  </sheetData>
  <mergeCells count="1">
    <mergeCell ref="E21:J24"/>
  </mergeCells>
  <printOptions horizontalCentered="1" verticalCentered="1"/>
  <pageMargins left="0.7086614173228347" right="0.7086614173228347" top="0.7480314960629921" bottom="0.7480314960629921" header="0.3149606299212598" footer="0.3149606299212598"/>
  <pageSetup orientation="portrait" paperSize="9" scale="94"/>
</worksheet>
</file>

<file path=xl/worksheets/sheet92.xml><?xml version="1.0" encoding="utf-8"?>
<worksheet xmlns="http://schemas.openxmlformats.org/spreadsheetml/2006/main">
  <sheetPr codeName="Feuil80">
    <tabColor theme="4" tint="0.5999938962981048"/>
    <outlinePr summaryBelow="1" summaryRight="1"/>
    <pageSetUpPr fitToPage="1"/>
  </sheetPr>
  <dimension ref="B2:M49"/>
  <sheetViews>
    <sheetView showGridLines="0" topLeftCell="A25" workbookViewId="0">
      <selection activeCell="B14" sqref="B14"/>
    </sheetView>
  </sheetViews>
  <sheetFormatPr baseColWidth="10" defaultRowHeight="15"/>
  <cols>
    <col width="0.85546875" customWidth="1" style="1225" min="1" max="1"/>
    <col width="0.7109375" customWidth="1" style="1225" min="2" max="2"/>
    <col width="9" customWidth="1" style="1225" min="3" max="12"/>
    <col width="0.5703125" customWidth="1" style="1225" min="13" max="13"/>
  </cols>
  <sheetData>
    <row r="1" ht="4.5" customHeight="1" s="1225" thickBot="1"/>
    <row r="2" ht="3.75" customHeight="1" s="1225">
      <c r="B2" s="11" t="n"/>
      <c r="C2" s="1300" t="n"/>
      <c r="D2" s="1300" t="n"/>
      <c r="E2" s="1300" t="n"/>
      <c r="F2" s="1300" t="n"/>
      <c r="G2" s="1300" t="n"/>
      <c r="H2" s="1300" t="n"/>
      <c r="I2" s="1300" t="n"/>
      <c r="J2" s="1300" t="n"/>
      <c r="K2" s="1300" t="n"/>
      <c r="L2" s="1300" t="n"/>
      <c r="M2" s="1301" t="n"/>
    </row>
    <row r="3">
      <c r="B3" s="1899" t="n"/>
      <c r="C3" s="237" t="n"/>
      <c r="D3" s="1787" t="n"/>
      <c r="E3" s="1787" t="n"/>
      <c r="F3" s="1787" t="n"/>
      <c r="G3" s="1787" t="n"/>
      <c r="H3" s="1787" t="n"/>
      <c r="I3" s="1787" t="n"/>
      <c r="J3" s="1787" t="n"/>
      <c r="K3" s="1787" t="n"/>
      <c r="L3" s="239" t="n"/>
      <c r="M3" s="1408" t="n"/>
    </row>
    <row r="4" ht="15.6" customHeight="1" s="1225">
      <c r="B4" s="1899" t="n"/>
      <c r="C4" s="240" t="n"/>
      <c r="D4" s="155" t="n"/>
      <c r="E4" s="155" t="n"/>
      <c r="F4" s="155" t="n"/>
      <c r="G4" s="155" t="n"/>
      <c r="H4" s="155" t="n"/>
      <c r="I4" s="155" t="n"/>
      <c r="J4" s="155" t="n"/>
      <c r="K4" s="155" t="n"/>
      <c r="L4" s="1579" t="n"/>
      <c r="M4" s="1408" t="n"/>
    </row>
    <row r="5">
      <c r="B5" s="1899" t="n"/>
      <c r="C5" s="240" t="n"/>
      <c r="L5" s="1579" t="n"/>
      <c r="M5" s="1408" t="n"/>
    </row>
    <row r="6" ht="15.6" customHeight="1" s="1225">
      <c r="B6" s="1899" t="n"/>
      <c r="C6" s="240" t="n"/>
      <c r="D6" s="306" t="n"/>
      <c r="E6" s="306" t="n"/>
      <c r="F6" s="306" t="n"/>
      <c r="G6" s="306" t="n"/>
      <c r="H6" s="306" t="n"/>
      <c r="I6" s="306" t="n"/>
      <c r="J6" s="306" t="n"/>
      <c r="K6" s="306" t="n"/>
      <c r="L6" s="1579" t="n"/>
      <c r="M6" s="1408" t="n"/>
    </row>
    <row r="7">
      <c r="B7" s="1899" t="n"/>
      <c r="C7" s="240" t="n"/>
      <c r="L7" s="1579" t="n"/>
      <c r="M7" s="1408" t="n"/>
    </row>
    <row r="8" ht="15.6" customHeight="1" s="1225">
      <c r="B8" s="1899" t="n"/>
      <c r="C8" s="240" t="n"/>
      <c r="D8" s="155" t="n"/>
      <c r="E8" s="155" t="n"/>
      <c r="F8" s="155" t="n"/>
      <c r="G8" s="155" t="n"/>
      <c r="H8" s="155" t="n"/>
      <c r="I8" s="155" t="n"/>
      <c r="J8" s="155" t="n"/>
      <c r="K8" s="155" t="n"/>
      <c r="L8" s="1579" t="n"/>
      <c r="M8" s="1408" t="n"/>
    </row>
    <row r="9">
      <c r="B9" s="1899" t="n"/>
      <c r="C9" s="240" t="n"/>
      <c r="L9" s="1579" t="n"/>
      <c r="M9" s="1408" t="n"/>
    </row>
    <row r="10">
      <c r="B10" s="1899" t="n"/>
      <c r="C10" s="240" t="n"/>
      <c r="L10" s="1579" t="n"/>
      <c r="M10" s="1408" t="n"/>
    </row>
    <row r="11">
      <c r="B11" s="1899" t="n"/>
      <c r="C11" s="240" t="n"/>
      <c r="L11" s="1579" t="n"/>
      <c r="M11" s="1408" t="n"/>
    </row>
    <row r="12">
      <c r="B12" s="1899" t="n"/>
      <c r="C12" s="240" t="n"/>
      <c r="L12" s="1579" t="n"/>
      <c r="M12" s="1408" t="n"/>
    </row>
    <row r="13">
      <c r="B13" s="1899" t="n"/>
      <c r="C13" s="240" t="n"/>
      <c r="L13" s="1579" t="n"/>
      <c r="M13" s="1408" t="n"/>
    </row>
    <row r="14">
      <c r="B14" s="1899" t="n"/>
      <c r="C14" s="240" t="n"/>
      <c r="L14" s="1579" t="n"/>
      <c r="M14" s="1408" t="n"/>
    </row>
    <row r="15">
      <c r="B15" s="1899" t="n"/>
      <c r="C15" s="240" t="n"/>
      <c r="L15" s="1579" t="n"/>
      <c r="M15" s="1408" t="n"/>
    </row>
    <row r="16">
      <c r="B16" s="1899" t="n"/>
      <c r="C16" s="240" t="n"/>
      <c r="L16" s="1579" t="n"/>
      <c r="M16" s="1408" t="n"/>
    </row>
    <row r="17">
      <c r="B17" s="1899" t="n"/>
      <c r="C17" s="240" t="n"/>
      <c r="L17" s="1579" t="n"/>
      <c r="M17" s="1408" t="n"/>
    </row>
    <row r="18">
      <c r="B18" s="1899" t="n"/>
      <c r="C18" s="240" t="n"/>
      <c r="L18" s="1579" t="n"/>
      <c r="M18" s="1408" t="n"/>
    </row>
    <row r="19">
      <c r="B19" s="1899" t="n"/>
      <c r="C19" s="240" t="n"/>
      <c r="L19" s="1579" t="n"/>
      <c r="M19" s="1408" t="n"/>
    </row>
    <row r="20">
      <c r="B20" s="1899" t="n"/>
      <c r="C20" s="240" t="n"/>
      <c r="L20" s="1579" t="n"/>
      <c r="M20" s="1408" t="n"/>
    </row>
    <row r="21">
      <c r="B21" s="1899" t="n"/>
      <c r="C21" s="240" t="n"/>
      <c r="E21" s="1224" t="inlineStr">
        <is>
          <t>DETERMINATION DU RESULTAT FISCAL ET DE L'IMPOT SUR LES DES BENEFICES NON COMMERCIAUX (IBNC)</t>
        </is>
      </c>
      <c r="L21" s="1579" t="n"/>
      <c r="M21" s="1408" t="n"/>
    </row>
    <row r="22">
      <c r="B22" s="1899" t="n"/>
      <c r="C22" s="240" t="n"/>
      <c r="L22" s="1579" t="n"/>
      <c r="M22" s="1408" t="n"/>
    </row>
    <row r="23">
      <c r="B23" s="1899" t="n"/>
      <c r="C23" s="240" t="n"/>
      <c r="L23" s="1579" t="n"/>
      <c r="M23" s="1408" t="n"/>
    </row>
    <row r="24">
      <c r="B24" s="1899" t="n"/>
      <c r="C24" s="240" t="n"/>
      <c r="L24" s="1579" t="n"/>
      <c r="M24" s="1408" t="n"/>
    </row>
    <row r="25">
      <c r="B25" s="1899" t="n"/>
      <c r="C25" s="240" t="n"/>
      <c r="L25" s="1579" t="n"/>
      <c r="M25" s="1408" t="n"/>
    </row>
    <row r="26">
      <c r="B26" s="1899" t="n"/>
      <c r="C26" s="240" t="n"/>
      <c r="L26" s="1579" t="n"/>
      <c r="M26" s="1408" t="n"/>
    </row>
    <row r="27">
      <c r="B27" s="1899" t="n"/>
      <c r="C27" s="240" t="n"/>
      <c r="L27" s="1579" t="n"/>
      <c r="M27" s="1408" t="n"/>
    </row>
    <row r="28">
      <c r="B28" s="1899" t="n"/>
      <c r="C28" s="240" t="n"/>
      <c r="L28" s="1579" t="n"/>
      <c r="M28" s="1408" t="n"/>
    </row>
    <row r="29">
      <c r="B29" s="1899" t="n"/>
      <c r="C29" s="240" t="n"/>
      <c r="L29" s="1579" t="n"/>
      <c r="M29" s="1408" t="n"/>
    </row>
    <row r="30">
      <c r="B30" s="1899" t="n"/>
      <c r="C30" s="240" t="n"/>
      <c r="L30" s="1579" t="n"/>
      <c r="M30" s="1408" t="n"/>
    </row>
    <row r="31" ht="18" customHeight="1" s="1225">
      <c r="B31" s="1899" t="n"/>
      <c r="C31" s="240" t="n"/>
      <c r="E31" s="156" t="n"/>
      <c r="F31" s="156" t="n"/>
      <c r="G31" s="156" t="n"/>
      <c r="H31" s="156" t="n"/>
      <c r="I31" s="156" t="n"/>
      <c r="J31" s="156" t="n"/>
      <c r="L31" s="1579" t="n"/>
      <c r="M31" s="1408" t="n"/>
    </row>
    <row r="32">
      <c r="B32" s="1899" t="n"/>
      <c r="C32" s="240" t="n"/>
      <c r="L32" s="1579" t="n"/>
      <c r="M32" s="1408" t="n"/>
    </row>
    <row r="33">
      <c r="B33" s="1899" t="n"/>
      <c r="C33" s="240" t="n"/>
      <c r="L33" s="1579" t="n"/>
      <c r="M33" s="1408" t="n"/>
    </row>
    <row r="34">
      <c r="B34" s="1899" t="n"/>
      <c r="C34" s="240" t="n"/>
      <c r="L34" s="1579" t="n"/>
      <c r="M34" s="1408" t="n"/>
    </row>
    <row r="35">
      <c r="B35" s="1899" t="n"/>
      <c r="C35" s="240" t="n"/>
      <c r="L35" s="1579" t="n"/>
      <c r="M35" s="1408" t="n"/>
    </row>
    <row r="36">
      <c r="B36" s="1899" t="n"/>
      <c r="C36" s="240" t="n"/>
      <c r="L36" s="1579" t="n"/>
      <c r="M36" s="1408" t="n"/>
    </row>
    <row r="37">
      <c r="B37" s="1899" t="n"/>
      <c r="C37" s="240" t="n"/>
      <c r="L37" s="1579" t="n"/>
      <c r="M37" s="1408" t="n"/>
    </row>
    <row r="38">
      <c r="B38" s="1899" t="n"/>
      <c r="C38" s="240" t="n"/>
      <c r="L38" s="1579" t="n"/>
      <c r="M38" s="1408" t="n"/>
    </row>
    <row r="39">
      <c r="B39" s="1899" t="n"/>
      <c r="C39" s="240" t="n"/>
      <c r="L39" s="1579" t="n"/>
      <c r="M39" s="1408" t="n"/>
    </row>
    <row r="40">
      <c r="B40" s="1899" t="n"/>
      <c r="C40" s="240" t="n"/>
      <c r="L40" s="1579" t="n"/>
      <c r="M40" s="1408" t="n"/>
    </row>
    <row r="41">
      <c r="B41" s="1899" t="n"/>
      <c r="C41" s="240" t="n"/>
      <c r="L41" s="1579" t="n"/>
      <c r="M41" s="1408" t="n"/>
    </row>
    <row r="42">
      <c r="B42" s="1899" t="n"/>
      <c r="C42" s="240" t="n"/>
      <c r="L42" s="1579" t="n"/>
      <c r="M42" s="1408" t="n"/>
    </row>
    <row r="43">
      <c r="B43" s="1899" t="n"/>
      <c r="C43" s="240" t="n"/>
      <c r="L43" s="1579" t="n"/>
      <c r="M43" s="1408" t="n"/>
    </row>
    <row r="44">
      <c r="B44" s="1899" t="n"/>
      <c r="C44" s="240" t="n"/>
      <c r="L44" s="1579" t="n"/>
      <c r="M44" s="1408" t="n"/>
    </row>
    <row r="45">
      <c r="B45" s="1899" t="n"/>
      <c r="C45" s="240" t="n"/>
      <c r="L45" s="1579" t="n"/>
      <c r="M45" s="1408" t="n"/>
    </row>
    <row r="46">
      <c r="B46" s="1899" t="n"/>
      <c r="C46" s="240" t="n"/>
      <c r="L46" s="1579" t="n"/>
      <c r="M46" s="1408" t="n"/>
    </row>
    <row r="47">
      <c r="B47" s="1899" t="n"/>
      <c r="C47" s="240" t="n"/>
      <c r="L47" s="1579" t="n"/>
      <c r="M47" s="1408" t="n"/>
    </row>
    <row r="48">
      <c r="B48" s="1899" t="n"/>
      <c r="C48" s="1960" t="n"/>
      <c r="D48" s="1792" t="n"/>
      <c r="E48" s="1792" t="n"/>
      <c r="F48" s="1792" t="n"/>
      <c r="G48" s="1792" t="n"/>
      <c r="H48" s="1792" t="n"/>
      <c r="I48" s="1792" t="n"/>
      <c r="J48" s="1792" t="n"/>
      <c r="K48" s="1792" t="n"/>
      <c r="L48" s="1743" t="n"/>
      <c r="M48" s="1408" t="n"/>
    </row>
    <row r="49" ht="3.75" customHeight="1" s="1225" thickBot="1">
      <c r="B49" s="1302" t="n"/>
      <c r="C49" s="1303" t="n"/>
      <c r="D49" s="1303" t="n"/>
      <c r="E49" s="1303" t="n"/>
      <c r="F49" s="1303" t="n"/>
      <c r="G49" s="1303" t="n"/>
      <c r="H49" s="1303" t="n"/>
      <c r="I49" s="1303" t="n"/>
      <c r="J49" s="1303" t="n"/>
      <c r="K49" s="1303" t="n"/>
      <c r="L49" s="1303" t="n"/>
      <c r="M49" s="1304" t="n"/>
    </row>
  </sheetData>
  <mergeCells count="1">
    <mergeCell ref="E21:J24"/>
  </mergeCells>
  <pageMargins left="0.7" right="0.7" top="0.75" bottom="0.75" header="0.3" footer="0.3"/>
  <pageSetup orientation="portrait" paperSize="9" scale="9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2017-09-12T15:37:25Z</dcterms:created>
  <dcterms:modified xmlns:dcterms="http://purl.org/dc/terms/" xmlns:xsi="http://www.w3.org/2001/XMLSchema-instance" xsi:type="dcterms:W3CDTF">2026-08-09T14:10:45Z</dcterms:modified>
  <cp:lastModifiedBy>clement Tagnan</cp:lastModifiedBy>
  <cp:lastPrinted>2024-05-29T16:19:40Z</cp:lastPrinted>
</cp:coreProperties>
</file>